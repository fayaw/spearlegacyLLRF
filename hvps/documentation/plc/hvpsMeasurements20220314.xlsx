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Documents\spear3\hvps\documentation\plc\"/>
    </mc:Choice>
  </mc:AlternateContent>
  <xr:revisionPtr revIDLastSave="0" documentId="13_ncr:1_{A9BA2915-3D6B-4404-ADCA-99F5E559BC53}" xr6:coauthVersionLast="47" xr6:coauthVersionMax="47" xr10:uidLastSave="{00000000-0000-0000-0000-000000000000}"/>
  <bookViews>
    <workbookView xWindow="-25785" yWindow="1545" windowWidth="21600" windowHeight="12735" xr2:uid="{EE08AE67-09A0-4FF1-B5E1-A4246A32F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M4" i="1"/>
  <c r="M5" i="1"/>
  <c r="M6" i="1"/>
  <c r="M7" i="1"/>
  <c r="M8" i="1"/>
  <c r="M9" i="1"/>
  <c r="L4" i="1"/>
  <c r="L5" i="1"/>
  <c r="L6" i="1"/>
  <c r="L7" i="1"/>
  <c r="L8" i="1"/>
  <c r="L9" i="1"/>
  <c r="L3" i="1"/>
  <c r="M3" i="1" s="1"/>
  <c r="N3" i="1" s="1"/>
</calcChain>
</file>

<file path=xl/sharedStrings.xml><?xml version="1.0" encoding="utf-8"?>
<sst xmlns="http://schemas.openxmlformats.org/spreadsheetml/2006/main" count="16" uniqueCount="16">
  <si>
    <t>Measurements from regulator test points</t>
  </si>
  <si>
    <t>vGap</t>
  </si>
  <si>
    <t>vHvps</t>
  </si>
  <si>
    <t>N7:30</t>
  </si>
  <si>
    <t>N7:10</t>
  </si>
  <si>
    <t>TP4</t>
  </si>
  <si>
    <t>TP7</t>
  </si>
  <si>
    <t>N7:15</t>
  </si>
  <si>
    <t>N7:11</t>
  </si>
  <si>
    <t>N7:13</t>
  </si>
  <si>
    <t>mar-14-2022</t>
  </si>
  <si>
    <t>N7:40</t>
  </si>
  <si>
    <t>N7:41</t>
  </si>
  <si>
    <t>N7:11DDIV</t>
  </si>
  <si>
    <t>N7:11ADD</t>
  </si>
  <si>
    <t>N7:11MULT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</si>
</sst>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C6B4-A786-4F24-81E0-1D7CAB3D132F}">
  <dimension ref="A1:N9"/>
  <sheetViews>
    <sheetView tabSelected="1" workbookViewId="0">
      <selection activeCell="L2" sqref="L2"/>
    </sheetView>
  </sheetViews>
  <sheetFormatPr defaultRowHeight="15" x14ac:dyDescent="0.25"/>
  <cols>
    <col min="12" max="12" width="10" bestFit="1" customWidth="1"/>
  </cols>
  <sheetData>
    <row r="1" spans="1:14" x14ac:dyDescent="0.25">
      <c r="A1" t="s">
        <v>0</v>
      </c>
      <c r="E1" t="s">
        <v>10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8</v>
      </c>
      <c r="F2" t="s">
        <v>9</v>
      </c>
      <c r="G2" t="s">
        <v>7</v>
      </c>
      <c r="H2" t="s">
        <v>5</v>
      </c>
      <c r="I2" t="s">
        <v>6</v>
      </c>
      <c r="J2" t="s">
        <v>11</v>
      </c>
      <c r="K2" t="s">
        <v>12</v>
      </c>
      <c r="L2" t="s">
        <v>15</v>
      </c>
      <c r="M2" t="s">
        <v>13</v>
      </c>
      <c r="N2" t="s">
        <v>14</v>
      </c>
    </row>
    <row r="3" spans="1:14" x14ac:dyDescent="0.25">
      <c r="A3">
        <v>2000</v>
      </c>
      <c r="B3">
        <v>60.01</v>
      </c>
      <c r="C3">
        <v>19570</v>
      </c>
      <c r="D3">
        <v>19570</v>
      </c>
      <c r="E3">
        <v>13167</v>
      </c>
      <c r="F3">
        <v>10548</v>
      </c>
      <c r="G3">
        <v>19702</v>
      </c>
      <c r="H3">
        <v>6.01</v>
      </c>
      <c r="I3">
        <v>-0.30470000000000003</v>
      </c>
      <c r="J3">
        <v>12000</v>
      </c>
      <c r="K3">
        <v>6000</v>
      </c>
      <c r="L3">
        <f>D3*$J$3</f>
        <v>234840000</v>
      </c>
      <c r="M3">
        <f>IF(L3&gt;=32767,L3/32767,1)</f>
        <v>7166.9667653431807</v>
      </c>
      <c r="N3">
        <f>M3+$K$3</f>
        <v>13166.966765343181</v>
      </c>
    </row>
    <row r="4" spans="1:14" x14ac:dyDescent="0.25">
      <c r="A4">
        <v>2200</v>
      </c>
      <c r="B4">
        <v>61.62</v>
      </c>
      <c r="C4">
        <v>19932</v>
      </c>
      <c r="D4">
        <v>19932</v>
      </c>
      <c r="E4">
        <v>13300</v>
      </c>
      <c r="F4">
        <v>10655</v>
      </c>
      <c r="G4">
        <v>20190</v>
      </c>
      <c r="H4">
        <v>6.1619999999999999</v>
      </c>
      <c r="I4">
        <v>-0.30449999999999999</v>
      </c>
      <c r="L4">
        <f t="shared" ref="L4:L9" si="0">D4*$J$3</f>
        <v>239184000</v>
      </c>
      <c r="M4">
        <f t="shared" ref="M4:M9" si="1">IF(L4&gt;=32767,L4/32767,1)</f>
        <v>7299.5391705069123</v>
      </c>
      <c r="N4">
        <f t="shared" ref="N4:N9" si="2">M4+$K$3</f>
        <v>13299.539170506912</v>
      </c>
    </row>
    <row r="5" spans="1:14" x14ac:dyDescent="0.25">
      <c r="A5">
        <v>2400</v>
      </c>
      <c r="B5">
        <v>62.94</v>
      </c>
      <c r="C5">
        <v>20266</v>
      </c>
      <c r="D5">
        <v>20266</v>
      </c>
      <c r="E5">
        <v>13422</v>
      </c>
      <c r="F5">
        <v>10750</v>
      </c>
      <c r="G5">
        <v>20655</v>
      </c>
      <c r="H5">
        <v>6.2910000000000004</v>
      </c>
      <c r="I5">
        <v>-0.30430000000000001</v>
      </c>
      <c r="L5">
        <f t="shared" si="0"/>
        <v>243192000</v>
      </c>
      <c r="M5">
        <f t="shared" si="1"/>
        <v>7421.8573564867093</v>
      </c>
      <c r="N5">
        <f t="shared" si="2"/>
        <v>13421.857356486709</v>
      </c>
    </row>
    <row r="6" spans="1:14" x14ac:dyDescent="0.25">
      <c r="A6">
        <v>2600</v>
      </c>
      <c r="B6">
        <v>64.42</v>
      </c>
      <c r="C6">
        <v>20616</v>
      </c>
      <c r="D6">
        <v>20616</v>
      </c>
      <c r="E6">
        <v>13550</v>
      </c>
      <c r="F6">
        <v>10851</v>
      </c>
      <c r="G6">
        <v>21104</v>
      </c>
      <c r="H6">
        <v>6.4390000000000001</v>
      </c>
      <c r="I6">
        <v>-0.3044</v>
      </c>
      <c r="L6">
        <f t="shared" si="0"/>
        <v>247392000</v>
      </c>
      <c r="M6">
        <f t="shared" si="1"/>
        <v>7550.0350962858975</v>
      </c>
      <c r="N6">
        <f t="shared" si="2"/>
        <v>13550.035096285897</v>
      </c>
    </row>
    <row r="7" spans="1:14" x14ac:dyDescent="0.25">
      <c r="A7">
        <v>2800</v>
      </c>
      <c r="B7">
        <v>65.88</v>
      </c>
      <c r="C7">
        <v>20980</v>
      </c>
      <c r="D7">
        <v>20980</v>
      </c>
      <c r="E7">
        <v>13683</v>
      </c>
      <c r="F7">
        <v>10955</v>
      </c>
      <c r="G7">
        <v>21540</v>
      </c>
      <c r="H7">
        <v>6.585</v>
      </c>
      <c r="I7">
        <v>-0.3044</v>
      </c>
      <c r="L7">
        <f t="shared" si="0"/>
        <v>251760000</v>
      </c>
      <c r="M7">
        <f t="shared" si="1"/>
        <v>7683.339945677053</v>
      </c>
      <c r="N7">
        <f t="shared" si="2"/>
        <v>13683.339945677053</v>
      </c>
    </row>
    <row r="8" spans="1:14" x14ac:dyDescent="0.25">
      <c r="A8">
        <v>3000</v>
      </c>
      <c r="B8">
        <v>67.37</v>
      </c>
      <c r="C8">
        <v>21350</v>
      </c>
      <c r="D8">
        <v>21350</v>
      </c>
      <c r="E8">
        <v>13819</v>
      </c>
      <c r="F8">
        <v>11062</v>
      </c>
      <c r="G8">
        <v>22068</v>
      </c>
      <c r="H8">
        <v>6.726</v>
      </c>
      <c r="I8">
        <v>-0.30459999999999998</v>
      </c>
      <c r="L8">
        <f t="shared" si="0"/>
        <v>256200000</v>
      </c>
      <c r="M8">
        <f t="shared" si="1"/>
        <v>7818.8421277504804</v>
      </c>
      <c r="N8">
        <f t="shared" si="2"/>
        <v>13818.84212775048</v>
      </c>
    </row>
    <row r="9" spans="1:14" x14ac:dyDescent="0.25">
      <c r="A9">
        <v>3200</v>
      </c>
      <c r="B9">
        <v>68.739999999999995</v>
      </c>
      <c r="C9">
        <v>21721</v>
      </c>
      <c r="D9">
        <v>21721</v>
      </c>
      <c r="E9">
        <v>13955</v>
      </c>
      <c r="F9">
        <v>11170</v>
      </c>
      <c r="G9">
        <v>22543</v>
      </c>
      <c r="H9">
        <v>6.8710000000000004</v>
      </c>
      <c r="I9">
        <v>-0.3044</v>
      </c>
      <c r="L9">
        <f t="shared" si="0"/>
        <v>260652000</v>
      </c>
      <c r="M9">
        <f t="shared" si="1"/>
        <v>7954.7105319376205</v>
      </c>
      <c r="N9">
        <f t="shared" si="2"/>
        <v>13954.710531937621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3d2c6979e8007f0c673cdef31668f95a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f3c0934017ae9f5ce032209485dc8b02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7807D5-A410-47AB-A684-25DE9257C538}"/>
</file>

<file path=customXml/itemProps2.xml><?xml version="1.0" encoding="utf-8"?>
<ds:datastoreItem xmlns:ds="http://schemas.openxmlformats.org/officeDocument/2006/customXml" ds:itemID="{4CC77E45-94BA-4F61-BEE1-14066FE38DCD}"/>
</file>

<file path=customXml/itemProps3.xml><?xml version="1.0" encoding="utf-8"?>
<ds:datastoreItem xmlns:ds="http://schemas.openxmlformats.org/officeDocument/2006/customXml" ds:itemID="{DABDC773-AEF9-4D02-954C-E08A227F9E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Sebek, Jim</dc:creator>
  <cp:lastModifiedBy>Sebek, Jim</cp:lastModifiedBy>
  <dcterms:created xsi:type="dcterms:W3CDTF">2022-03-14T16:01:01Z</dcterms:created>
  <dcterms:modified xsi:type="dcterms:W3CDTF">2022-04-13T16:28:01Z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</Properties>
</file>