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Documents\spear3\hvps\documentation\plc\"/>
    </mc:Choice>
  </mc:AlternateContent>
  <xr:revisionPtr revIDLastSave="0" documentId="13_ncr:1_{24E91FD5-34F1-43F0-98FF-22BCD3666A8B}" xr6:coauthVersionLast="47" xr6:coauthVersionMax="47" xr10:uidLastSave="{00000000-0000-0000-0000-000000000000}"/>
  <bookViews>
    <workbookView xWindow="7320" yWindow="2025" windowWidth="21600" windowHeight="12645" firstSheet="16" activeTab="16" xr2:uid="{1C702D9B-54D9-477D-809E-13AFE6122523}"/>
  </bookViews>
  <sheets>
    <sheet name="binary inputs" sheetId="1" r:id="rId1"/>
    <sheet name="binary outputs" sheetId="4" r:id="rId2"/>
    <sheet name="binary bits summary" sheetId="5" r:id="rId3"/>
    <sheet name="B3_0" sheetId="11" r:id="rId4"/>
    <sheet name="B3_1" sheetId="12" r:id="rId5"/>
    <sheet name="B3_2" sheetId="13" r:id="rId6"/>
    <sheet name="B3_3" sheetId="14" r:id="rId7"/>
    <sheet name="B3_4" sheetId="15" r:id="rId8"/>
    <sheet name="B3_5" sheetId="16" r:id="rId9"/>
    <sheet name="touch panel interlocks" sheetId="3" r:id="rId10"/>
    <sheet name="analog registers" sheetId="2" r:id="rId11"/>
    <sheet name="analog inputs" sheetId="6" r:id="rId12"/>
    <sheet name="analog outputs" sheetId="7" r:id="rId13"/>
    <sheet name="inputs from VXI DCM" sheetId="8" r:id="rId14"/>
    <sheet name="outputs to VXI DCM" sheetId="9" r:id="rId15"/>
    <sheet name="SPEAR RF Klystron HVPS EPICS" sheetId="10" r:id="rId16"/>
    <sheet name="DCM-FULL bit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0" l="1"/>
  <c r="I20" i="10"/>
  <c r="I19" i="10"/>
  <c r="I15" i="10"/>
  <c r="I14" i="10"/>
  <c r="I11" i="10"/>
  <c r="I10" i="10"/>
</calcChain>
</file>

<file path=xl/sharedStrings.xml><?xml version="1.0" encoding="utf-8"?>
<sst xmlns="http://schemas.openxmlformats.org/spreadsheetml/2006/main" count="822" uniqueCount="580">
  <si>
    <t>PLC Code Tag</t>
  </si>
  <si>
    <t>Identifier</t>
  </si>
  <si>
    <t>Function</t>
  </si>
  <si>
    <t>Indicator  (Normal Op)</t>
  </si>
  <si>
    <t>I:2/0</t>
  </si>
  <si>
    <t>1-B3:12/0</t>
  </si>
  <si>
    <t>120 VAC Control Power</t>
  </si>
  <si>
    <t>On</t>
  </si>
  <si>
    <t>I:2/1</t>
  </si>
  <si>
    <t>1-B3:12/1</t>
  </si>
  <si>
    <t>A Phase Reference Voltage</t>
  </si>
  <si>
    <t>I:2/2</t>
  </si>
  <si>
    <t>1-B3:12/2</t>
  </si>
  <si>
    <t>Filter Inductor 1</t>
  </si>
  <si>
    <t>Off</t>
  </si>
  <si>
    <t>I:2/3</t>
  </si>
  <si>
    <t>1-B3:12/3</t>
  </si>
  <si>
    <t>Filter Inductor 2</t>
  </si>
  <si>
    <t>I:6/0</t>
  </si>
  <si>
    <t>1-B3:13/0</t>
  </si>
  <si>
    <t>SCR Disable Fiber Drive</t>
  </si>
  <si>
    <t>I:6/1</t>
  </si>
  <si>
    <t>1-B3:13/1</t>
  </si>
  <si>
    <t>Crowbar Enable</t>
  </si>
  <si>
    <t>I:6/2</t>
  </si>
  <si>
    <t>1-B3:13/2</t>
  </si>
  <si>
    <t>Crowbar Monitor</t>
  </si>
  <si>
    <t>I:6/3</t>
  </si>
  <si>
    <t>1-B3:13/3</t>
  </si>
  <si>
    <t>Klystron Arc Monitor</t>
  </si>
  <si>
    <t>I:6/4</t>
  </si>
  <si>
    <t>1-B3:13/4</t>
  </si>
  <si>
    <t>SCR Trigger 1</t>
  </si>
  <si>
    <t>I:6/5</t>
  </si>
  <si>
    <t>1-B3:13/5</t>
  </si>
  <si>
    <t>Transformer Arc Monitor</t>
  </si>
  <si>
    <t>I:6/6</t>
  </si>
  <si>
    <t>1-B3:13/6</t>
  </si>
  <si>
    <t>SCR Trigger 2</t>
  </si>
  <si>
    <t>I:6/7</t>
  </si>
  <si>
    <t>1-B3:13/7</t>
  </si>
  <si>
    <t>RF Crowbar</t>
  </si>
  <si>
    <t>I:6/8</t>
  </si>
  <si>
    <t>1-B3:13/8</t>
  </si>
  <si>
    <t>Ground Tank Oil Level</t>
  </si>
  <si>
    <t>I:6/9</t>
  </si>
  <si>
    <t>1-B3:13/9</t>
  </si>
  <si>
    <t>Ground Tank Switch</t>
  </si>
  <si>
    <t>I:6/10</t>
  </si>
  <si>
    <t>1-B3:13/10</t>
  </si>
  <si>
    <t>Crowbar Oil Level</t>
  </si>
  <si>
    <t>I:6/11</t>
  </si>
  <si>
    <t>1-B3:13/11</t>
  </si>
  <si>
    <t>SCR Oil Level</t>
  </si>
  <si>
    <t>I:6/12</t>
  </si>
  <si>
    <t>1-B3:13/12</t>
  </si>
  <si>
    <t>Key/Emergency Off Switch</t>
  </si>
  <si>
    <t>I:6/13</t>
  </si>
  <si>
    <t>1-B3:13/13</t>
  </si>
  <si>
    <t>Emergency Off</t>
  </si>
  <si>
    <t>I:6/14</t>
  </si>
  <si>
    <t>1-B3:13/14</t>
  </si>
  <si>
    <t>PPS 1</t>
  </si>
  <si>
    <t>I:6/15</t>
  </si>
  <si>
    <t>1-B3:13/15</t>
  </si>
  <si>
    <t>PPS 2</t>
  </si>
  <si>
    <t>I:7/0</t>
  </si>
  <si>
    <t>Contactor Blocking Relay</t>
  </si>
  <si>
    <t>I:7/1</t>
  </si>
  <si>
    <t>Contactor Overcurrent Relay</t>
  </si>
  <si>
    <t>I:7/2</t>
  </si>
  <si>
    <t>Contactor Closed</t>
  </si>
  <si>
    <t>I:7/3</t>
  </si>
  <si>
    <t>Contactor Ready</t>
  </si>
  <si>
    <t>I:7/4</t>
  </si>
  <si>
    <t>Transformer Pressure</t>
  </si>
  <si>
    <t>I:7/5</t>
  </si>
  <si>
    <t>Transformer Vacuum</t>
  </si>
  <si>
    <t>I:7/6</t>
  </si>
  <si>
    <t>Transformer Over Temperature</t>
  </si>
  <si>
    <t>I:7/7</t>
  </si>
  <si>
    <t>Transformer Oil Level</t>
  </si>
  <si>
    <t>I:7/8</t>
  </si>
  <si>
    <t>Transformer Sudden Pressure</t>
  </si>
  <si>
    <t>I:7/9</t>
  </si>
  <si>
    <t>Oil Pump On</t>
  </si>
  <si>
    <t>I:7/10</t>
  </si>
  <si>
    <t>Spare</t>
  </si>
  <si>
    <t>I:7/11</t>
  </si>
  <si>
    <t>Enerpro Phase Loss</t>
  </si>
  <si>
    <t>I:7/12</t>
  </si>
  <si>
    <t>Regulator Current Limit</t>
  </si>
  <si>
    <t>I:7/13</t>
  </si>
  <si>
    <t>Ground Tank Relay</t>
  </si>
  <si>
    <t>I:7/14</t>
  </si>
  <si>
    <t>Regulator Voltage Trip</t>
  </si>
  <si>
    <t>I:7/15</t>
  </si>
  <si>
    <t>Regulator Current Trip</t>
  </si>
  <si>
    <t>O:2/0</t>
  </si>
  <si>
    <t>AC Bias Power Supply</t>
  </si>
  <si>
    <t>O:2/1</t>
  </si>
  <si>
    <t>120 VDC Power Supply</t>
  </si>
  <si>
    <t>O:2/2</t>
  </si>
  <si>
    <t>240 VDC Power Supply</t>
  </si>
  <si>
    <t>O:2/3</t>
  </si>
  <si>
    <t>Ground Tank Relay Coil</t>
  </si>
  <si>
    <t>O:5/0</t>
  </si>
  <si>
    <t>SCR Enable</t>
  </si>
  <si>
    <t>O:5/1</t>
  </si>
  <si>
    <t>Contactor On</t>
  </si>
  <si>
    <t>O:5/2</t>
  </si>
  <si>
    <t>Contactor Enable</t>
  </si>
  <si>
    <t>O:5/3</t>
  </si>
  <si>
    <t>Force Crowbar</t>
  </si>
  <si>
    <t>O:5/4</t>
  </si>
  <si>
    <t>Crowbar Off</t>
  </si>
  <si>
    <t>O:5/5</t>
  </si>
  <si>
    <t>Enerpro Slow Start</t>
  </si>
  <si>
    <t>O:5/6</t>
  </si>
  <si>
    <t>Enerpro Fast Inhibit</t>
  </si>
  <si>
    <t>O:5/7</t>
  </si>
  <si>
    <t>Regulator Reset</t>
  </si>
  <si>
    <t>Register</t>
  </si>
  <si>
    <t>Bit</t>
  </si>
  <si>
    <t>B3:0</t>
  </si>
  <si>
    <t>B3:1</t>
  </si>
  <si>
    <t>B3:2</t>
  </si>
  <si>
    <t>B3:3</t>
  </si>
  <si>
    <t>B3:4</t>
  </si>
  <si>
    <t>Register B3:0</t>
  </si>
  <si>
    <t>Bit No.</t>
  </si>
  <si>
    <t>Hex</t>
  </si>
  <si>
    <t>Label</t>
  </si>
  <si>
    <t>Rungs Set</t>
  </si>
  <si>
    <t>Alarm Reset</t>
  </si>
  <si>
    <t>1,7, 14, 20, 21, 22, 23, 24, 25, 26, 28, 29, 37</t>
  </si>
  <si>
    <t>Fast Inhibit</t>
  </si>
  <si>
    <t>10, 13</t>
  </si>
  <si>
    <t>Reset</t>
  </si>
  <si>
    <t>No Xformer Fault</t>
  </si>
  <si>
    <t>Contactor Latch</t>
  </si>
  <si>
    <t>Enable</t>
  </si>
  <si>
    <t>SCR On Latch</t>
  </si>
  <si>
    <t>Regulator On</t>
  </si>
  <si>
    <t>Off Display</t>
  </si>
  <si>
    <t>Register B3:1</t>
  </si>
  <si>
    <t>Supply On</t>
  </si>
  <si>
    <t>SCR On</t>
  </si>
  <si>
    <t>System Ready</t>
  </si>
  <si>
    <t>12kV On</t>
  </si>
  <si>
    <t>Contactor Closed Disp</t>
  </si>
  <si>
    <t>Contactor Ctrl Pwr Display</t>
  </si>
  <si>
    <t>Enable Display</t>
  </si>
  <si>
    <t>Aux Pwr On Display</t>
  </si>
  <si>
    <t>Crowbar On</t>
  </si>
  <si>
    <t>SCR Off</t>
  </si>
  <si>
    <t>System Not Ready</t>
  </si>
  <si>
    <t>12kV Off</t>
  </si>
  <si>
    <t>Contactor Open Disp</t>
  </si>
  <si>
    <t>Disable Display</t>
  </si>
  <si>
    <t>PPS On</t>
  </si>
  <si>
    <t>Register B3:2</t>
  </si>
  <si>
    <t>Water Flow Switch</t>
  </si>
  <si>
    <t>Klystron Crowbar Latch</t>
  </si>
  <si>
    <t>Klystron SCR Bit</t>
  </si>
  <si>
    <t>Klystron Crowbar</t>
  </si>
  <si>
    <t>Phase Loss</t>
  </si>
  <si>
    <t>Contactor OK</t>
  </si>
  <si>
    <t>Xformer Latched OK</t>
  </si>
  <si>
    <t>Ground Switch Open</t>
  </si>
  <si>
    <t>Register B3:3</t>
  </si>
  <si>
    <t>SCR Driver Up Latch</t>
  </si>
  <si>
    <t>SCR Driver Latch</t>
  </si>
  <si>
    <t>Contactor Over Current Alarm</t>
  </si>
  <si>
    <t>Emergency Off Alarm</t>
  </si>
  <si>
    <t>Aux Power Alarm</t>
  </si>
  <si>
    <t>Regulator Trip</t>
  </si>
  <si>
    <t>Contactor Alarm</t>
  </si>
  <si>
    <t>Xformer Alarm</t>
  </si>
  <si>
    <t>Regulator Over Voltage</t>
  </si>
  <si>
    <t>Regulator Over Current</t>
  </si>
  <si>
    <t>Open Load Latch</t>
  </si>
  <si>
    <t>Crowbar</t>
  </si>
  <si>
    <t>Alarm</t>
  </si>
  <si>
    <t>Register B3:4</t>
  </si>
  <si>
    <t>Xformer Arc Trip</t>
  </si>
  <si>
    <t>Klystron Arc Trip</t>
  </si>
  <si>
    <t>Over Voltage Latch</t>
  </si>
  <si>
    <t>Over Current Latch</t>
  </si>
  <si>
    <t>Crowbar Latch</t>
  </si>
  <si>
    <t>SCR 2 Latch</t>
  </si>
  <si>
    <t>SCR 1 Latch</t>
  </si>
  <si>
    <t>Oil Pump Flow</t>
  </si>
  <si>
    <t>DC Power Fault</t>
  </si>
  <si>
    <t>Over Current Trip Latch</t>
  </si>
  <si>
    <t>Sudden Pressure</t>
  </si>
  <si>
    <t>Low Oil</t>
  </si>
  <si>
    <t>SCR Oil Tank Level</t>
  </si>
  <si>
    <t>Oil Temp</t>
  </si>
  <si>
    <t>Pressure Latch</t>
  </si>
  <si>
    <t>Register B3:5</t>
  </si>
  <si>
    <t>Vacuum Latch</t>
  </si>
  <si>
    <t>SCR 2 Status</t>
  </si>
  <si>
    <t>SCR 1 Status</t>
  </si>
  <si>
    <t>1, 116</t>
  </si>
  <si>
    <t>Function  All illuminated OK during normal op</t>
  </si>
  <si>
    <t>1-B3:4/11</t>
  </si>
  <si>
    <t>AC Overcurrent Fault</t>
  </si>
  <si>
    <t>1-B3:3/6</t>
  </si>
  <si>
    <t>DC Overvoltage OK</t>
  </si>
  <si>
    <t>1-B3:3/5</t>
  </si>
  <si>
    <t>DC Overcurrent OK</t>
  </si>
  <si>
    <t>Ground Tank Oil Fault</t>
  </si>
  <si>
    <t>1-B3:1/0</t>
  </si>
  <si>
    <t>Ground Tank E-Stop OK</t>
  </si>
  <si>
    <t>1-B3:1/7</t>
  </si>
  <si>
    <t>Crowbar OK</t>
  </si>
  <si>
    <t>1-B3:4/13</t>
  </si>
  <si>
    <t>Klystron Arc Fault</t>
  </si>
  <si>
    <t>1-B3:4/15</t>
  </si>
  <si>
    <t>Transformer Arc Fault</t>
  </si>
  <si>
    <t>1-B3:2/4</t>
  </si>
  <si>
    <t>Klystron Crowbar Fault</t>
  </si>
  <si>
    <t>1-B3:3/2</t>
  </si>
  <si>
    <t>Open Load OK</t>
  </si>
  <si>
    <t>1-B3:3/14</t>
  </si>
  <si>
    <t>H1 SCR Drivers OK</t>
  </si>
  <si>
    <t>1-B3:3/15</t>
  </si>
  <si>
    <t>H2 SCR Drivers OK</t>
  </si>
  <si>
    <t>SCR Oil Level Low</t>
  </si>
  <si>
    <t>Crowbar Oil Level Low</t>
  </si>
  <si>
    <t>1-B3:14/7</t>
  </si>
  <si>
    <t>Main Tank Oil Level Low</t>
  </si>
  <si>
    <t>1-B3:14/6</t>
  </si>
  <si>
    <t>Oil Temperature Fault</t>
  </si>
  <si>
    <t>1-B3:2/7</t>
  </si>
  <si>
    <t>Oil Flow Switch Fault</t>
  </si>
  <si>
    <t>1-B3:14/4</t>
  </si>
  <si>
    <t>Pressure Fault</t>
  </si>
  <si>
    <t>1-B3:14/8</t>
  </si>
  <si>
    <t>Relief Valve Fault (Sudden Pressure?)</t>
  </si>
  <si>
    <t>1-B3:14/5</t>
  </si>
  <si>
    <t>Vacuum Fault</t>
  </si>
  <si>
    <t>1-B3:0/3</t>
  </si>
  <si>
    <t>Summary Not Ready</t>
  </si>
  <si>
    <t>1-B3:5/12</t>
  </si>
  <si>
    <t>1-B3:4/10</t>
  </si>
  <si>
    <t>Pressure Fault Latched</t>
  </si>
  <si>
    <t>1-B3:4/1</t>
  </si>
  <si>
    <t>Oil Temperature Fault Latched</t>
  </si>
  <si>
    <t>1-B3:4/2</t>
  </si>
  <si>
    <t>SCR/Crowbar Oil Level Low Latched</t>
  </si>
  <si>
    <t>1-B3:4/3</t>
  </si>
  <si>
    <t>Main Tank Oil Level Low Latched</t>
  </si>
  <si>
    <t>1-B3:4/4</t>
  </si>
  <si>
    <t>Sudden Pressure Fault Latched</t>
  </si>
  <si>
    <t>Value  (500 mA,  2850 kV)</t>
  </si>
  <si>
    <t>Rungs</t>
  </si>
  <si>
    <t>N7:0</t>
  </si>
  <si>
    <t>1-N7:0</t>
  </si>
  <si>
    <t>Requested DC Volts (kV)</t>
  </si>
  <si>
    <t>N7:1</t>
  </si>
  <si>
    <t>1-N7:1</t>
  </si>
  <si>
    <t>Phase Angle</t>
  </si>
  <si>
    <t>N7:2</t>
  </si>
  <si>
    <t>1-N7:2</t>
  </si>
  <si>
    <t>Regulator Voltage</t>
  </si>
  <si>
    <t>84, 85, 87</t>
  </si>
  <si>
    <t>N7:3</t>
  </si>
  <si>
    <t>1-N7:3</t>
  </si>
  <si>
    <t>Phase Angle Monitor</t>
  </si>
  <si>
    <t>88, 89</t>
  </si>
  <si>
    <t>N7:4</t>
  </si>
  <si>
    <t>1-N7:4</t>
  </si>
  <si>
    <t>AC Amps</t>
  </si>
  <si>
    <t>36, should be 1036.  Format error on display?</t>
  </si>
  <si>
    <t>90, 91, 92, 93</t>
  </si>
  <si>
    <t>N7:5</t>
  </si>
  <si>
    <t>1-N7:5</t>
  </si>
  <si>
    <t>Volt Monitor 1</t>
  </si>
  <si>
    <t>75, should be ~7500.  Format error on display?</t>
  </si>
  <si>
    <t>N7:6</t>
  </si>
  <si>
    <t>1-N7:6</t>
  </si>
  <si>
    <t>Volt Monitor 2</t>
  </si>
  <si>
    <t>N7:7</t>
  </si>
  <si>
    <t>1-N7:7</t>
  </si>
  <si>
    <t>DC Amps</t>
  </si>
  <si>
    <t>N7:8</t>
  </si>
  <si>
    <t>1-N7:8</t>
  </si>
  <si>
    <t>Power</t>
  </si>
  <si>
    <t>N7:9</t>
  </si>
  <si>
    <t>1-N7:9</t>
  </si>
  <si>
    <t>AC Amp Offset</t>
  </si>
  <si>
    <t>N7:10</t>
  </si>
  <si>
    <t>1-N7:10</t>
  </si>
  <si>
    <t>Reference Out  (EL1 input on regulator)</t>
  </si>
  <si>
    <t>11, 92, 104, 105, 106, 108, 112</t>
  </si>
  <si>
    <t>N7:11</t>
  </si>
  <si>
    <t>1-N7:11</t>
  </si>
  <si>
    <t>Phase Out  (PLC contribution to SIG HI)</t>
  </si>
  <si>
    <t>N7:12</t>
  </si>
  <si>
    <t>1-N7:12</t>
  </si>
  <si>
    <t>Feedback Voltage</t>
  </si>
  <si>
    <t>76, 77, 84</t>
  </si>
  <si>
    <t>N7:13</t>
  </si>
  <si>
    <t>1-N7:13</t>
  </si>
  <si>
    <t>Phase Ang Monitor  (SIG HI input on Enerpro)</t>
  </si>
  <si>
    <t>N7:14</t>
  </si>
  <si>
    <t>1-N7:14</t>
  </si>
  <si>
    <t>AC Current Monitor</t>
  </si>
  <si>
    <t>08, 78, 79, 90, 93</t>
  </si>
  <si>
    <t>N7:15</t>
  </si>
  <si>
    <t>1-N7:15</t>
  </si>
  <si>
    <t>Voltage Monitor 1</t>
  </si>
  <si>
    <t>08, 80, 86, 92, 95, 98</t>
  </si>
  <si>
    <t>N7:16</t>
  </si>
  <si>
    <t>1-N7:16</t>
  </si>
  <si>
    <t>Voltage Monitor 2</t>
  </si>
  <si>
    <t>08, 81, 100</t>
  </si>
  <si>
    <t>N7:17</t>
  </si>
  <si>
    <t>1-N7:17</t>
  </si>
  <si>
    <t>DC Current Monitor</t>
  </si>
  <si>
    <t>08, 82, 83, 92, 94, 95, 102</t>
  </si>
  <si>
    <t>N7:18</t>
  </si>
  <si>
    <t>1-N7:18</t>
  </si>
  <si>
    <t>Power Calculation</t>
  </si>
  <si>
    <t>95, 96, 97, 114</t>
  </si>
  <si>
    <t>N7:19</t>
  </si>
  <si>
    <t>1-N7:19</t>
  </si>
  <si>
    <t>Offset Feedback</t>
  </si>
  <si>
    <t>N7:20</t>
  </si>
  <si>
    <t>1-N7:20</t>
  </si>
  <si>
    <t>Output Reference Multiplier</t>
  </si>
  <si>
    <t>N7:21</t>
  </si>
  <si>
    <t>1-N7:21</t>
  </si>
  <si>
    <t>Phase Angle Multiplier</t>
  </si>
  <si>
    <t>N7:22</t>
  </si>
  <si>
    <t>1-N7:22</t>
  </si>
  <si>
    <t>Voltage Multiplier</t>
  </si>
  <si>
    <t>75, should be 10075.  Format error on display?</t>
  </si>
  <si>
    <t>N7:23</t>
  </si>
  <si>
    <t>1-N7:23</t>
  </si>
  <si>
    <t>N7:24</t>
  </si>
  <si>
    <t>1-N7:24</t>
  </si>
  <si>
    <t>AC Current Multiplier</t>
  </si>
  <si>
    <t>N7:25</t>
  </si>
  <si>
    <t>1-N7:25</t>
  </si>
  <si>
    <t>Voltage Monitor 1 Multiplier</t>
  </si>
  <si>
    <t>N7:26</t>
  </si>
  <si>
    <t>1-N7:26</t>
  </si>
  <si>
    <t>Voltage Monitor 2 Multiplier</t>
  </si>
  <si>
    <t>N7:27</t>
  </si>
  <si>
    <t>1-N7:27</t>
  </si>
  <si>
    <t>DC Current Multiplier</t>
  </si>
  <si>
    <t>N7:28</t>
  </si>
  <si>
    <t>1-N7:28</t>
  </si>
  <si>
    <t>N7:29</t>
  </si>
  <si>
    <t>1-N7:29</t>
  </si>
  <si>
    <t>Power Multiplier</t>
  </si>
  <si>
    <t>N7:30</t>
  </si>
  <si>
    <t>1-N7:30</t>
  </si>
  <si>
    <t>External Reference</t>
  </si>
  <si>
    <t>N7:31</t>
  </si>
  <si>
    <t>1-N7:31</t>
  </si>
  <si>
    <t>Internal Reference</t>
  </si>
  <si>
    <t>104, 105</t>
  </si>
  <si>
    <t>N7:32</t>
  </si>
  <si>
    <t>1-N7:32</t>
  </si>
  <si>
    <t>Max Internal Reference</t>
  </si>
  <si>
    <t>92, 105</t>
  </si>
  <si>
    <t>N7:33</t>
  </si>
  <si>
    <t>1-N7:33</t>
  </si>
  <si>
    <t>Max External Reference</t>
  </si>
  <si>
    <t>92, 104</t>
  </si>
  <si>
    <t>N7:34</t>
  </si>
  <si>
    <t>1-N7:34</t>
  </si>
  <si>
    <t>Plot Volts</t>
  </si>
  <si>
    <t>N7:35</t>
  </si>
  <si>
    <t>1-N7:35</t>
  </si>
  <si>
    <t>Plot Current</t>
  </si>
  <si>
    <t>N7:36</t>
  </si>
  <si>
    <t>1-N7:36</t>
  </si>
  <si>
    <t>Plot Power</t>
  </si>
  <si>
    <t>N7:37</t>
  </si>
  <si>
    <t>1-N7:37</t>
  </si>
  <si>
    <t>Display Volts</t>
  </si>
  <si>
    <t>N7:38</t>
  </si>
  <si>
    <t>1-N7:38</t>
  </si>
  <si>
    <t>Display Current</t>
  </si>
  <si>
    <t>N7:39</t>
  </si>
  <si>
    <t>1-N7:39</t>
  </si>
  <si>
    <t>Display Power</t>
  </si>
  <si>
    <t>N7:40</t>
  </si>
  <si>
    <t>1-N7:40</t>
  </si>
  <si>
    <t>N7:41</t>
  </si>
  <si>
    <t>1-N7:41</t>
  </si>
  <si>
    <t>Add Offset</t>
  </si>
  <si>
    <t>N7:42</t>
  </si>
  <si>
    <t>1-N7:42</t>
  </si>
  <si>
    <t>Max Phase Angle</t>
  </si>
  <si>
    <t>N7:43</t>
  </si>
  <si>
    <t>1-N7:43</t>
  </si>
  <si>
    <t>Delta</t>
  </si>
  <si>
    <t>N7:44</t>
  </si>
  <si>
    <t>1-N7:44</t>
  </si>
  <si>
    <t>Div Plot Volts</t>
  </si>
  <si>
    <t>N7:45</t>
  </si>
  <si>
    <t>1-N7:45</t>
  </si>
  <si>
    <t>Div Plot Current</t>
  </si>
  <si>
    <t>N7:46</t>
  </si>
  <si>
    <t>1-N7:46</t>
  </si>
  <si>
    <t>Div Plot Power</t>
  </si>
  <si>
    <t>N7:47</t>
  </si>
  <si>
    <t>1-N7:47</t>
  </si>
  <si>
    <t>Div Meter Volts</t>
  </si>
  <si>
    <t>N7:48</t>
  </si>
  <si>
    <t>1-N7:48</t>
  </si>
  <si>
    <t>Div Meter Current</t>
  </si>
  <si>
    <t>N7:49</t>
  </si>
  <si>
    <t>1-N7:49</t>
  </si>
  <si>
    <t>Div Meter Power</t>
  </si>
  <si>
    <t>N7:71</t>
  </si>
  <si>
    <t>Maximum voltage (loaded at startup?)</t>
  </si>
  <si>
    <t>N7:72</t>
  </si>
  <si>
    <t>Maximum phase angle (loaded at startup?)</t>
  </si>
  <si>
    <t>N7:73</t>
  </si>
  <si>
    <t>Internal reference (loaded at startup?)</t>
  </si>
  <si>
    <t>N7:74</t>
  </si>
  <si>
    <t>Maximum voltage divided by Reference out</t>
  </si>
  <si>
    <t>N7:75</t>
  </si>
  <si>
    <t>Internal reference divided by Reference out</t>
  </si>
  <si>
    <t>N7:110</t>
  </si>
  <si>
    <t>1-N7:110</t>
  </si>
  <si>
    <t>Temp Sense Ch 0  (Phase Upper TC?)</t>
  </si>
  <si>
    <t>N7:111</t>
  </si>
  <si>
    <t>1-N7:111</t>
  </si>
  <si>
    <t>Temp Sense Ch 1  (Phase Lower TC?)</t>
  </si>
  <si>
    <t>N7:112</t>
  </si>
  <si>
    <t>1-N7:112</t>
  </si>
  <si>
    <t>Temp Sense Ch 2  (Crowbar Tank?)</t>
  </si>
  <si>
    <t>N7:113</t>
  </si>
  <si>
    <t>1-N7:113</t>
  </si>
  <si>
    <t>Temp Sense Ch 3  (Control Cabinet?)</t>
  </si>
  <si>
    <t>Fuel Gauges</t>
  </si>
  <si>
    <t>Volts KV</t>
  </si>
  <si>
    <t>Amps DC</t>
  </si>
  <si>
    <t>Amps Line AC</t>
  </si>
  <si>
    <t>Module</t>
  </si>
  <si>
    <t>Slot</t>
  </si>
  <si>
    <t>Number</t>
  </si>
  <si>
    <t>AB-1746-NIO4V</t>
  </si>
  <si>
    <t>Output voltage monitor from regulator card (J3-1)</t>
  </si>
  <si>
    <t>Readback of phase control voltage to Enerpro input (SIG HI)</t>
  </si>
  <si>
    <t>AB-1746-NI4</t>
  </si>
  <si>
    <t>Input AC current monitor from regulator card (J3-2)</t>
  </si>
  <si>
    <t>Output voltage monitor 1 from HVPS (splits to J1-1 of reg)</t>
  </si>
  <si>
    <t>Output voltage monitor 2 from HVPS</t>
  </si>
  <si>
    <t>Output DC current monitor (Danfysik) from grounding tank</t>
  </si>
  <si>
    <t>Reference voltage setpoint to regulator card input (EL1)</t>
  </si>
  <si>
    <t>Contribution to SIG HI phase control input of Enerpro (1k res)</t>
  </si>
  <si>
    <t>Bank</t>
  </si>
  <si>
    <t>I:1</t>
  </si>
  <si>
    <t>External Reference from VXI DCM</t>
  </si>
  <si>
    <t>Maximum External Reference from VXI DCM</t>
  </si>
  <si>
    <t>O:1</t>
  </si>
  <si>
    <t>AC Current to VXI DCM</t>
  </si>
  <si>
    <t>Reference Out Voltage to EL1 to VXI DCM</t>
  </si>
  <si>
    <t>HVPS Voltage Monitor 1 to VXI DCM</t>
  </si>
  <si>
    <t>HVPS Current Monitor (Danfysik) to VXI DCM</t>
  </si>
  <si>
    <t>Maximum Internal Voltage Reference to VXI DCM</t>
  </si>
  <si>
    <t>Value</t>
  </si>
  <si>
    <t>Device Type</t>
  </si>
  <si>
    <t>Raw Value</t>
  </si>
  <si>
    <t>HW Mask</t>
  </si>
  <si>
    <t>ESLO</t>
  </si>
  <si>
    <t>VAL</t>
  </si>
  <si>
    <t>Decimal (may include extra 32768)</t>
  </si>
  <si>
    <t>CLOSED</t>
  </si>
  <si>
    <t>AB-16 bit BI</t>
  </si>
  <si>
    <t>0x20</t>
  </si>
  <si>
    <t>Contactor Open</t>
  </si>
  <si>
    <t>0x0</t>
  </si>
  <si>
    <t>0x80</t>
  </si>
  <si>
    <t>Contactor Status</t>
  </si>
  <si>
    <t>ON</t>
  </si>
  <si>
    <t>0x40</t>
  </si>
  <si>
    <t>READY</t>
  </si>
  <si>
    <t>0x100</t>
  </si>
  <si>
    <t>Klys Output Pwr</t>
  </si>
  <si>
    <t>IQA Module 1 Calc</t>
  </si>
  <si>
    <t>Klys Coll Pwr</t>
  </si>
  <si>
    <t>Calc</t>
  </si>
  <si>
    <t>Klys Efficiency</t>
  </si>
  <si>
    <t>RF PLC Voltage</t>
  </si>
  <si>
    <t>AB-1771DCM AI-13 bit raw</t>
  </si>
  <si>
    <t>0x1B0A</t>
  </si>
  <si>
    <t>RF PLC Current</t>
  </si>
  <si>
    <t>0x1711</t>
  </si>
  <si>
    <t>RF PLC Coll Pwr</t>
  </si>
  <si>
    <t>Klys Perveance</t>
  </si>
  <si>
    <t>HVPS Current</t>
  </si>
  <si>
    <t>AB-SLC500DCM-Signed</t>
  </si>
  <si>
    <t>0xB81E</t>
  </si>
  <si>
    <t>HVPS Voltage</t>
  </si>
  <si>
    <t>0xDCD3</t>
  </si>
  <si>
    <t>HVPS Power</t>
  </si>
  <si>
    <t>Max Volt Status</t>
  </si>
  <si>
    <t>ACTIVE</t>
  </si>
  <si>
    <t>0x1</t>
  </si>
  <si>
    <t>0xDC83</t>
  </si>
  <si>
    <t>Max Voltage Rbck</t>
  </si>
  <si>
    <t>0xE8F5</t>
  </si>
  <si>
    <t>Over Voltage</t>
  </si>
  <si>
    <t>OK</t>
  </si>
  <si>
    <t>0x2</t>
  </si>
  <si>
    <t>Klystron Arc</t>
  </si>
  <si>
    <t>0x10</t>
  </si>
  <si>
    <t>Transformer Arc</t>
  </si>
  <si>
    <t>0x400</t>
  </si>
  <si>
    <t>0x200</t>
  </si>
  <si>
    <t>Crowbar from RF</t>
  </si>
  <si>
    <t>0x800</t>
  </si>
  <si>
    <t>AC Current</t>
  </si>
  <si>
    <t xml:space="preserve">0x8 </t>
  </si>
  <si>
    <t>0x8</t>
  </si>
  <si>
    <t>Over Temperature</t>
  </si>
  <si>
    <t>Oil Level</t>
  </si>
  <si>
    <t>0x4000</t>
  </si>
  <si>
    <t>Transformer Press</t>
  </si>
  <si>
    <t>Transfmr Vac/Press</t>
  </si>
  <si>
    <t>Open Load</t>
  </si>
  <si>
    <t>0x9D09</t>
  </si>
  <si>
    <t>12 kV Available</t>
  </si>
  <si>
    <t>AVAIL</t>
  </si>
  <si>
    <t>AC Auxiliary Pwr</t>
  </si>
  <si>
    <t>0x4</t>
  </si>
  <si>
    <t>DC Auxiliary Pwr</t>
  </si>
  <si>
    <t>0x1000</t>
  </si>
  <si>
    <t>0x2000</t>
  </si>
  <si>
    <t>Supply Status</t>
  </si>
  <si>
    <t>Supply Ready</t>
  </si>
  <si>
    <t>PPS</t>
  </si>
  <si>
    <t>PERMIT</t>
  </si>
  <si>
    <t>SCR 1</t>
  </si>
  <si>
    <t>SCR 2</t>
  </si>
  <si>
    <t>0002, 0006</t>
  </si>
  <si>
    <t>I1</t>
  </si>
  <si>
    <t>Remote On/Off</t>
  </si>
  <si>
    <t>0004, 0009</t>
  </si>
  <si>
    <t>Control Enable</t>
  </si>
  <si>
    <t>Control reset</t>
  </si>
  <si>
    <t>(overflow? x3)</t>
  </si>
  <si>
    <t>12kV on</t>
  </si>
  <si>
    <t>AC aux power on</t>
  </si>
  <si>
    <t>AC current trip</t>
  </si>
  <si>
    <t>(klystron) Arc trip</t>
  </si>
  <si>
    <t>Contactor closed</t>
  </si>
  <si>
    <t>Contactor enable</t>
  </si>
  <si>
    <t>Contactor open</t>
  </si>
  <si>
    <t>Contactor ready</t>
  </si>
  <si>
    <t>Crowbar on</t>
  </si>
  <si>
    <t>Auxiliary power</t>
  </si>
  <si>
    <t>Emergency off</t>
  </si>
  <si>
    <t>Enerpro fast inhibit</t>
  </si>
  <si>
    <t>Enerpro slow start</t>
  </si>
  <si>
    <t>Low oil</t>
  </si>
  <si>
    <t>Oil overtemp</t>
  </si>
  <si>
    <t>Overtemp</t>
  </si>
  <si>
    <t>Over volt latch</t>
  </si>
  <si>
    <t>SCR 1 status</t>
  </si>
  <si>
    <t>SCR 2 status</t>
  </si>
  <si>
    <t>Sudden pressure</t>
  </si>
  <si>
    <t>Pressure alarm</t>
  </si>
  <si>
    <t>PPS status</t>
  </si>
  <si>
    <t>Remote Open Load</t>
  </si>
  <si>
    <t>(xfmr arc trip)</t>
  </si>
  <si>
    <t>DCM bit (Signal from F.O. Crowbar Enable from LLRF)</t>
  </si>
  <si>
    <t>H1 SCR latch</t>
  </si>
  <si>
    <t>H2 SCR latch</t>
  </si>
  <si>
    <t>Vacuum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</si>
</sst>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2439-D17E-43C8-B2D7-006D6AD0D87E}">
  <dimension ref="A1:D38"/>
  <sheetViews>
    <sheetView topLeftCell="A28" workbookViewId="0">
      <selection activeCell="F15" sqref="F15"/>
    </sheetView>
  </sheetViews>
  <sheetFormatPr defaultRowHeight="15"/>
  <cols>
    <col min="1" max="2" width="18.28515625" customWidth="1"/>
    <col min="3" max="3" width="36.5703125" customWidth="1"/>
    <col min="4" max="4" width="18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14</v>
      </c>
    </row>
    <row r="6" spans="1:4">
      <c r="A6" t="s">
        <v>18</v>
      </c>
      <c r="B6" t="s">
        <v>19</v>
      </c>
      <c r="C6" t="s">
        <v>20</v>
      </c>
      <c r="D6" t="s">
        <v>14</v>
      </c>
    </row>
    <row r="7" spans="1:4">
      <c r="A7" t="s">
        <v>21</v>
      </c>
      <c r="B7" t="s">
        <v>22</v>
      </c>
      <c r="C7" t="s">
        <v>23</v>
      </c>
      <c r="D7" t="s">
        <v>14</v>
      </c>
    </row>
    <row r="8" spans="1:4">
      <c r="A8" t="s">
        <v>24</v>
      </c>
      <c r="B8" t="s">
        <v>25</v>
      </c>
      <c r="C8" t="s">
        <v>26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7</v>
      </c>
    </row>
    <row r="10" spans="1:4">
      <c r="A10" t="s">
        <v>30</v>
      </c>
      <c r="B10" t="s">
        <v>31</v>
      </c>
      <c r="C10" t="s">
        <v>32</v>
      </c>
      <c r="D10" t="s">
        <v>14</v>
      </c>
    </row>
    <row r="11" spans="1:4">
      <c r="A11" t="s">
        <v>33</v>
      </c>
      <c r="B11" t="s">
        <v>34</v>
      </c>
      <c r="C11" t="s">
        <v>35</v>
      </c>
      <c r="D11" t="s">
        <v>7</v>
      </c>
    </row>
    <row r="12" spans="1:4">
      <c r="A12" t="s">
        <v>36</v>
      </c>
      <c r="B12" t="s">
        <v>37</v>
      </c>
      <c r="C12" t="s">
        <v>38</v>
      </c>
      <c r="D12" t="s">
        <v>14</v>
      </c>
    </row>
    <row r="13" spans="1:4">
      <c r="A13" t="s">
        <v>39</v>
      </c>
      <c r="B13" t="s">
        <v>40</v>
      </c>
      <c r="C13" t="s">
        <v>41</v>
      </c>
      <c r="D13" t="s">
        <v>7</v>
      </c>
    </row>
    <row r="14" spans="1:4">
      <c r="A14" t="s">
        <v>42</v>
      </c>
      <c r="B14" t="s">
        <v>43</v>
      </c>
      <c r="C14" t="s">
        <v>44</v>
      </c>
      <c r="D14" t="s">
        <v>7</v>
      </c>
    </row>
    <row r="15" spans="1:4">
      <c r="A15" t="s">
        <v>45</v>
      </c>
      <c r="B15" t="s">
        <v>46</v>
      </c>
      <c r="C15" t="s">
        <v>47</v>
      </c>
      <c r="D15" t="s">
        <v>7</v>
      </c>
    </row>
    <row r="16" spans="1:4">
      <c r="A16" t="s">
        <v>48</v>
      </c>
      <c r="B16" t="s">
        <v>49</v>
      </c>
      <c r="C16" t="s">
        <v>50</v>
      </c>
      <c r="D16" t="s">
        <v>7</v>
      </c>
    </row>
    <row r="17" spans="1:4">
      <c r="A17" t="s">
        <v>51</v>
      </c>
      <c r="B17" t="s">
        <v>52</v>
      </c>
      <c r="C17" t="s">
        <v>53</v>
      </c>
      <c r="D17" t="s">
        <v>7</v>
      </c>
    </row>
    <row r="18" spans="1:4">
      <c r="A18" t="s">
        <v>54</v>
      </c>
      <c r="B18" t="s">
        <v>55</v>
      </c>
      <c r="C18" t="s">
        <v>56</v>
      </c>
      <c r="D18" t="s">
        <v>7</v>
      </c>
    </row>
    <row r="19" spans="1:4">
      <c r="A19" t="s">
        <v>57</v>
      </c>
      <c r="B19" t="s">
        <v>58</v>
      </c>
      <c r="C19" t="s">
        <v>59</v>
      </c>
      <c r="D19" t="s">
        <v>7</v>
      </c>
    </row>
    <row r="20" spans="1:4">
      <c r="A20" t="s">
        <v>60</v>
      </c>
      <c r="B20" t="s">
        <v>61</v>
      </c>
      <c r="C20" t="s">
        <v>62</v>
      </c>
      <c r="D20" t="s">
        <v>7</v>
      </c>
    </row>
    <row r="21" spans="1:4">
      <c r="A21" t="s">
        <v>63</v>
      </c>
      <c r="B21" t="s">
        <v>64</v>
      </c>
      <c r="C21" t="s">
        <v>65</v>
      </c>
      <c r="D21" t="s">
        <v>7</v>
      </c>
    </row>
    <row r="23" spans="1:4">
      <c r="A23" t="s">
        <v>66</v>
      </c>
      <c r="C23" t="s">
        <v>67</v>
      </c>
      <c r="D23" t="s">
        <v>14</v>
      </c>
    </row>
    <row r="24" spans="1:4">
      <c r="A24" t="s">
        <v>68</v>
      </c>
      <c r="C24" t="s">
        <v>69</v>
      </c>
      <c r="D24" t="s">
        <v>14</v>
      </c>
    </row>
    <row r="25" spans="1:4">
      <c r="A25" t="s">
        <v>70</v>
      </c>
      <c r="C25" t="s">
        <v>71</v>
      </c>
      <c r="D25" t="s">
        <v>7</v>
      </c>
    </row>
    <row r="26" spans="1:4">
      <c r="A26" t="s">
        <v>72</v>
      </c>
      <c r="C26" t="s">
        <v>73</v>
      </c>
      <c r="D26" t="s">
        <v>14</v>
      </c>
    </row>
    <row r="27" spans="1:4">
      <c r="A27" t="s">
        <v>74</v>
      </c>
      <c r="C27" t="s">
        <v>75</v>
      </c>
      <c r="D27" t="s">
        <v>7</v>
      </c>
    </row>
    <row r="28" spans="1:4">
      <c r="A28" t="s">
        <v>76</v>
      </c>
      <c r="C28" t="s">
        <v>77</v>
      </c>
      <c r="D28" t="s">
        <v>7</v>
      </c>
    </row>
    <row r="29" spans="1:4">
      <c r="A29" t="s">
        <v>78</v>
      </c>
      <c r="C29" t="s">
        <v>79</v>
      </c>
      <c r="D29" t="s">
        <v>7</v>
      </c>
    </row>
    <row r="30" spans="1:4">
      <c r="A30" t="s">
        <v>80</v>
      </c>
      <c r="C30" t="s">
        <v>81</v>
      </c>
      <c r="D30" t="s">
        <v>7</v>
      </c>
    </row>
    <row r="31" spans="1:4">
      <c r="A31" t="s">
        <v>82</v>
      </c>
      <c r="C31" t="s">
        <v>83</v>
      </c>
      <c r="D31" t="s">
        <v>7</v>
      </c>
    </row>
    <row r="32" spans="1:4">
      <c r="A32" t="s">
        <v>84</v>
      </c>
      <c r="C32" t="s">
        <v>85</v>
      </c>
      <c r="D32" t="s">
        <v>14</v>
      </c>
    </row>
    <row r="33" spans="1:4">
      <c r="A33" t="s">
        <v>86</v>
      </c>
      <c r="C33" t="s">
        <v>87</v>
      </c>
      <c r="D33" t="s">
        <v>7</v>
      </c>
    </row>
    <row r="34" spans="1:4">
      <c r="A34" t="s">
        <v>88</v>
      </c>
      <c r="C34" t="s">
        <v>89</v>
      </c>
      <c r="D34" t="s">
        <v>7</v>
      </c>
    </row>
    <row r="35" spans="1:4">
      <c r="A35" t="s">
        <v>90</v>
      </c>
      <c r="C35" t="s">
        <v>91</v>
      </c>
      <c r="D35" t="s">
        <v>14</v>
      </c>
    </row>
    <row r="36" spans="1:4">
      <c r="A36" t="s">
        <v>92</v>
      </c>
      <c r="C36" t="s">
        <v>93</v>
      </c>
      <c r="D36" t="s">
        <v>7</v>
      </c>
    </row>
    <row r="37" spans="1:4">
      <c r="A37" t="s">
        <v>94</v>
      </c>
      <c r="C37" t="s">
        <v>95</v>
      </c>
      <c r="D37" t="s">
        <v>14</v>
      </c>
    </row>
    <row r="38" spans="1:4">
      <c r="A38" t="s">
        <v>96</v>
      </c>
      <c r="C38" t="s">
        <v>97</v>
      </c>
      <c r="D3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0762-43C6-48C8-8EDF-4C18487E17F6}">
  <dimension ref="A1:D13"/>
  <sheetViews>
    <sheetView workbookViewId="0">
      <selection activeCell="F12" sqref="F12"/>
    </sheetView>
  </sheetViews>
  <sheetFormatPr defaultRowHeight="15"/>
  <cols>
    <col min="1" max="2" width="17.7109375" customWidth="1"/>
    <col min="3" max="3" width="35.5703125" customWidth="1"/>
    <col min="4" max="4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98</v>
      </c>
      <c r="C2" t="s">
        <v>99</v>
      </c>
      <c r="D2" t="s">
        <v>7</v>
      </c>
    </row>
    <row r="3" spans="1:4">
      <c r="A3" t="s">
        <v>100</v>
      </c>
      <c r="C3" t="s">
        <v>101</v>
      </c>
      <c r="D3" t="s">
        <v>7</v>
      </c>
    </row>
    <row r="4" spans="1:4">
      <c r="A4" t="s">
        <v>102</v>
      </c>
      <c r="C4" t="s">
        <v>103</v>
      </c>
      <c r="D4" t="s">
        <v>7</v>
      </c>
    </row>
    <row r="5" spans="1:4">
      <c r="A5" t="s">
        <v>104</v>
      </c>
      <c r="C5" t="s">
        <v>105</v>
      </c>
      <c r="D5" t="s">
        <v>7</v>
      </c>
    </row>
    <row r="6" spans="1:4">
      <c r="A6" t="s">
        <v>106</v>
      </c>
      <c r="C6" t="s">
        <v>107</v>
      </c>
      <c r="D6" t="s">
        <v>7</v>
      </c>
    </row>
    <row r="7" spans="1:4">
      <c r="A7" t="s">
        <v>108</v>
      </c>
      <c r="C7" t="s">
        <v>109</v>
      </c>
      <c r="D7" t="s">
        <v>7</v>
      </c>
    </row>
    <row r="8" spans="1:4">
      <c r="A8" t="s">
        <v>110</v>
      </c>
      <c r="C8" t="s">
        <v>111</v>
      </c>
      <c r="D8" t="s">
        <v>7</v>
      </c>
    </row>
    <row r="9" spans="1:4">
      <c r="A9" t="s">
        <v>112</v>
      </c>
      <c r="C9" t="s">
        <v>113</v>
      </c>
      <c r="D9" t="s">
        <v>14</v>
      </c>
    </row>
    <row r="10" spans="1:4">
      <c r="A10" t="s">
        <v>114</v>
      </c>
      <c r="C10" t="s">
        <v>115</v>
      </c>
      <c r="D10" t="s">
        <v>7</v>
      </c>
    </row>
    <row r="11" spans="1:4">
      <c r="A11" t="s">
        <v>116</v>
      </c>
      <c r="C11" t="s">
        <v>117</v>
      </c>
      <c r="D11" t="s">
        <v>14</v>
      </c>
    </row>
    <row r="12" spans="1:4">
      <c r="A12" t="s">
        <v>118</v>
      </c>
      <c r="C12" t="s">
        <v>119</v>
      </c>
      <c r="D12" t="s">
        <v>7</v>
      </c>
    </row>
    <row r="13" spans="1:4">
      <c r="A13" t="s">
        <v>120</v>
      </c>
      <c r="C13" t="s">
        <v>121</v>
      </c>
      <c r="D13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3946-F6AD-49B6-9BE2-AFA59FE93FF3}">
  <dimension ref="A1:Q8"/>
  <sheetViews>
    <sheetView workbookViewId="0">
      <selection activeCell="R8" sqref="R8"/>
    </sheetView>
  </sheetViews>
  <sheetFormatPr defaultRowHeight="15"/>
  <sheetData>
    <row r="1" spans="1:17">
      <c r="A1" t="s">
        <v>122</v>
      </c>
    </row>
    <row r="2" spans="1:17">
      <c r="A2" t="s">
        <v>123</v>
      </c>
      <c r="B2">
        <v>15</v>
      </c>
      <c r="C2">
        <v>14</v>
      </c>
      <c r="D2">
        <v>13</v>
      </c>
      <c r="E2">
        <v>12</v>
      </c>
      <c r="F2">
        <v>11</v>
      </c>
      <c r="G2">
        <v>10</v>
      </c>
      <c r="H2">
        <v>9</v>
      </c>
      <c r="I2">
        <v>8</v>
      </c>
      <c r="J2">
        <v>7</v>
      </c>
      <c r="K2">
        <v>6</v>
      </c>
      <c r="L2">
        <v>5</v>
      </c>
      <c r="M2">
        <v>4</v>
      </c>
      <c r="N2">
        <v>3</v>
      </c>
      <c r="O2">
        <v>2</v>
      </c>
      <c r="P2">
        <v>1</v>
      </c>
      <c r="Q2">
        <v>0</v>
      </c>
    </row>
    <row r="4" spans="1:17">
      <c r="A4" t="s">
        <v>124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</row>
    <row r="5" spans="1:17">
      <c r="A5" t="s">
        <v>125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126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</row>
    <row r="7" spans="1:17">
      <c r="A7" t="s">
        <v>127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128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7FD8-C90A-4919-AC7E-A0DC8CF5549D}">
  <dimension ref="A1:D19"/>
  <sheetViews>
    <sheetView workbookViewId="0">
      <selection activeCell="D10" sqref="D10"/>
    </sheetView>
  </sheetViews>
  <sheetFormatPr defaultRowHeight="15"/>
  <cols>
    <col min="3" max="3" width="18.7109375" customWidth="1"/>
  </cols>
  <sheetData>
    <row r="1" spans="1:4">
      <c r="A1" t="s">
        <v>129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  <c r="C4" t="s">
        <v>73</v>
      </c>
      <c r="D4">
        <v>30</v>
      </c>
    </row>
    <row r="5" spans="1:4">
      <c r="A5">
        <v>14</v>
      </c>
      <c r="B5">
        <v>4000</v>
      </c>
      <c r="C5" t="s">
        <v>134</v>
      </c>
      <c r="D5" t="s">
        <v>135</v>
      </c>
    </row>
    <row r="6" spans="1:4">
      <c r="A6">
        <v>13</v>
      </c>
      <c r="B6">
        <v>2000</v>
      </c>
      <c r="C6" t="s">
        <v>136</v>
      </c>
      <c r="D6" t="s">
        <v>137</v>
      </c>
    </row>
    <row r="7" spans="1:4">
      <c r="A7">
        <v>12</v>
      </c>
      <c r="B7">
        <v>1000</v>
      </c>
    </row>
    <row r="8" spans="1:4">
      <c r="A8">
        <v>11</v>
      </c>
      <c r="B8">
        <v>800</v>
      </c>
    </row>
    <row r="9" spans="1:4">
      <c r="A9">
        <v>10</v>
      </c>
      <c r="B9">
        <v>400</v>
      </c>
      <c r="C9" t="s">
        <v>138</v>
      </c>
      <c r="D9">
        <v>1</v>
      </c>
    </row>
    <row r="10" spans="1:4">
      <c r="A10">
        <v>9</v>
      </c>
      <c r="B10">
        <v>200</v>
      </c>
      <c r="C10" t="s">
        <v>139</v>
      </c>
      <c r="D10">
        <v>61</v>
      </c>
    </row>
    <row r="11" spans="1:4">
      <c r="A11">
        <v>8</v>
      </c>
      <c r="B11">
        <v>100</v>
      </c>
      <c r="C11" t="s">
        <v>140</v>
      </c>
      <c r="D11">
        <v>2</v>
      </c>
    </row>
    <row r="12" spans="1:4">
      <c r="A12">
        <v>7</v>
      </c>
      <c r="B12">
        <v>80</v>
      </c>
    </row>
    <row r="13" spans="1:4">
      <c r="A13">
        <v>6</v>
      </c>
      <c r="B13">
        <v>40</v>
      </c>
      <c r="C13" t="s">
        <v>141</v>
      </c>
      <c r="D13">
        <v>17</v>
      </c>
    </row>
    <row r="14" spans="1:4">
      <c r="A14">
        <v>5</v>
      </c>
      <c r="B14">
        <v>20</v>
      </c>
    </row>
    <row r="15" spans="1:4">
      <c r="A15">
        <v>4</v>
      </c>
      <c r="B15">
        <v>10</v>
      </c>
      <c r="C15" t="s">
        <v>142</v>
      </c>
      <c r="D15">
        <v>4</v>
      </c>
    </row>
    <row r="16" spans="1:4">
      <c r="A16">
        <v>3</v>
      </c>
      <c r="B16">
        <v>8</v>
      </c>
    </row>
    <row r="17" spans="1:4">
      <c r="A17">
        <v>2</v>
      </c>
      <c r="B17">
        <v>4</v>
      </c>
      <c r="C17" t="s">
        <v>143</v>
      </c>
      <c r="D17">
        <v>10</v>
      </c>
    </row>
    <row r="18" spans="1:4">
      <c r="A18">
        <v>1</v>
      </c>
      <c r="B18">
        <v>2</v>
      </c>
    </row>
    <row r="19" spans="1:4">
      <c r="A19">
        <v>0</v>
      </c>
      <c r="B19">
        <v>1</v>
      </c>
      <c r="C19" t="s">
        <v>144</v>
      </c>
      <c r="D1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3466-B032-495A-B0FC-33BF0B379B2C}">
  <dimension ref="A1:D19"/>
  <sheetViews>
    <sheetView workbookViewId="0">
      <selection activeCell="E13" sqref="E13"/>
    </sheetView>
  </sheetViews>
  <sheetFormatPr defaultRowHeight="15"/>
  <cols>
    <col min="3" max="3" width="18.7109375" customWidth="1"/>
  </cols>
  <sheetData>
    <row r="1" spans="1:4">
      <c r="A1" t="s">
        <v>145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  <c r="C4" t="s">
        <v>146</v>
      </c>
      <c r="D4">
        <v>74</v>
      </c>
    </row>
    <row r="5" spans="1:4">
      <c r="A5">
        <v>14</v>
      </c>
      <c r="B5">
        <v>4000</v>
      </c>
      <c r="C5" t="s">
        <v>147</v>
      </c>
      <c r="D5">
        <v>74</v>
      </c>
    </row>
    <row r="6" spans="1:4">
      <c r="A6">
        <v>13</v>
      </c>
      <c r="B6">
        <v>2000</v>
      </c>
      <c r="C6" t="s">
        <v>148</v>
      </c>
      <c r="D6">
        <v>3</v>
      </c>
    </row>
    <row r="7" spans="1:4">
      <c r="A7">
        <v>12</v>
      </c>
      <c r="B7">
        <v>1000</v>
      </c>
      <c r="C7" t="s">
        <v>149</v>
      </c>
      <c r="D7">
        <v>38</v>
      </c>
    </row>
    <row r="8" spans="1:4">
      <c r="A8">
        <v>11</v>
      </c>
      <c r="B8">
        <v>800</v>
      </c>
      <c r="C8" t="s">
        <v>150</v>
      </c>
      <c r="D8">
        <v>33</v>
      </c>
    </row>
    <row r="9" spans="1:4">
      <c r="A9">
        <v>10</v>
      </c>
      <c r="B9">
        <v>400</v>
      </c>
      <c r="C9" t="s">
        <v>151</v>
      </c>
      <c r="D9">
        <v>40</v>
      </c>
    </row>
    <row r="10" spans="1:4">
      <c r="A10">
        <v>9</v>
      </c>
      <c r="B10">
        <v>200</v>
      </c>
      <c r="C10" t="s">
        <v>152</v>
      </c>
      <c r="D10">
        <v>17</v>
      </c>
    </row>
    <row r="11" spans="1:4">
      <c r="A11">
        <v>8</v>
      </c>
      <c r="B11">
        <v>100</v>
      </c>
      <c r="C11" t="s">
        <v>153</v>
      </c>
      <c r="D11">
        <v>63</v>
      </c>
    </row>
    <row r="12" spans="1:4">
      <c r="A12">
        <v>7</v>
      </c>
      <c r="B12">
        <v>80</v>
      </c>
      <c r="C12" t="s">
        <v>154</v>
      </c>
      <c r="D12">
        <v>37</v>
      </c>
    </row>
    <row r="13" spans="1:4">
      <c r="A13">
        <v>6</v>
      </c>
      <c r="B13">
        <v>40</v>
      </c>
      <c r="C13" t="s">
        <v>155</v>
      </c>
      <c r="D13">
        <v>75</v>
      </c>
    </row>
    <row r="14" spans="1:4">
      <c r="A14">
        <v>5</v>
      </c>
      <c r="B14">
        <v>20</v>
      </c>
      <c r="C14" t="s">
        <v>156</v>
      </c>
      <c r="D14">
        <v>34</v>
      </c>
    </row>
    <row r="15" spans="1:4">
      <c r="A15">
        <v>4</v>
      </c>
      <c r="B15">
        <v>10</v>
      </c>
      <c r="C15" t="s">
        <v>157</v>
      </c>
      <c r="D15">
        <v>39</v>
      </c>
    </row>
    <row r="16" spans="1:4">
      <c r="A16">
        <v>3</v>
      </c>
      <c r="B16">
        <v>8</v>
      </c>
      <c r="C16" t="s">
        <v>158</v>
      </c>
      <c r="D16">
        <v>31</v>
      </c>
    </row>
    <row r="17" spans="1:4">
      <c r="A17">
        <v>2</v>
      </c>
      <c r="B17">
        <v>4</v>
      </c>
      <c r="C17" t="s">
        <v>159</v>
      </c>
      <c r="D17">
        <v>64</v>
      </c>
    </row>
    <row r="18" spans="1:4">
      <c r="A18">
        <v>1</v>
      </c>
      <c r="B18">
        <v>2</v>
      </c>
      <c r="C18" t="s">
        <v>160</v>
      </c>
      <c r="D18">
        <v>15</v>
      </c>
    </row>
    <row r="19" spans="1:4">
      <c r="A19">
        <v>0</v>
      </c>
      <c r="B19">
        <v>1</v>
      </c>
      <c r="C19" t="s">
        <v>59</v>
      </c>
      <c r="D19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F4F5-87E7-410C-9294-032A94C015C2}">
  <dimension ref="A1:D19"/>
  <sheetViews>
    <sheetView workbookViewId="0">
      <selection activeCell="D19" sqref="D19"/>
    </sheetView>
  </sheetViews>
  <sheetFormatPr defaultRowHeight="15"/>
  <cols>
    <col min="3" max="3" width="18.7109375" customWidth="1"/>
  </cols>
  <sheetData>
    <row r="1" spans="1:4">
      <c r="A1" t="s">
        <v>161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</row>
    <row r="5" spans="1:4">
      <c r="A5">
        <v>14</v>
      </c>
      <c r="B5">
        <v>4000</v>
      </c>
    </row>
    <row r="6" spans="1:4">
      <c r="A6">
        <v>13</v>
      </c>
      <c r="B6">
        <v>2000</v>
      </c>
    </row>
    <row r="7" spans="1:4">
      <c r="A7">
        <v>12</v>
      </c>
      <c r="B7">
        <v>1000</v>
      </c>
    </row>
    <row r="8" spans="1:4">
      <c r="A8">
        <v>11</v>
      </c>
      <c r="B8">
        <v>800</v>
      </c>
    </row>
    <row r="9" spans="1:4">
      <c r="A9">
        <v>10</v>
      </c>
      <c r="B9">
        <v>400</v>
      </c>
    </row>
    <row r="10" spans="1:4">
      <c r="A10">
        <v>9</v>
      </c>
      <c r="B10">
        <v>200</v>
      </c>
    </row>
    <row r="11" spans="1:4">
      <c r="A11">
        <v>8</v>
      </c>
      <c r="B11">
        <v>100</v>
      </c>
    </row>
    <row r="12" spans="1:4">
      <c r="A12">
        <v>7</v>
      </c>
      <c r="B12">
        <v>80</v>
      </c>
      <c r="C12" t="s">
        <v>162</v>
      </c>
      <c r="D12">
        <v>50</v>
      </c>
    </row>
    <row r="13" spans="1:4">
      <c r="A13">
        <v>6</v>
      </c>
      <c r="B13">
        <v>40</v>
      </c>
      <c r="C13" t="s">
        <v>163</v>
      </c>
      <c r="D13">
        <v>48</v>
      </c>
    </row>
    <row r="14" spans="1:4">
      <c r="A14">
        <v>5</v>
      </c>
      <c r="B14">
        <v>20</v>
      </c>
      <c r="C14" t="s">
        <v>164</v>
      </c>
      <c r="D14">
        <v>49</v>
      </c>
    </row>
    <row r="15" spans="1:4">
      <c r="A15">
        <v>4</v>
      </c>
      <c r="B15">
        <v>10</v>
      </c>
      <c r="C15" t="s">
        <v>165</v>
      </c>
      <c r="D15">
        <v>56</v>
      </c>
    </row>
    <row r="16" spans="1:4">
      <c r="A16">
        <v>3</v>
      </c>
      <c r="B16">
        <v>8</v>
      </c>
      <c r="C16" t="s">
        <v>166</v>
      </c>
      <c r="D16">
        <v>51</v>
      </c>
    </row>
    <row r="17" spans="1:4">
      <c r="A17">
        <v>2</v>
      </c>
      <c r="B17">
        <v>4</v>
      </c>
      <c r="C17" t="s">
        <v>167</v>
      </c>
      <c r="D17">
        <v>58</v>
      </c>
    </row>
    <row r="18" spans="1:4">
      <c r="A18">
        <v>1</v>
      </c>
      <c r="B18">
        <v>2</v>
      </c>
      <c r="C18" t="s">
        <v>168</v>
      </c>
      <c r="D18">
        <v>60</v>
      </c>
    </row>
    <row r="19" spans="1:4">
      <c r="A19">
        <v>0</v>
      </c>
      <c r="B19">
        <v>1</v>
      </c>
      <c r="C19" t="s">
        <v>169</v>
      </c>
      <c r="D19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CE1A-7C2D-4909-AE55-55312A27A639}">
  <dimension ref="A1:D19"/>
  <sheetViews>
    <sheetView workbookViewId="0">
      <selection activeCell="D18" sqref="D18"/>
    </sheetView>
  </sheetViews>
  <sheetFormatPr defaultRowHeight="15"/>
  <cols>
    <col min="3" max="3" width="18.7109375" customWidth="1"/>
  </cols>
  <sheetData>
    <row r="1" spans="1:4">
      <c r="A1" t="s">
        <v>170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  <c r="C4" t="s">
        <v>171</v>
      </c>
      <c r="D4">
        <v>26</v>
      </c>
    </row>
    <row r="5" spans="1:4">
      <c r="A5">
        <v>14</v>
      </c>
      <c r="B5">
        <v>4000</v>
      </c>
    </row>
    <row r="6" spans="1:4">
      <c r="A6">
        <v>13</v>
      </c>
      <c r="B6">
        <v>2000</v>
      </c>
      <c r="C6" t="s">
        <v>172</v>
      </c>
      <c r="D6">
        <v>25</v>
      </c>
    </row>
    <row r="7" spans="1:4">
      <c r="A7">
        <v>12</v>
      </c>
      <c r="B7">
        <v>1000</v>
      </c>
      <c r="C7" t="s">
        <v>173</v>
      </c>
      <c r="D7">
        <v>24</v>
      </c>
    </row>
    <row r="8" spans="1:4">
      <c r="A8">
        <v>11</v>
      </c>
      <c r="B8">
        <v>800</v>
      </c>
      <c r="C8" t="s">
        <v>174</v>
      </c>
      <c r="D8">
        <v>14</v>
      </c>
    </row>
    <row r="9" spans="1:4">
      <c r="A9">
        <v>10</v>
      </c>
      <c r="B9">
        <v>400</v>
      </c>
      <c r="C9" t="s">
        <v>175</v>
      </c>
      <c r="D9">
        <v>28</v>
      </c>
    </row>
    <row r="10" spans="1:4">
      <c r="A10">
        <v>9</v>
      </c>
      <c r="B10">
        <v>200</v>
      </c>
      <c r="C10" t="s">
        <v>176</v>
      </c>
      <c r="D10">
        <v>29</v>
      </c>
    </row>
    <row r="11" spans="1:4">
      <c r="A11">
        <v>8</v>
      </c>
      <c r="B11">
        <v>100</v>
      </c>
      <c r="C11" t="s">
        <v>177</v>
      </c>
      <c r="D11">
        <v>20</v>
      </c>
    </row>
    <row r="12" spans="1:4">
      <c r="A12">
        <v>7</v>
      </c>
      <c r="B12">
        <v>80</v>
      </c>
      <c r="C12" t="s">
        <v>178</v>
      </c>
      <c r="D12">
        <v>21</v>
      </c>
    </row>
    <row r="13" spans="1:4">
      <c r="A13">
        <v>6</v>
      </c>
      <c r="B13">
        <v>40</v>
      </c>
      <c r="C13" t="s">
        <v>179</v>
      </c>
      <c r="D13">
        <v>23</v>
      </c>
    </row>
    <row r="14" spans="1:4">
      <c r="A14">
        <v>5</v>
      </c>
      <c r="B14">
        <v>20</v>
      </c>
      <c r="C14" t="s">
        <v>180</v>
      </c>
      <c r="D14">
        <v>22</v>
      </c>
    </row>
    <row r="15" spans="1:4">
      <c r="A15">
        <v>4</v>
      </c>
      <c r="B15">
        <v>10</v>
      </c>
    </row>
    <row r="16" spans="1:4">
      <c r="A16">
        <v>3</v>
      </c>
      <c r="B16">
        <v>8</v>
      </c>
    </row>
    <row r="17" spans="1:4">
      <c r="A17">
        <v>2</v>
      </c>
      <c r="B17">
        <v>4</v>
      </c>
      <c r="C17" t="s">
        <v>181</v>
      </c>
      <c r="D17">
        <v>7</v>
      </c>
    </row>
    <row r="18" spans="1:4">
      <c r="A18">
        <v>1</v>
      </c>
      <c r="B18">
        <v>2</v>
      </c>
      <c r="C18" t="s">
        <v>182</v>
      </c>
      <c r="D18">
        <v>37</v>
      </c>
    </row>
    <row r="19" spans="1:4">
      <c r="A19">
        <v>0</v>
      </c>
      <c r="B19">
        <v>1</v>
      </c>
      <c r="C19" t="s">
        <v>183</v>
      </c>
      <c r="D19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90F-FDDB-4BC4-999E-10453AE294E0}">
  <dimension ref="A1:D19"/>
  <sheetViews>
    <sheetView workbookViewId="0">
      <selection activeCell="C11" sqref="C11"/>
    </sheetView>
  </sheetViews>
  <sheetFormatPr defaultRowHeight="15"/>
  <cols>
    <col min="3" max="3" width="18.7109375" customWidth="1"/>
  </cols>
  <sheetData>
    <row r="1" spans="1:4">
      <c r="A1" t="s">
        <v>184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  <c r="C4" t="s">
        <v>185</v>
      </c>
      <c r="D4">
        <v>57</v>
      </c>
    </row>
    <row r="5" spans="1:4">
      <c r="A5">
        <v>14</v>
      </c>
      <c r="B5">
        <v>4000</v>
      </c>
      <c r="C5" t="s">
        <v>44</v>
      </c>
      <c r="D5">
        <v>52</v>
      </c>
    </row>
    <row r="6" spans="1:4">
      <c r="A6">
        <v>13</v>
      </c>
      <c r="B6">
        <v>2000</v>
      </c>
      <c r="C6" t="s">
        <v>186</v>
      </c>
      <c r="D6">
        <v>55</v>
      </c>
    </row>
    <row r="7" spans="1:4">
      <c r="A7">
        <v>12</v>
      </c>
      <c r="B7">
        <v>1000</v>
      </c>
      <c r="C7" t="s">
        <v>187</v>
      </c>
      <c r="D7">
        <v>54</v>
      </c>
    </row>
    <row r="8" spans="1:4">
      <c r="A8">
        <v>11</v>
      </c>
      <c r="B8">
        <v>800</v>
      </c>
      <c r="C8" t="s">
        <v>188</v>
      </c>
      <c r="D8">
        <v>53</v>
      </c>
    </row>
    <row r="9" spans="1:4">
      <c r="A9">
        <v>10</v>
      </c>
      <c r="B9">
        <v>400</v>
      </c>
      <c r="C9" t="s">
        <v>189</v>
      </c>
      <c r="D9">
        <v>13</v>
      </c>
    </row>
    <row r="10" spans="1:4">
      <c r="A10">
        <v>9</v>
      </c>
      <c r="B10">
        <v>200</v>
      </c>
      <c r="C10" t="s">
        <v>190</v>
      </c>
      <c r="D10">
        <v>72</v>
      </c>
    </row>
    <row r="11" spans="1:4">
      <c r="A11">
        <v>8</v>
      </c>
      <c r="B11">
        <v>100</v>
      </c>
      <c r="C11" t="s">
        <v>191</v>
      </c>
      <c r="D11">
        <v>71</v>
      </c>
    </row>
    <row r="12" spans="1:4">
      <c r="A12">
        <v>7</v>
      </c>
      <c r="B12">
        <v>80</v>
      </c>
      <c r="C12" t="s">
        <v>192</v>
      </c>
      <c r="D12">
        <v>47</v>
      </c>
    </row>
    <row r="13" spans="1:4">
      <c r="A13">
        <v>6</v>
      </c>
      <c r="B13">
        <v>40</v>
      </c>
      <c r="C13" t="s">
        <v>193</v>
      </c>
      <c r="D13">
        <v>59</v>
      </c>
    </row>
    <row r="14" spans="1:4">
      <c r="A14">
        <v>5</v>
      </c>
      <c r="B14">
        <v>20</v>
      </c>
      <c r="C14" t="s">
        <v>194</v>
      </c>
      <c r="D14">
        <v>58</v>
      </c>
    </row>
    <row r="15" spans="1:4">
      <c r="A15">
        <v>4</v>
      </c>
      <c r="B15">
        <v>10</v>
      </c>
      <c r="C15" t="s">
        <v>195</v>
      </c>
      <c r="D15">
        <v>46</v>
      </c>
    </row>
    <row r="16" spans="1:4">
      <c r="A16">
        <v>3</v>
      </c>
      <c r="B16">
        <v>8</v>
      </c>
      <c r="C16" t="s">
        <v>196</v>
      </c>
      <c r="D16">
        <v>45</v>
      </c>
    </row>
    <row r="17" spans="1:4">
      <c r="A17">
        <v>2</v>
      </c>
      <c r="B17">
        <v>4</v>
      </c>
      <c r="C17" t="s">
        <v>197</v>
      </c>
      <c r="D17">
        <v>44</v>
      </c>
    </row>
    <row r="18" spans="1:4">
      <c r="A18">
        <v>1</v>
      </c>
      <c r="B18">
        <v>2</v>
      </c>
      <c r="C18" t="s">
        <v>198</v>
      </c>
      <c r="D18">
        <v>43</v>
      </c>
    </row>
    <row r="19" spans="1:4">
      <c r="A19">
        <v>0</v>
      </c>
      <c r="B19">
        <v>1</v>
      </c>
      <c r="C19" t="s">
        <v>199</v>
      </c>
      <c r="D19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523A-F803-4D69-A2AC-988CBDF2E5E8}">
  <dimension ref="A1:D19"/>
  <sheetViews>
    <sheetView workbookViewId="0">
      <selection activeCell="D16" sqref="D16"/>
    </sheetView>
  </sheetViews>
  <sheetFormatPr defaultRowHeight="15"/>
  <cols>
    <col min="3" max="3" width="18.7109375" customWidth="1"/>
  </cols>
  <sheetData>
    <row r="1" spans="1:4">
      <c r="A1" t="s">
        <v>200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>
        <v>15</v>
      </c>
      <c r="B4">
        <v>8000</v>
      </c>
    </row>
    <row r="5" spans="1:4">
      <c r="A5">
        <v>14</v>
      </c>
      <c r="B5">
        <v>4000</v>
      </c>
    </row>
    <row r="6" spans="1:4">
      <c r="A6">
        <v>13</v>
      </c>
      <c r="B6">
        <v>2000</v>
      </c>
    </row>
    <row r="7" spans="1:4">
      <c r="A7">
        <v>12</v>
      </c>
      <c r="B7">
        <v>1000</v>
      </c>
      <c r="C7" t="s">
        <v>201</v>
      </c>
      <c r="D7">
        <v>42</v>
      </c>
    </row>
    <row r="8" spans="1:4">
      <c r="A8">
        <v>11</v>
      </c>
      <c r="B8">
        <v>800</v>
      </c>
      <c r="C8" t="s">
        <v>202</v>
      </c>
      <c r="D8">
        <v>71</v>
      </c>
    </row>
    <row r="9" spans="1:4">
      <c r="A9">
        <v>10</v>
      </c>
      <c r="B9">
        <v>400</v>
      </c>
      <c r="C9" t="s">
        <v>203</v>
      </c>
      <c r="D9">
        <v>72</v>
      </c>
    </row>
    <row r="10" spans="1:4">
      <c r="A10">
        <v>9</v>
      </c>
      <c r="B10">
        <v>200</v>
      </c>
    </row>
    <row r="11" spans="1:4">
      <c r="A11">
        <v>8</v>
      </c>
      <c r="B11">
        <v>100</v>
      </c>
    </row>
    <row r="12" spans="1:4">
      <c r="A12">
        <v>7</v>
      </c>
      <c r="B12">
        <v>80</v>
      </c>
    </row>
    <row r="13" spans="1:4">
      <c r="A13">
        <v>6</v>
      </c>
      <c r="B13">
        <v>40</v>
      </c>
    </row>
    <row r="14" spans="1:4">
      <c r="A14">
        <v>5</v>
      </c>
      <c r="B14">
        <v>20</v>
      </c>
    </row>
    <row r="15" spans="1:4">
      <c r="A15">
        <v>4</v>
      </c>
      <c r="B15">
        <v>10</v>
      </c>
    </row>
    <row r="16" spans="1:4">
      <c r="A16">
        <v>3</v>
      </c>
      <c r="B16">
        <v>8</v>
      </c>
      <c r="C16" t="s">
        <v>89</v>
      </c>
      <c r="D16" t="s">
        <v>204</v>
      </c>
    </row>
    <row r="17" spans="1:2">
      <c r="A17">
        <v>2</v>
      </c>
      <c r="B17">
        <v>4</v>
      </c>
    </row>
    <row r="18" spans="1:2">
      <c r="A18">
        <v>1</v>
      </c>
      <c r="B18">
        <v>2</v>
      </c>
    </row>
    <row r="19" spans="1:2">
      <c r="A19">
        <v>0</v>
      </c>
      <c r="B1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8578-7367-4292-929D-2D40844887CE}">
  <dimension ref="A1:C28"/>
  <sheetViews>
    <sheetView workbookViewId="0">
      <selection activeCell="D1" sqref="D1"/>
    </sheetView>
  </sheetViews>
  <sheetFormatPr defaultRowHeight="15"/>
  <cols>
    <col min="1" max="2" width="18.28515625" customWidth="1"/>
    <col min="3" max="3" width="36.5703125" customWidth="1"/>
  </cols>
  <sheetData>
    <row r="1" spans="1:3">
      <c r="A1" t="s">
        <v>0</v>
      </c>
      <c r="B1" t="s">
        <v>1</v>
      </c>
      <c r="C1" t="s">
        <v>205</v>
      </c>
    </row>
    <row r="2" spans="1:3">
      <c r="B2" t="s">
        <v>206</v>
      </c>
      <c r="C2" t="s">
        <v>207</v>
      </c>
    </row>
    <row r="3" spans="1:3">
      <c r="B3" t="s">
        <v>208</v>
      </c>
      <c r="C3" t="s">
        <v>209</v>
      </c>
    </row>
    <row r="4" spans="1:3">
      <c r="B4" t="s">
        <v>210</v>
      </c>
      <c r="C4" t="s">
        <v>211</v>
      </c>
    </row>
    <row r="5" spans="1:3">
      <c r="B5" t="s">
        <v>43</v>
      </c>
      <c r="C5" t="s">
        <v>212</v>
      </c>
    </row>
    <row r="6" spans="1:3">
      <c r="B6" t="s">
        <v>213</v>
      </c>
      <c r="C6" t="s">
        <v>214</v>
      </c>
    </row>
    <row r="7" spans="1:3">
      <c r="B7" t="s">
        <v>215</v>
      </c>
      <c r="C7" t="s">
        <v>216</v>
      </c>
    </row>
    <row r="8" spans="1:3">
      <c r="B8" t="s">
        <v>217</v>
      </c>
      <c r="C8" t="s">
        <v>218</v>
      </c>
    </row>
    <row r="9" spans="1:3">
      <c r="B9" t="s">
        <v>219</v>
      </c>
      <c r="C9" t="s">
        <v>220</v>
      </c>
    </row>
    <row r="10" spans="1:3">
      <c r="B10" t="s">
        <v>221</v>
      </c>
      <c r="C10" t="s">
        <v>222</v>
      </c>
    </row>
    <row r="11" spans="1:3">
      <c r="B11" t="s">
        <v>223</v>
      </c>
      <c r="C11" t="s">
        <v>224</v>
      </c>
    </row>
    <row r="12" spans="1:3">
      <c r="B12" t="s">
        <v>225</v>
      </c>
      <c r="C12" t="s">
        <v>226</v>
      </c>
    </row>
    <row r="13" spans="1:3">
      <c r="B13" t="s">
        <v>227</v>
      </c>
      <c r="C13" t="s">
        <v>228</v>
      </c>
    </row>
    <row r="14" spans="1:3">
      <c r="B14" t="s">
        <v>52</v>
      </c>
      <c r="C14" t="s">
        <v>229</v>
      </c>
    </row>
    <row r="15" spans="1:3">
      <c r="B15" t="s">
        <v>49</v>
      </c>
      <c r="C15" t="s">
        <v>230</v>
      </c>
    </row>
    <row r="16" spans="1:3">
      <c r="B16" t="s">
        <v>231</v>
      </c>
      <c r="C16" t="s">
        <v>232</v>
      </c>
    </row>
    <row r="17" spans="2:3">
      <c r="B17" t="s">
        <v>233</v>
      </c>
      <c r="C17" t="s">
        <v>234</v>
      </c>
    </row>
    <row r="18" spans="2:3">
      <c r="B18" t="s">
        <v>235</v>
      </c>
      <c r="C18" t="s">
        <v>236</v>
      </c>
    </row>
    <row r="19" spans="2:3">
      <c r="B19" t="s">
        <v>237</v>
      </c>
      <c r="C19" t="s">
        <v>238</v>
      </c>
    </row>
    <row r="20" spans="2:3">
      <c r="B20" t="s">
        <v>239</v>
      </c>
      <c r="C20" t="s">
        <v>240</v>
      </c>
    </row>
    <row r="21" spans="2:3">
      <c r="B21" t="s">
        <v>241</v>
      </c>
      <c r="C21" t="s">
        <v>242</v>
      </c>
    </row>
    <row r="22" spans="2:3">
      <c r="B22" t="s">
        <v>243</v>
      </c>
      <c r="C22" t="s">
        <v>244</v>
      </c>
    </row>
    <row r="23" spans="2:3">
      <c r="B23" t="s">
        <v>245</v>
      </c>
      <c r="C23" t="s">
        <v>242</v>
      </c>
    </row>
    <row r="24" spans="2:3">
      <c r="B24" t="s">
        <v>246</v>
      </c>
      <c r="C24" t="s">
        <v>247</v>
      </c>
    </row>
    <row r="25" spans="2:3">
      <c r="B25" t="s">
        <v>248</v>
      </c>
      <c r="C25" t="s">
        <v>249</v>
      </c>
    </row>
    <row r="26" spans="2:3">
      <c r="B26" t="s">
        <v>250</v>
      </c>
      <c r="C26" t="s">
        <v>251</v>
      </c>
    </row>
    <row r="27" spans="2:3">
      <c r="B27" t="s">
        <v>252</v>
      </c>
      <c r="C27" t="s">
        <v>253</v>
      </c>
    </row>
    <row r="28" spans="2:3">
      <c r="B28" t="s">
        <v>254</v>
      </c>
      <c r="C28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A78F-FAA9-4D6D-BA41-834584593810}">
  <dimension ref="A1:E68"/>
  <sheetViews>
    <sheetView topLeftCell="A59" workbookViewId="0">
      <selection activeCell="E35" sqref="E35"/>
    </sheetView>
  </sheetViews>
  <sheetFormatPr defaultRowHeight="15"/>
  <cols>
    <col min="1" max="2" width="18.28515625" customWidth="1"/>
    <col min="3" max="3" width="36.5703125" customWidth="1"/>
    <col min="4" max="4" width="27.4257812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256</v>
      </c>
      <c r="E1" t="s">
        <v>257</v>
      </c>
    </row>
    <row r="2" spans="1:5">
      <c r="A2" t="s">
        <v>258</v>
      </c>
      <c r="B2" t="s">
        <v>259</v>
      </c>
      <c r="C2" t="s">
        <v>260</v>
      </c>
      <c r="D2">
        <v>7080</v>
      </c>
    </row>
    <row r="3" spans="1:5">
      <c r="A3" t="s">
        <v>261</v>
      </c>
      <c r="B3" t="s">
        <v>262</v>
      </c>
      <c r="C3" t="s">
        <v>263</v>
      </c>
      <c r="D3">
        <v>442</v>
      </c>
    </row>
    <row r="4" spans="1:5">
      <c r="A4" t="s">
        <v>264</v>
      </c>
      <c r="B4" t="s">
        <v>265</v>
      </c>
      <c r="C4" t="s">
        <v>266</v>
      </c>
      <c r="D4">
        <v>7497</v>
      </c>
      <c r="E4" t="s">
        <v>267</v>
      </c>
    </row>
    <row r="5" spans="1:5">
      <c r="A5" t="s">
        <v>268</v>
      </c>
      <c r="B5" t="s">
        <v>269</v>
      </c>
      <c r="C5" t="s">
        <v>270</v>
      </c>
      <c r="D5">
        <v>354</v>
      </c>
      <c r="E5" t="s">
        <v>271</v>
      </c>
    </row>
    <row r="6" spans="1:5">
      <c r="A6" t="s">
        <v>272</v>
      </c>
      <c r="B6" t="s">
        <v>273</v>
      </c>
      <c r="C6" t="s">
        <v>274</v>
      </c>
      <c r="D6" t="s">
        <v>275</v>
      </c>
      <c r="E6" t="s">
        <v>276</v>
      </c>
    </row>
    <row r="7" spans="1:5">
      <c r="A7" t="s">
        <v>277</v>
      </c>
      <c r="B7" t="s">
        <v>278</v>
      </c>
      <c r="C7" t="s">
        <v>279</v>
      </c>
      <c r="D7" t="s">
        <v>280</v>
      </c>
    </row>
    <row r="8" spans="1:5">
      <c r="A8" t="s">
        <v>281</v>
      </c>
      <c r="B8" t="s">
        <v>282</v>
      </c>
      <c r="C8" t="s">
        <v>283</v>
      </c>
      <c r="D8">
        <v>7399</v>
      </c>
    </row>
    <row r="9" spans="1:5">
      <c r="A9" t="s">
        <v>284</v>
      </c>
      <c r="B9" t="s">
        <v>285</v>
      </c>
      <c r="C9" t="s">
        <v>286</v>
      </c>
      <c r="D9">
        <v>2187</v>
      </c>
    </row>
    <row r="10" spans="1:5">
      <c r="A10" t="s">
        <v>287</v>
      </c>
      <c r="B10" t="s">
        <v>288</v>
      </c>
      <c r="C10" t="s">
        <v>289</v>
      </c>
      <c r="D10">
        <v>1783</v>
      </c>
    </row>
    <row r="11" spans="1:5">
      <c r="A11" t="s">
        <v>290</v>
      </c>
      <c r="B11" t="s">
        <v>291</v>
      </c>
      <c r="C11" t="s">
        <v>292</v>
      </c>
      <c r="D11">
        <v>-117</v>
      </c>
      <c r="E11">
        <v>78</v>
      </c>
    </row>
    <row r="12" spans="1:5">
      <c r="A12" t="s">
        <v>293</v>
      </c>
      <c r="B12" t="s">
        <v>294</v>
      </c>
      <c r="C12" t="s">
        <v>295</v>
      </c>
      <c r="D12">
        <v>23167</v>
      </c>
      <c r="E12" t="s">
        <v>296</v>
      </c>
    </row>
    <row r="13" spans="1:5">
      <c r="A13" t="s">
        <v>297</v>
      </c>
      <c r="B13" t="s">
        <v>298</v>
      </c>
      <c r="C13" t="s">
        <v>299</v>
      </c>
      <c r="D13">
        <v>14488</v>
      </c>
    </row>
    <row r="14" spans="1:5">
      <c r="A14" t="s">
        <v>300</v>
      </c>
      <c r="B14" t="s">
        <v>301</v>
      </c>
      <c r="C14" t="s">
        <v>302</v>
      </c>
      <c r="D14">
        <v>24375</v>
      </c>
      <c r="E14" t="s">
        <v>303</v>
      </c>
    </row>
    <row r="15" spans="1:5">
      <c r="A15" t="s">
        <v>304</v>
      </c>
      <c r="B15" t="s">
        <v>305</v>
      </c>
      <c r="C15" t="s">
        <v>306</v>
      </c>
      <c r="D15">
        <v>11585</v>
      </c>
      <c r="E15">
        <v>88</v>
      </c>
    </row>
    <row r="16" spans="1:5">
      <c r="A16" t="s">
        <v>307</v>
      </c>
      <c r="B16" t="s">
        <v>308</v>
      </c>
      <c r="C16" t="s">
        <v>309</v>
      </c>
      <c r="D16">
        <v>7374</v>
      </c>
      <c r="E16" t="s">
        <v>310</v>
      </c>
    </row>
    <row r="17" spans="1:5">
      <c r="A17" t="s">
        <v>311</v>
      </c>
      <c r="B17" t="s">
        <v>312</v>
      </c>
      <c r="C17" t="s">
        <v>313</v>
      </c>
      <c r="D17">
        <v>24438</v>
      </c>
      <c r="E17" t="s">
        <v>314</v>
      </c>
    </row>
    <row r="18" spans="1:5">
      <c r="A18" t="s">
        <v>315</v>
      </c>
      <c r="B18" t="s">
        <v>316</v>
      </c>
      <c r="C18" t="s">
        <v>317</v>
      </c>
      <c r="D18">
        <v>24215</v>
      </c>
      <c r="E18" t="s">
        <v>318</v>
      </c>
    </row>
    <row r="19" spans="1:5">
      <c r="A19" t="s">
        <v>319</v>
      </c>
      <c r="B19" t="s">
        <v>320</v>
      </c>
      <c r="C19" t="s">
        <v>321</v>
      </c>
      <c r="D19">
        <v>14330</v>
      </c>
      <c r="E19" t="s">
        <v>322</v>
      </c>
    </row>
    <row r="20" spans="1:5">
      <c r="A20" t="s">
        <v>323</v>
      </c>
      <c r="B20" t="s">
        <v>324</v>
      </c>
      <c r="C20" t="s">
        <v>325</v>
      </c>
      <c r="D20">
        <v>10724</v>
      </c>
      <c r="E20" t="s">
        <v>326</v>
      </c>
    </row>
    <row r="21" spans="1:5">
      <c r="A21" t="s">
        <v>327</v>
      </c>
      <c r="B21" t="s">
        <v>328</v>
      </c>
      <c r="C21" t="s">
        <v>329</v>
      </c>
      <c r="D21">
        <v>-122</v>
      </c>
      <c r="E21">
        <v>76</v>
      </c>
    </row>
    <row r="22" spans="1:5">
      <c r="A22" t="s">
        <v>330</v>
      </c>
      <c r="B22" t="s">
        <v>331</v>
      </c>
      <c r="C22" t="s">
        <v>332</v>
      </c>
      <c r="D22">
        <v>10000</v>
      </c>
    </row>
    <row r="23" spans="1:5">
      <c r="A23" t="s">
        <v>333</v>
      </c>
      <c r="B23" t="s">
        <v>334</v>
      </c>
      <c r="C23" t="s">
        <v>335</v>
      </c>
      <c r="D23">
        <v>1000</v>
      </c>
    </row>
    <row r="24" spans="1:5">
      <c r="A24" t="s">
        <v>336</v>
      </c>
      <c r="B24" t="s">
        <v>337</v>
      </c>
      <c r="C24" t="s">
        <v>338</v>
      </c>
      <c r="D24" t="s">
        <v>339</v>
      </c>
      <c r="E24">
        <v>84</v>
      </c>
    </row>
    <row r="25" spans="1:5">
      <c r="A25" t="s">
        <v>340</v>
      </c>
      <c r="B25" t="s">
        <v>341</v>
      </c>
      <c r="C25" t="s">
        <v>335</v>
      </c>
      <c r="D25">
        <v>1000</v>
      </c>
    </row>
    <row r="26" spans="1:5">
      <c r="A26" t="s">
        <v>342</v>
      </c>
      <c r="B26" t="s">
        <v>343</v>
      </c>
      <c r="C26" t="s">
        <v>344</v>
      </c>
      <c r="D26">
        <v>4600</v>
      </c>
    </row>
    <row r="27" spans="1:5">
      <c r="A27" t="s">
        <v>345</v>
      </c>
      <c r="B27" t="s">
        <v>346</v>
      </c>
      <c r="C27" t="s">
        <v>347</v>
      </c>
      <c r="D27">
        <v>10000</v>
      </c>
    </row>
    <row r="28" spans="1:5">
      <c r="A28" t="s">
        <v>348</v>
      </c>
      <c r="B28" t="s">
        <v>349</v>
      </c>
      <c r="C28" t="s">
        <v>350</v>
      </c>
      <c r="D28">
        <v>10000</v>
      </c>
    </row>
    <row r="29" spans="1:5">
      <c r="A29" t="s">
        <v>351</v>
      </c>
      <c r="B29" t="s">
        <v>352</v>
      </c>
      <c r="C29" t="s">
        <v>353</v>
      </c>
      <c r="D29">
        <v>5000</v>
      </c>
    </row>
    <row r="30" spans="1:5">
      <c r="A30" t="s">
        <v>354</v>
      </c>
      <c r="B30" t="s">
        <v>355</v>
      </c>
    </row>
    <row r="31" spans="1:5">
      <c r="A31" t="s">
        <v>356</v>
      </c>
      <c r="B31" t="s">
        <v>357</v>
      </c>
      <c r="C31" t="s">
        <v>358</v>
      </c>
      <c r="D31">
        <v>6</v>
      </c>
    </row>
    <row r="32" spans="1:5">
      <c r="A32" t="s">
        <v>359</v>
      </c>
      <c r="B32" t="s">
        <v>360</v>
      </c>
      <c r="C32" t="s">
        <v>361</v>
      </c>
      <c r="D32">
        <v>23134</v>
      </c>
      <c r="E32">
        <v>104</v>
      </c>
    </row>
    <row r="33" spans="1:5">
      <c r="A33" t="s">
        <v>362</v>
      </c>
      <c r="B33" t="s">
        <v>363</v>
      </c>
      <c r="C33" t="s">
        <v>364</v>
      </c>
      <c r="D33">
        <v>100</v>
      </c>
      <c r="E33" t="s">
        <v>365</v>
      </c>
    </row>
    <row r="34" spans="1:5">
      <c r="A34" t="s">
        <v>366</v>
      </c>
      <c r="B34" t="s">
        <v>367</v>
      </c>
      <c r="C34" t="s">
        <v>368</v>
      </c>
      <c r="D34">
        <v>32000</v>
      </c>
      <c r="E34" t="s">
        <v>369</v>
      </c>
    </row>
    <row r="35" spans="1:5">
      <c r="A35" t="s">
        <v>370</v>
      </c>
      <c r="B35" t="s">
        <v>371</v>
      </c>
      <c r="C35" t="s">
        <v>372</v>
      </c>
      <c r="D35">
        <v>26869</v>
      </c>
      <c r="E35" t="s">
        <v>373</v>
      </c>
    </row>
    <row r="36" spans="1:5">
      <c r="A36" t="s">
        <v>374</v>
      </c>
      <c r="B36" t="s">
        <v>375</v>
      </c>
      <c r="C36" t="s">
        <v>376</v>
      </c>
      <c r="D36">
        <v>174</v>
      </c>
    </row>
    <row r="37" spans="1:5">
      <c r="A37" t="s">
        <v>377</v>
      </c>
      <c r="B37" t="s">
        <v>378</v>
      </c>
      <c r="C37" t="s">
        <v>379</v>
      </c>
      <c r="D37">
        <v>148</v>
      </c>
    </row>
    <row r="38" spans="1:5">
      <c r="A38" t="s">
        <v>380</v>
      </c>
      <c r="B38" t="s">
        <v>381</v>
      </c>
      <c r="C38" t="s">
        <v>382</v>
      </c>
      <c r="D38">
        <v>10075</v>
      </c>
    </row>
    <row r="39" spans="1:5">
      <c r="A39" t="s">
        <v>383</v>
      </c>
      <c r="B39" t="s">
        <v>384</v>
      </c>
      <c r="C39" t="s">
        <v>385</v>
      </c>
      <c r="D39">
        <v>76</v>
      </c>
    </row>
    <row r="40" spans="1:5">
      <c r="A40" t="s">
        <v>386</v>
      </c>
      <c r="B40" t="s">
        <v>387</v>
      </c>
      <c r="C40" t="s">
        <v>388</v>
      </c>
      <c r="D40">
        <v>72</v>
      </c>
    </row>
    <row r="41" spans="1:5">
      <c r="A41" t="s">
        <v>389</v>
      </c>
      <c r="B41" t="s">
        <v>390</v>
      </c>
      <c r="C41" t="s">
        <v>391</v>
      </c>
      <c r="D41">
        <v>66</v>
      </c>
    </row>
    <row r="42" spans="1:5">
      <c r="A42" t="s">
        <v>392</v>
      </c>
      <c r="B42" t="s">
        <v>393</v>
      </c>
      <c r="C42" t="s">
        <v>335</v>
      </c>
      <c r="D42">
        <v>12000</v>
      </c>
    </row>
    <row r="43" spans="1:5">
      <c r="A43" t="s">
        <v>394</v>
      </c>
      <c r="B43" t="s">
        <v>395</v>
      </c>
      <c r="C43" t="s">
        <v>396</v>
      </c>
      <c r="D43">
        <v>6000</v>
      </c>
    </row>
    <row r="44" spans="1:5">
      <c r="A44" t="s">
        <v>397</v>
      </c>
      <c r="B44" t="s">
        <v>398</v>
      </c>
      <c r="C44" t="s">
        <v>399</v>
      </c>
      <c r="D44">
        <v>18000</v>
      </c>
    </row>
    <row r="45" spans="1:5">
      <c r="A45" t="s">
        <v>400</v>
      </c>
      <c r="B45" t="s">
        <v>401</v>
      </c>
      <c r="C45" t="s">
        <v>402</v>
      </c>
      <c r="D45">
        <v>0</v>
      </c>
    </row>
    <row r="46" spans="1:5">
      <c r="A46" t="s">
        <v>403</v>
      </c>
      <c r="B46" t="s">
        <v>404</v>
      </c>
      <c r="C46" t="s">
        <v>405</v>
      </c>
      <c r="D46">
        <v>43</v>
      </c>
    </row>
    <row r="47" spans="1:5">
      <c r="A47" t="s">
        <v>406</v>
      </c>
      <c r="B47" t="s">
        <v>407</v>
      </c>
      <c r="C47" t="s">
        <v>408</v>
      </c>
      <c r="D47">
        <v>7</v>
      </c>
    </row>
    <row r="48" spans="1:5">
      <c r="A48" t="s">
        <v>409</v>
      </c>
      <c r="B48" t="s">
        <v>410</v>
      </c>
      <c r="C48" t="s">
        <v>411</v>
      </c>
      <c r="D48">
        <v>260</v>
      </c>
    </row>
    <row r="49" spans="1:5">
      <c r="A49" t="s">
        <v>412</v>
      </c>
      <c r="B49" t="s">
        <v>413</v>
      </c>
      <c r="C49" t="s">
        <v>414</v>
      </c>
      <c r="D49">
        <v>320</v>
      </c>
    </row>
    <row r="50" spans="1:5">
      <c r="A50" t="s">
        <v>415</v>
      </c>
      <c r="B50" t="s">
        <v>416</v>
      </c>
      <c r="C50" t="s">
        <v>417</v>
      </c>
      <c r="D50">
        <v>198</v>
      </c>
    </row>
    <row r="51" spans="1:5">
      <c r="A51" t="s">
        <v>418</v>
      </c>
      <c r="B51" t="s">
        <v>419</v>
      </c>
      <c r="C51" t="s">
        <v>420</v>
      </c>
      <c r="D51">
        <v>162</v>
      </c>
    </row>
    <row r="53" spans="1:5">
      <c r="A53" t="s">
        <v>421</v>
      </c>
      <c r="C53" t="s">
        <v>422</v>
      </c>
      <c r="D53">
        <v>32000</v>
      </c>
      <c r="E53">
        <v>105</v>
      </c>
    </row>
    <row r="54" spans="1:5">
      <c r="A54" t="s">
        <v>423</v>
      </c>
      <c r="C54" t="s">
        <v>424</v>
      </c>
      <c r="D54">
        <v>18000</v>
      </c>
      <c r="E54">
        <v>105</v>
      </c>
    </row>
    <row r="55" spans="1:5">
      <c r="A55" t="s">
        <v>425</v>
      </c>
      <c r="C55" t="s">
        <v>426</v>
      </c>
      <c r="D55">
        <v>100</v>
      </c>
      <c r="E55">
        <v>105</v>
      </c>
    </row>
    <row r="56" spans="1:5">
      <c r="A56" t="s">
        <v>427</v>
      </c>
      <c r="C56" t="s">
        <v>428</v>
      </c>
      <c r="E56">
        <v>105</v>
      </c>
    </row>
    <row r="57" spans="1:5">
      <c r="A57" t="s">
        <v>429</v>
      </c>
      <c r="C57" t="s">
        <v>430</v>
      </c>
      <c r="E57">
        <v>105</v>
      </c>
    </row>
    <row r="60" spans="1:5">
      <c r="A60" t="s">
        <v>431</v>
      </c>
      <c r="B60" t="s">
        <v>432</v>
      </c>
      <c r="C60" t="s">
        <v>433</v>
      </c>
      <c r="D60">
        <v>55</v>
      </c>
    </row>
    <row r="61" spans="1:5">
      <c r="A61" t="s">
        <v>434</v>
      </c>
      <c r="B61" t="s">
        <v>435</v>
      </c>
      <c r="C61" t="s">
        <v>436</v>
      </c>
      <c r="D61">
        <v>56</v>
      </c>
    </row>
    <row r="62" spans="1:5">
      <c r="A62" t="s">
        <v>437</v>
      </c>
      <c r="B62" t="s">
        <v>438</v>
      </c>
      <c r="C62" t="s">
        <v>439</v>
      </c>
      <c r="D62">
        <v>40</v>
      </c>
    </row>
    <row r="63" spans="1:5">
      <c r="A63" t="s">
        <v>440</v>
      </c>
      <c r="B63" t="s">
        <v>441</v>
      </c>
      <c r="C63" t="s">
        <v>442</v>
      </c>
      <c r="D63">
        <v>32</v>
      </c>
    </row>
    <row r="65" spans="1:4">
      <c r="A65" t="s">
        <v>443</v>
      </c>
    </row>
    <row r="66" spans="1:4">
      <c r="C66" t="s">
        <v>444</v>
      </c>
      <c r="D66">
        <v>74.97</v>
      </c>
    </row>
    <row r="67" spans="1:4">
      <c r="C67" t="s">
        <v>445</v>
      </c>
      <c r="D67">
        <v>21.91</v>
      </c>
    </row>
    <row r="68" spans="1:4">
      <c r="C68" t="s">
        <v>446</v>
      </c>
      <c r="D68">
        <v>103.6</v>
      </c>
    </row>
  </sheetData>
  <phoneticPr fontId="1" type="noConversion"/>
  <pageMargins left="0.7" right="0.7" top="0.75" bottom="0.75" header="0.3" footer="0.3"/>
  <pageSetup paperSize="17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A98F-DAC2-4A90-81E0-6E988E455EDA}">
  <dimension ref="A1:D7"/>
  <sheetViews>
    <sheetView workbookViewId="0">
      <selection activeCell="D22" sqref="D22"/>
    </sheetView>
  </sheetViews>
  <sheetFormatPr defaultRowHeight="15"/>
  <cols>
    <col min="1" max="1" width="18.28515625" customWidth="1"/>
    <col min="4" max="4" width="54.85546875" customWidth="1"/>
  </cols>
  <sheetData>
    <row r="1" spans="1:4">
      <c r="A1" t="s">
        <v>447</v>
      </c>
      <c r="B1" t="s">
        <v>448</v>
      </c>
      <c r="C1" t="s">
        <v>449</v>
      </c>
      <c r="D1" t="s">
        <v>2</v>
      </c>
    </row>
    <row r="2" spans="1:4">
      <c r="A2" t="s">
        <v>450</v>
      </c>
      <c r="B2">
        <v>8</v>
      </c>
      <c r="C2">
        <v>0</v>
      </c>
      <c r="D2" t="s">
        <v>451</v>
      </c>
    </row>
    <row r="3" spans="1:4">
      <c r="A3" t="s">
        <v>450</v>
      </c>
      <c r="B3">
        <v>8</v>
      </c>
      <c r="C3">
        <v>1</v>
      </c>
      <c r="D3" t="s">
        <v>452</v>
      </c>
    </row>
    <row r="4" spans="1:4">
      <c r="A4" t="s">
        <v>453</v>
      </c>
      <c r="B4">
        <v>9</v>
      </c>
      <c r="C4">
        <v>0</v>
      </c>
      <c r="D4" t="s">
        <v>454</v>
      </c>
    </row>
    <row r="5" spans="1:4">
      <c r="A5" t="s">
        <v>453</v>
      </c>
      <c r="B5">
        <v>9</v>
      </c>
      <c r="C5">
        <v>1</v>
      </c>
      <c r="D5" t="s">
        <v>455</v>
      </c>
    </row>
    <row r="6" spans="1:4">
      <c r="A6" t="s">
        <v>453</v>
      </c>
      <c r="B6">
        <v>9</v>
      </c>
      <c r="C6">
        <v>2</v>
      </c>
      <c r="D6" t="s">
        <v>456</v>
      </c>
    </row>
    <row r="7" spans="1:4">
      <c r="A7" t="s">
        <v>453</v>
      </c>
      <c r="B7">
        <v>9</v>
      </c>
      <c r="C7">
        <v>3</v>
      </c>
      <c r="D7" t="s">
        <v>457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E9EE-9685-4B0B-9CD3-036A66601677}">
  <dimension ref="A1:D3"/>
  <sheetViews>
    <sheetView workbookViewId="0">
      <selection activeCell="C11" sqref="C11"/>
    </sheetView>
  </sheetViews>
  <sheetFormatPr defaultRowHeight="15"/>
  <cols>
    <col min="1" max="1" width="18.28515625" customWidth="1"/>
    <col min="4" max="4" width="54.85546875" customWidth="1"/>
  </cols>
  <sheetData>
    <row r="1" spans="1:4">
      <c r="A1" t="s">
        <v>447</v>
      </c>
      <c r="B1" t="s">
        <v>448</v>
      </c>
      <c r="C1" t="s">
        <v>449</v>
      </c>
      <c r="D1" t="s">
        <v>2</v>
      </c>
    </row>
    <row r="2" spans="1:4">
      <c r="A2" t="s">
        <v>450</v>
      </c>
      <c r="B2">
        <v>8</v>
      </c>
      <c r="C2">
        <v>0</v>
      </c>
      <c r="D2" t="s">
        <v>458</v>
      </c>
    </row>
    <row r="3" spans="1:4">
      <c r="A3" t="s">
        <v>450</v>
      </c>
      <c r="B3">
        <v>8</v>
      </c>
      <c r="C3">
        <v>1</v>
      </c>
      <c r="D3" t="s">
        <v>459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D255-878D-43DA-B92E-8C84B0666950}">
  <dimension ref="A1:C3"/>
  <sheetViews>
    <sheetView workbookViewId="0">
      <selection activeCell="C6" sqref="C6"/>
    </sheetView>
  </sheetViews>
  <sheetFormatPr defaultRowHeight="15"/>
  <cols>
    <col min="1" max="1" width="9.140625" customWidth="1"/>
    <col min="3" max="3" width="45.7109375" customWidth="1"/>
  </cols>
  <sheetData>
    <row r="1" spans="1:3">
      <c r="A1" t="s">
        <v>460</v>
      </c>
      <c r="B1" t="s">
        <v>122</v>
      </c>
      <c r="C1" t="s">
        <v>2</v>
      </c>
    </row>
    <row r="2" spans="1:3">
      <c r="A2" t="s">
        <v>461</v>
      </c>
      <c r="B2">
        <v>1</v>
      </c>
      <c r="C2" t="s">
        <v>462</v>
      </c>
    </row>
    <row r="3" spans="1:3">
      <c r="A3" t="s">
        <v>461</v>
      </c>
      <c r="B3">
        <v>2</v>
      </c>
      <c r="C3" t="s">
        <v>463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D8B4-0245-40AC-9B92-20AC9E54A516}">
  <dimension ref="A1:C6"/>
  <sheetViews>
    <sheetView workbookViewId="0">
      <selection activeCell="A7" sqref="A7"/>
    </sheetView>
  </sheetViews>
  <sheetFormatPr defaultRowHeight="15"/>
  <cols>
    <col min="3" max="3" width="45.7109375" customWidth="1"/>
  </cols>
  <sheetData>
    <row r="1" spans="1:3">
      <c r="A1" t="s">
        <v>460</v>
      </c>
      <c r="B1" t="s">
        <v>122</v>
      </c>
      <c r="C1" t="s">
        <v>2</v>
      </c>
    </row>
    <row r="2" spans="1:3">
      <c r="A2" t="s">
        <v>464</v>
      </c>
      <c r="B2">
        <v>1</v>
      </c>
      <c r="C2" t="s">
        <v>465</v>
      </c>
    </row>
    <row r="3" spans="1:3">
      <c r="A3" t="s">
        <v>464</v>
      </c>
      <c r="B3">
        <v>2</v>
      </c>
      <c r="C3" t="s">
        <v>466</v>
      </c>
    </row>
    <row r="4" spans="1:3">
      <c r="A4" t="s">
        <v>464</v>
      </c>
      <c r="B4">
        <v>3</v>
      </c>
      <c r="C4" t="s">
        <v>467</v>
      </c>
    </row>
    <row r="5" spans="1:3">
      <c r="A5" t="s">
        <v>464</v>
      </c>
      <c r="B5">
        <v>4</v>
      </c>
      <c r="C5" t="s">
        <v>468</v>
      </c>
    </row>
    <row r="6" spans="1:3">
      <c r="A6" t="s">
        <v>464</v>
      </c>
      <c r="B6">
        <v>5</v>
      </c>
      <c r="C6" t="s">
        <v>469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1991-50AC-4EAD-9B52-B732C6134954}">
  <dimension ref="A1:I49"/>
  <sheetViews>
    <sheetView topLeftCell="A22" workbookViewId="0">
      <selection activeCell="K5" sqref="K5"/>
    </sheetView>
  </sheetViews>
  <sheetFormatPr defaultRowHeight="15"/>
  <cols>
    <col min="1" max="1" width="18.7109375" customWidth="1"/>
    <col min="3" max="3" width="24.7109375" customWidth="1"/>
    <col min="4" max="5" width="12.7109375" customWidth="1"/>
    <col min="9" max="9" width="10.7109375" customWidth="1"/>
  </cols>
  <sheetData>
    <row r="1" spans="1:9">
      <c r="A1" t="s">
        <v>132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  <c r="I1" t="s">
        <v>476</v>
      </c>
    </row>
    <row r="2" spans="1:9">
      <c r="A2" t="s">
        <v>71</v>
      </c>
      <c r="B2" t="s">
        <v>477</v>
      </c>
      <c r="C2" t="s">
        <v>478</v>
      </c>
      <c r="D2" t="s">
        <v>479</v>
      </c>
      <c r="E2" t="s">
        <v>479</v>
      </c>
    </row>
    <row r="3" spans="1:9">
      <c r="A3" t="s">
        <v>480</v>
      </c>
      <c r="B3" t="s">
        <v>477</v>
      </c>
      <c r="C3" t="s">
        <v>478</v>
      </c>
      <c r="D3" t="s">
        <v>481</v>
      </c>
      <c r="E3" t="s">
        <v>482</v>
      </c>
    </row>
    <row r="4" spans="1:9">
      <c r="A4" t="s">
        <v>483</v>
      </c>
      <c r="B4" t="s">
        <v>484</v>
      </c>
      <c r="C4" t="s">
        <v>478</v>
      </c>
      <c r="D4" t="s">
        <v>485</v>
      </c>
      <c r="E4" t="s">
        <v>485</v>
      </c>
    </row>
    <row r="5" spans="1:9">
      <c r="A5" t="s">
        <v>73</v>
      </c>
      <c r="B5" t="s">
        <v>486</v>
      </c>
      <c r="C5" t="s">
        <v>478</v>
      </c>
      <c r="D5" t="s">
        <v>487</v>
      </c>
      <c r="E5" t="s">
        <v>487</v>
      </c>
    </row>
    <row r="7" spans="1:9">
      <c r="A7" t="s">
        <v>488</v>
      </c>
      <c r="B7">
        <v>747</v>
      </c>
      <c r="C7" t="s">
        <v>489</v>
      </c>
    </row>
    <row r="8" spans="1:9">
      <c r="A8" t="s">
        <v>490</v>
      </c>
      <c r="B8">
        <v>843</v>
      </c>
      <c r="C8" t="s">
        <v>491</v>
      </c>
    </row>
    <row r="9" spans="1:9">
      <c r="A9" t="s">
        <v>492</v>
      </c>
      <c r="B9">
        <v>46.94</v>
      </c>
      <c r="C9" t="s">
        <v>491</v>
      </c>
    </row>
    <row r="10" spans="1:9">
      <c r="A10" t="s">
        <v>493</v>
      </c>
      <c r="B10">
        <v>72.400000000000006</v>
      </c>
      <c r="C10" t="s">
        <v>494</v>
      </c>
      <c r="D10" t="s">
        <v>495</v>
      </c>
      <c r="F10">
        <v>2.4420000000000001E-2</v>
      </c>
      <c r="G10">
        <v>72.5</v>
      </c>
      <c r="I10">
        <f>HEX2DEC(RIGHT(D10,LEN(D10)-2))</f>
        <v>6922</v>
      </c>
    </row>
    <row r="11" spans="1:9">
      <c r="A11" t="s">
        <v>496</v>
      </c>
      <c r="B11">
        <v>22.09</v>
      </c>
      <c r="C11" t="s">
        <v>494</v>
      </c>
      <c r="D11" t="s">
        <v>497</v>
      </c>
      <c r="F11">
        <v>1.221E-2</v>
      </c>
      <c r="G11">
        <v>22.09</v>
      </c>
      <c r="I11">
        <f>HEX2DEC(RIGHT(D11,LEN(D11)-2))</f>
        <v>5905</v>
      </c>
    </row>
    <row r="12" spans="1:9">
      <c r="A12" t="s">
        <v>498</v>
      </c>
      <c r="B12">
        <v>973</v>
      </c>
      <c r="C12" t="s">
        <v>491</v>
      </c>
    </row>
    <row r="13" spans="1:9">
      <c r="A13" t="s">
        <v>499</v>
      </c>
      <c r="B13">
        <v>1.1299999999999999</v>
      </c>
      <c r="C13" t="s">
        <v>491</v>
      </c>
    </row>
    <row r="14" spans="1:9">
      <c r="A14" t="s">
        <v>500</v>
      </c>
      <c r="B14">
        <v>21.92</v>
      </c>
      <c r="C14" t="s">
        <v>501</v>
      </c>
      <c r="D14" t="s">
        <v>502</v>
      </c>
      <c r="F14">
        <v>1.5299999999999999E-3</v>
      </c>
      <c r="G14">
        <v>21.92</v>
      </c>
      <c r="I14">
        <f>HEX2DEC(RIGHT(D14,LEN(D14)-2))</f>
        <v>47134</v>
      </c>
    </row>
    <row r="15" spans="1:9">
      <c r="A15" t="s">
        <v>503</v>
      </c>
      <c r="B15">
        <v>72.47</v>
      </c>
      <c r="C15" t="s">
        <v>501</v>
      </c>
      <c r="D15" t="s">
        <v>504</v>
      </c>
      <c r="F15">
        <v>3.0500000000000002E-3</v>
      </c>
      <c r="G15">
        <v>72.52</v>
      </c>
      <c r="I15">
        <f>HEX2DEC(RIGHT(D15,LEN(D15)-2))</f>
        <v>56531</v>
      </c>
    </row>
    <row r="16" spans="1:9">
      <c r="A16" t="s">
        <v>505</v>
      </c>
      <c r="B16">
        <v>1589</v>
      </c>
      <c r="C16" t="s">
        <v>491</v>
      </c>
    </row>
    <row r="18" spans="1:9">
      <c r="A18" t="s">
        <v>506</v>
      </c>
      <c r="B18" t="s">
        <v>507</v>
      </c>
      <c r="C18" t="s">
        <v>478</v>
      </c>
      <c r="D18" t="s">
        <v>508</v>
      </c>
      <c r="E18" t="s">
        <v>508</v>
      </c>
    </row>
    <row r="19" spans="1:9">
      <c r="A19" t="s">
        <v>266</v>
      </c>
      <c r="B19">
        <v>72.28</v>
      </c>
      <c r="C19" t="s">
        <v>501</v>
      </c>
      <c r="D19" t="s">
        <v>509</v>
      </c>
      <c r="F19">
        <v>3.0500000000000002E-3</v>
      </c>
      <c r="G19">
        <v>72.290000000000006</v>
      </c>
      <c r="I19">
        <f>HEX2DEC(RIGHT(D19,LEN(D19)-2))</f>
        <v>56451</v>
      </c>
    </row>
    <row r="20" spans="1:9">
      <c r="A20" t="s">
        <v>510</v>
      </c>
      <c r="B20">
        <v>82</v>
      </c>
      <c r="C20" t="s">
        <v>501</v>
      </c>
      <c r="D20" t="s">
        <v>511</v>
      </c>
      <c r="F20">
        <v>3.0500000000000002E-3</v>
      </c>
      <c r="G20">
        <v>82</v>
      </c>
      <c r="I20">
        <f>HEX2DEC(RIGHT(D20,LEN(D20)-2))</f>
        <v>59637</v>
      </c>
    </row>
    <row r="22" spans="1:9">
      <c r="A22" t="s">
        <v>512</v>
      </c>
      <c r="B22" t="s">
        <v>513</v>
      </c>
      <c r="C22" t="s">
        <v>478</v>
      </c>
      <c r="D22" t="s">
        <v>514</v>
      </c>
      <c r="E22" t="s">
        <v>514</v>
      </c>
    </row>
    <row r="23" spans="1:9">
      <c r="A23" t="s">
        <v>515</v>
      </c>
      <c r="B23" t="s">
        <v>513</v>
      </c>
      <c r="C23" t="s">
        <v>478</v>
      </c>
      <c r="D23" t="s">
        <v>516</v>
      </c>
      <c r="E23" t="s">
        <v>516</v>
      </c>
    </row>
    <row r="24" spans="1:9">
      <c r="A24" t="s">
        <v>517</v>
      </c>
      <c r="B24" t="s">
        <v>513</v>
      </c>
      <c r="C24" t="s">
        <v>478</v>
      </c>
      <c r="D24" t="s">
        <v>518</v>
      </c>
      <c r="E24" t="s">
        <v>518</v>
      </c>
    </row>
    <row r="25" spans="1:9">
      <c r="A25" t="s">
        <v>182</v>
      </c>
      <c r="B25" t="s">
        <v>513</v>
      </c>
      <c r="C25" t="s">
        <v>478</v>
      </c>
      <c r="D25" t="s">
        <v>481</v>
      </c>
      <c r="E25" t="s">
        <v>519</v>
      </c>
    </row>
    <row r="26" spans="1:9">
      <c r="A26" t="s">
        <v>520</v>
      </c>
      <c r="B26" t="s">
        <v>513</v>
      </c>
      <c r="C26" t="s">
        <v>478</v>
      </c>
      <c r="D26" t="s">
        <v>521</v>
      </c>
      <c r="E26" t="s">
        <v>521</v>
      </c>
    </row>
    <row r="27" spans="1:9">
      <c r="A27" t="s">
        <v>59</v>
      </c>
      <c r="B27" t="s">
        <v>513</v>
      </c>
      <c r="C27" t="s">
        <v>478</v>
      </c>
      <c r="D27" t="s">
        <v>481</v>
      </c>
      <c r="E27" t="s">
        <v>521</v>
      </c>
    </row>
    <row r="28" spans="1:9">
      <c r="A28" t="s">
        <v>522</v>
      </c>
      <c r="B28" t="s">
        <v>513</v>
      </c>
      <c r="C28" t="s">
        <v>478</v>
      </c>
      <c r="D28" t="s">
        <v>523</v>
      </c>
      <c r="E28" t="s">
        <v>524</v>
      </c>
    </row>
    <row r="30" spans="1:9">
      <c r="A30" t="s">
        <v>525</v>
      </c>
      <c r="B30" t="s">
        <v>513</v>
      </c>
      <c r="C30" t="s">
        <v>478</v>
      </c>
      <c r="D30" t="s">
        <v>508</v>
      </c>
      <c r="E30" t="s">
        <v>508</v>
      </c>
    </row>
    <row r="31" spans="1:9">
      <c r="A31" t="s">
        <v>526</v>
      </c>
      <c r="B31" t="s">
        <v>513</v>
      </c>
      <c r="C31" t="s">
        <v>478</v>
      </c>
      <c r="D31" t="s">
        <v>527</v>
      </c>
      <c r="E31" t="s">
        <v>527</v>
      </c>
    </row>
    <row r="32" spans="1:9">
      <c r="A32" t="s">
        <v>528</v>
      </c>
      <c r="B32" t="s">
        <v>513</v>
      </c>
      <c r="C32" t="s">
        <v>478</v>
      </c>
      <c r="D32" t="s">
        <v>485</v>
      </c>
      <c r="E32" t="s">
        <v>485</v>
      </c>
    </row>
    <row r="33" spans="1:9">
      <c r="A33" t="s">
        <v>529</v>
      </c>
      <c r="B33" t="s">
        <v>513</v>
      </c>
      <c r="C33" t="s">
        <v>478</v>
      </c>
      <c r="D33" t="s">
        <v>482</v>
      </c>
      <c r="E33" t="s">
        <v>482</v>
      </c>
    </row>
    <row r="34" spans="1:9">
      <c r="A34" t="s">
        <v>530</v>
      </c>
      <c r="B34" t="s">
        <v>513</v>
      </c>
      <c r="C34" t="s">
        <v>478</v>
      </c>
      <c r="D34" t="s">
        <v>481</v>
      </c>
      <c r="E34" t="s">
        <v>519</v>
      </c>
    </row>
    <row r="36" spans="1:9">
      <c r="A36" t="s">
        <v>522</v>
      </c>
      <c r="B36">
        <v>113.29</v>
      </c>
      <c r="C36" t="s">
        <v>501</v>
      </c>
      <c r="D36" t="s">
        <v>531</v>
      </c>
      <c r="F36">
        <v>1.5259999999999999E-2</v>
      </c>
      <c r="G36">
        <v>113.43</v>
      </c>
      <c r="I36">
        <f>HEX2DEC(RIGHT(D36,LEN(D36)-2))</f>
        <v>40201</v>
      </c>
    </row>
    <row r="37" spans="1:9">
      <c r="A37" t="s">
        <v>532</v>
      </c>
      <c r="B37" t="s">
        <v>533</v>
      </c>
      <c r="C37" t="s">
        <v>478</v>
      </c>
      <c r="D37" t="s">
        <v>514</v>
      </c>
      <c r="E37" t="s">
        <v>514</v>
      </c>
    </row>
    <row r="38" spans="1:9">
      <c r="A38" t="s">
        <v>534</v>
      </c>
      <c r="B38" t="s">
        <v>484</v>
      </c>
      <c r="C38" t="s">
        <v>478</v>
      </c>
      <c r="D38" t="s">
        <v>535</v>
      </c>
      <c r="E38" t="s">
        <v>535</v>
      </c>
    </row>
    <row r="39" spans="1:9">
      <c r="A39" t="s">
        <v>536</v>
      </c>
      <c r="B39" t="s">
        <v>484</v>
      </c>
      <c r="C39" t="s">
        <v>478</v>
      </c>
      <c r="D39" t="s">
        <v>518</v>
      </c>
      <c r="E39" t="s">
        <v>518</v>
      </c>
    </row>
    <row r="41" spans="1:9">
      <c r="A41" t="s">
        <v>119</v>
      </c>
      <c r="B41" t="s">
        <v>484</v>
      </c>
      <c r="C41" t="s">
        <v>478</v>
      </c>
      <c r="D41" t="s">
        <v>537</v>
      </c>
      <c r="E41" t="s">
        <v>537</v>
      </c>
    </row>
    <row r="42" spans="1:9">
      <c r="A42" t="s">
        <v>117</v>
      </c>
      <c r="B42" t="s">
        <v>507</v>
      </c>
      <c r="C42" t="s">
        <v>478</v>
      </c>
      <c r="D42" t="s">
        <v>481</v>
      </c>
      <c r="E42" t="s">
        <v>538</v>
      </c>
    </row>
    <row r="43" spans="1:9">
      <c r="A43" t="s">
        <v>539</v>
      </c>
      <c r="B43" t="s">
        <v>484</v>
      </c>
      <c r="C43" t="s">
        <v>478</v>
      </c>
      <c r="D43" t="s">
        <v>516</v>
      </c>
      <c r="E43" t="s">
        <v>516</v>
      </c>
    </row>
    <row r="44" spans="1:9">
      <c r="A44" t="s">
        <v>540</v>
      </c>
      <c r="B44" t="s">
        <v>486</v>
      </c>
      <c r="C44" t="s">
        <v>478</v>
      </c>
      <c r="D44" t="s">
        <v>479</v>
      </c>
      <c r="E44" t="s">
        <v>479</v>
      </c>
    </row>
    <row r="46" spans="1:9">
      <c r="A46" t="s">
        <v>541</v>
      </c>
      <c r="B46" t="s">
        <v>542</v>
      </c>
      <c r="C46" t="s">
        <v>478</v>
      </c>
      <c r="D46" t="s">
        <v>481</v>
      </c>
      <c r="E46" t="s">
        <v>487</v>
      </c>
    </row>
    <row r="48" spans="1:9">
      <c r="A48" t="s">
        <v>543</v>
      </c>
      <c r="B48" t="s">
        <v>484</v>
      </c>
      <c r="C48" t="s">
        <v>478</v>
      </c>
      <c r="D48" t="s">
        <v>535</v>
      </c>
      <c r="E48" t="s">
        <v>535</v>
      </c>
    </row>
    <row r="49" spans="1:5">
      <c r="A49" t="s">
        <v>544</v>
      </c>
      <c r="B49" t="s">
        <v>484</v>
      </c>
      <c r="C49" t="s">
        <v>478</v>
      </c>
      <c r="D49" t="s">
        <v>524</v>
      </c>
      <c r="E49" t="s">
        <v>524</v>
      </c>
    </row>
  </sheetData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5994-B01E-42BC-B666-8DA095649973}">
  <dimension ref="A49:D127"/>
  <sheetViews>
    <sheetView tabSelected="1" topLeftCell="A110" workbookViewId="0">
      <selection activeCell="E117" sqref="E117"/>
    </sheetView>
  </sheetViews>
  <sheetFormatPr defaultRowHeight="15"/>
  <cols>
    <col min="4" max="4" width="18.7109375" customWidth="1"/>
  </cols>
  <sheetData>
    <row r="49" spans="1:4">
      <c r="A49" t="s">
        <v>545</v>
      </c>
      <c r="B49" t="s">
        <v>546</v>
      </c>
      <c r="C49">
        <v>48</v>
      </c>
      <c r="D49" t="s">
        <v>547</v>
      </c>
    </row>
    <row r="65" spans="1:4">
      <c r="A65" s="1" t="s">
        <v>548</v>
      </c>
      <c r="B65" t="s">
        <v>461</v>
      </c>
      <c r="C65">
        <v>64</v>
      </c>
      <c r="D65" t="s">
        <v>549</v>
      </c>
    </row>
    <row r="81" spans="1:4">
      <c r="A81">
        <v>115</v>
      </c>
      <c r="B81" t="s">
        <v>461</v>
      </c>
      <c r="C81">
        <v>80</v>
      </c>
      <c r="D81" t="s">
        <v>550</v>
      </c>
    </row>
    <row r="97" spans="1:4">
      <c r="A97">
        <v>104</v>
      </c>
      <c r="B97" t="s">
        <v>464</v>
      </c>
      <c r="C97">
        <v>96</v>
      </c>
      <c r="D97" t="s">
        <v>551</v>
      </c>
    </row>
    <row r="98" spans="1:4">
      <c r="A98">
        <v>38</v>
      </c>
      <c r="B98" t="s">
        <v>464</v>
      </c>
      <c r="C98">
        <v>97</v>
      </c>
      <c r="D98" t="s">
        <v>552</v>
      </c>
    </row>
    <row r="99" spans="1:4">
      <c r="A99">
        <v>62</v>
      </c>
      <c r="B99" t="s">
        <v>464</v>
      </c>
      <c r="C99">
        <v>98</v>
      </c>
      <c r="D99" t="s">
        <v>553</v>
      </c>
    </row>
    <row r="100" spans="1:4">
      <c r="A100">
        <v>53</v>
      </c>
      <c r="B100" t="s">
        <v>464</v>
      </c>
      <c r="C100">
        <v>99</v>
      </c>
      <c r="D100" t="s">
        <v>554</v>
      </c>
    </row>
    <row r="101" spans="1:4">
      <c r="A101">
        <v>55</v>
      </c>
      <c r="B101" t="s">
        <v>464</v>
      </c>
      <c r="C101">
        <v>100</v>
      </c>
      <c r="D101" t="s">
        <v>555</v>
      </c>
    </row>
    <row r="102" spans="1:4">
      <c r="A102">
        <v>32</v>
      </c>
      <c r="B102" t="s">
        <v>464</v>
      </c>
      <c r="C102">
        <v>101</v>
      </c>
      <c r="D102" t="s">
        <v>556</v>
      </c>
    </row>
    <row r="103" spans="1:4">
      <c r="A103">
        <v>30</v>
      </c>
      <c r="B103" t="s">
        <v>464</v>
      </c>
      <c r="C103">
        <v>102</v>
      </c>
      <c r="D103" t="s">
        <v>557</v>
      </c>
    </row>
    <row r="104" spans="1:4">
      <c r="A104">
        <v>31</v>
      </c>
      <c r="B104" t="s">
        <v>464</v>
      </c>
      <c r="C104">
        <v>103</v>
      </c>
      <c r="D104" t="s">
        <v>558</v>
      </c>
    </row>
    <row r="105" spans="1:4">
      <c r="A105">
        <v>40</v>
      </c>
      <c r="B105" t="s">
        <v>464</v>
      </c>
      <c r="C105">
        <v>104</v>
      </c>
      <c r="D105" t="s">
        <v>559</v>
      </c>
    </row>
    <row r="106" spans="1:4">
      <c r="A106">
        <v>37</v>
      </c>
      <c r="B106" t="s">
        <v>464</v>
      </c>
      <c r="C106">
        <v>105</v>
      </c>
      <c r="D106" t="s">
        <v>560</v>
      </c>
    </row>
    <row r="107" spans="1:4">
      <c r="A107">
        <v>63</v>
      </c>
      <c r="B107" t="s">
        <v>464</v>
      </c>
      <c r="C107">
        <v>106</v>
      </c>
      <c r="D107" t="s">
        <v>561</v>
      </c>
    </row>
    <row r="108" spans="1:4">
      <c r="A108">
        <v>14</v>
      </c>
      <c r="B108" t="s">
        <v>464</v>
      </c>
      <c r="C108">
        <v>107</v>
      </c>
      <c r="D108" t="s">
        <v>562</v>
      </c>
    </row>
    <row r="109" spans="1:4">
      <c r="A109">
        <v>12</v>
      </c>
      <c r="B109" t="s">
        <v>464</v>
      </c>
      <c r="C109">
        <v>108</v>
      </c>
      <c r="D109" t="s">
        <v>563</v>
      </c>
    </row>
    <row r="110" spans="1:4">
      <c r="A110">
        <v>35</v>
      </c>
      <c r="B110" t="s">
        <v>464</v>
      </c>
      <c r="C110">
        <v>109</v>
      </c>
      <c r="D110" t="s">
        <v>564</v>
      </c>
    </row>
    <row r="111" spans="1:4">
      <c r="A111">
        <v>45</v>
      </c>
      <c r="B111" t="s">
        <v>464</v>
      </c>
      <c r="C111">
        <v>110</v>
      </c>
      <c r="D111" t="s">
        <v>565</v>
      </c>
    </row>
    <row r="112" spans="1:4">
      <c r="A112">
        <v>43</v>
      </c>
      <c r="B112" t="s">
        <v>464</v>
      </c>
      <c r="C112">
        <v>111</v>
      </c>
      <c r="D112" t="s">
        <v>566</v>
      </c>
    </row>
    <row r="113" spans="1:4">
      <c r="A113">
        <v>43</v>
      </c>
      <c r="B113" t="s">
        <v>464</v>
      </c>
      <c r="C113">
        <v>112</v>
      </c>
      <c r="D113" t="s">
        <v>567</v>
      </c>
    </row>
    <row r="114" spans="1:4">
      <c r="A114">
        <v>54</v>
      </c>
      <c r="B114" t="s">
        <v>464</v>
      </c>
      <c r="C114">
        <v>113</v>
      </c>
      <c r="D114" t="s">
        <v>568</v>
      </c>
    </row>
    <row r="115" spans="1:4">
      <c r="A115">
        <v>72</v>
      </c>
      <c r="B115" t="s">
        <v>464</v>
      </c>
      <c r="C115">
        <v>114</v>
      </c>
      <c r="D115" t="s">
        <v>569</v>
      </c>
    </row>
    <row r="116" spans="1:4">
      <c r="A116">
        <v>71</v>
      </c>
      <c r="B116" t="s">
        <v>464</v>
      </c>
      <c r="C116">
        <v>115</v>
      </c>
      <c r="D116" t="s">
        <v>570</v>
      </c>
    </row>
    <row r="117" spans="1:4">
      <c r="A117">
        <v>4</v>
      </c>
      <c r="B117" t="s">
        <v>464</v>
      </c>
      <c r="C117">
        <v>116</v>
      </c>
      <c r="D117" t="s">
        <v>540</v>
      </c>
    </row>
    <row r="118" spans="1:4">
      <c r="A118">
        <v>3</v>
      </c>
      <c r="B118" t="s">
        <v>464</v>
      </c>
      <c r="C118">
        <v>117</v>
      </c>
      <c r="D118" t="s">
        <v>148</v>
      </c>
    </row>
    <row r="119" spans="1:4">
      <c r="A119">
        <v>46</v>
      </c>
      <c r="B119" t="s">
        <v>464</v>
      </c>
      <c r="C119">
        <v>118</v>
      </c>
      <c r="D119" t="s">
        <v>571</v>
      </c>
    </row>
    <row r="120" spans="1:4">
      <c r="A120">
        <v>41</v>
      </c>
      <c r="B120" t="s">
        <v>464</v>
      </c>
      <c r="C120">
        <v>119</v>
      </c>
      <c r="D120" t="s">
        <v>572</v>
      </c>
    </row>
    <row r="121" spans="1:4">
      <c r="A121">
        <v>15</v>
      </c>
      <c r="B121" t="s">
        <v>464</v>
      </c>
      <c r="C121">
        <v>120</v>
      </c>
      <c r="D121" t="s">
        <v>573</v>
      </c>
    </row>
    <row r="122" spans="1:4">
      <c r="A122">
        <v>7</v>
      </c>
      <c r="B122" t="s">
        <v>464</v>
      </c>
      <c r="C122">
        <v>121</v>
      </c>
      <c r="D122" t="s">
        <v>574</v>
      </c>
    </row>
    <row r="123" spans="1:4">
      <c r="A123">
        <v>57</v>
      </c>
      <c r="B123" t="s">
        <v>464</v>
      </c>
      <c r="C123">
        <v>122</v>
      </c>
      <c r="D123" t="s">
        <v>575</v>
      </c>
    </row>
    <row r="124" spans="1:4">
      <c r="A124">
        <v>56</v>
      </c>
      <c r="B124" t="s">
        <v>464</v>
      </c>
      <c r="C124">
        <v>123</v>
      </c>
      <c r="D124" t="s">
        <v>576</v>
      </c>
    </row>
    <row r="125" spans="1:4">
      <c r="A125">
        <v>25</v>
      </c>
      <c r="B125" t="s">
        <v>464</v>
      </c>
      <c r="C125">
        <v>124</v>
      </c>
      <c r="D125" t="s">
        <v>577</v>
      </c>
    </row>
    <row r="126" spans="1:4">
      <c r="A126">
        <v>26</v>
      </c>
      <c r="B126" t="s">
        <v>464</v>
      </c>
      <c r="C126">
        <v>125</v>
      </c>
      <c r="D126" t="s">
        <v>578</v>
      </c>
    </row>
    <row r="127" spans="1:4">
      <c r="A127">
        <v>42</v>
      </c>
      <c r="B127" t="s">
        <v>464</v>
      </c>
      <c r="C127">
        <v>126</v>
      </c>
      <c r="D127" t="s">
        <v>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7EE29F-7E34-4FD8-AD52-58B7C26C2B35}"/>
</file>

<file path=customXml/itemProps2.xml><?xml version="1.0" encoding="utf-8"?>
<ds:datastoreItem xmlns:ds="http://schemas.openxmlformats.org/officeDocument/2006/customXml" ds:itemID="{4D29F69A-40E2-4F14-B7CB-A58AED8E7CE7}"/>
</file>

<file path=customXml/itemProps3.xml><?xml version="1.0" encoding="utf-8"?>
<ds:datastoreItem xmlns:ds="http://schemas.openxmlformats.org/officeDocument/2006/customXml" ds:itemID="{B549DD2F-B406-4943-8C05-B25A364E5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Sebek, Jim</dc:creator>
  <cp:keywords/>
  <dc:description/>
  <cp:lastModifiedBy>Larrus, Marc H.</cp:lastModifiedBy>
  <cp:revision/>
  <dcterms:created xsi:type="dcterms:W3CDTF">2022-03-08T19:10:16Z</dcterms:created>
  <dcterms:modified xsi:type="dcterms:W3CDTF">2023-03-13T19:54:09Z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  <property fmtid="{D5CDD505-2E9C-101B-9397-08002B2CF9AE}" pid="3" name="MediaServiceImageTags">
    <vt:lpwstr/>
  </property>
</Properties>
</file>