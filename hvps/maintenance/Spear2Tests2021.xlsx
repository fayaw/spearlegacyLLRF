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Ex3.xml" ContentType="application/vnd.ms-office.chartex+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Ex4.xml" ContentType="application/vnd.ms-office.chartex+xml"/>
  <Override PartName="/xl/charts/style4.xml" ContentType="application/vnd.ms-office.chartstyle+xml"/>
  <Override PartName="/xl/charts/colors4.xml" ContentType="application/vnd.ms-office.chartcolorstyle+xml"/>
  <Override PartName="/xl/charts/chartEx5.xml" ContentType="application/vnd.ms-office.chartex+xml"/>
  <Override PartName="/xl/charts/style5.xml" ContentType="application/vnd.ms-office.chartstyle+xml"/>
  <Override PartName="/xl/charts/colors5.xml" ContentType="application/vnd.ms-office.chartcolorstyle+xml"/>
  <Override PartName="/xl/charts/chartEx6.xml" ContentType="application/vnd.ms-office.chartex+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Ex7.xml" ContentType="application/vnd.ms-office.chartex+xml"/>
  <Override PartName="/xl/charts/style7.xml" ContentType="application/vnd.ms-office.chartstyle+xml"/>
  <Override PartName="/xl/charts/colors7.xml" ContentType="application/vnd.ms-office.chartcolorstyle+xml"/>
  <Override PartName="/xl/charts/chartEx8.xml" ContentType="application/vnd.ms-office.chartex+xml"/>
  <Override PartName="/xl/charts/style8.xml" ContentType="application/vnd.ms-office.chartstyle+xml"/>
  <Override PartName="/xl/charts/colors8.xml" ContentType="application/vnd.ms-office.chartcolorstyle+xml"/>
  <Override PartName="/xl/charts/chartEx9.xml" ContentType="application/vnd.ms-office.chartex+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harts/chart2.xml" ContentType="application/vnd.openxmlformats-officedocument.drawingml.chart+xml"/>
  <Override PartName="/xl/charts/style11.xml" ContentType="application/vnd.ms-office.chartstyle+xml"/>
  <Override PartName="/xl/charts/colors11.xml" ContentType="application/vnd.ms-office.chartcolorstyle+xml"/>
  <Override PartName="/xl/charts/chartEx10.xml" ContentType="application/vnd.ms-office.chartex+xml"/>
  <Override PartName="/xl/charts/style12.xml" ContentType="application/vnd.ms-office.chartstyle+xml"/>
  <Override PartName="/xl/charts/colors12.xml" ContentType="application/vnd.ms-office.chartcolorstyle+xml"/>
  <Override PartName="/xl/charts/chartEx16.xml" ContentType="application/vnd.ms-office.chartex+xml"/>
  <Override PartName="/xl/drawings/drawing9.xml" ContentType="application/vnd.openxmlformats-officedocument.drawing+xml"/>
  <Override PartName="/xl/charts/chartEx11.xml" ContentType="application/vnd.ms-office.chartex+xml"/>
  <Override PartName="/xl/charts/style13.xml" ContentType="application/vnd.ms-office.chartstyle+xml"/>
  <Override PartName="/xl/charts/colors13.xml" ContentType="application/vnd.ms-office.chartcolorstyle+xml"/>
  <Override PartName="/xl/charts/chartEx12.xml" ContentType="application/vnd.ms-office.chartex+xml"/>
  <Override PartName="/xl/charts/style14.xml" ContentType="application/vnd.ms-office.chartstyle+xml"/>
  <Override PartName="/xl/charts/colors14.xml" ContentType="application/vnd.ms-office.chartcolorstyle+xml"/>
  <Override PartName="/xl/charts/chartEx13.xml" ContentType="application/vnd.ms-office.chartex+xml"/>
  <Override PartName="/xl/charts/style15.xml" ContentType="application/vnd.ms-office.chartstyle+xml"/>
  <Override PartName="/xl/charts/colors15.xml" ContentType="application/vnd.ms-office.chartcolorstyle+xml"/>
  <Override PartName="/xl/charts/chartEx14.xml" ContentType="application/vnd.ms-office.chartex+xml"/>
  <Override PartName="/xl/charts/style16.xml" ContentType="application/vnd.ms-office.chartstyle+xml"/>
  <Override PartName="/xl/charts/colors16.xml" ContentType="application/vnd.ms-office.chartcolorstyle+xml"/>
  <Override PartName="/xl/drawings/drawing10.xml" ContentType="application/vnd.openxmlformats-officedocument.drawing+xml"/>
  <Override PartName="/xl/charts/chartEx15.xml" ContentType="application/vnd.ms-office.chartex+xml"/>
  <Override PartName="/xl/charts/style17.xml" ContentType="application/vnd.ms-office.chartstyle+xml"/>
  <Override PartName="/xl/charts/colors17.xml" ContentType="application/vnd.ms-office.chartcolorstyle+xml"/>
  <Override PartName="/xl/charts/style18.xml" ContentType="application/vnd.ms-office.chartstyle+xml"/>
  <Override PartName="/xl/charts/colors18.xml" ContentType="application/vnd.ms-office.chartcolorstyle+xml"/>
  <Override PartName="/xl/charts/chartEx17.xml" ContentType="application/vnd.ms-office.chartex+xml"/>
  <Override PartName="/xl/charts/style19.xml" ContentType="application/vnd.ms-office.chartstyle+xml"/>
  <Override PartName="/xl/charts/colors19.xml" ContentType="application/vnd.ms-office.chartcolorstyle+xml"/>
  <Override PartName="/xl/charts/chartEx18.xml" ContentType="application/vnd.ms-office.chartex+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131"/>
  <workbookPr defaultThemeVersion="124226"/>
  <mc:AlternateContent xmlns:mc="http://schemas.openxmlformats.org/markup-compatibility/2006">
    <mc:Choice Requires="x15">
      <x15ac:absPath xmlns:x15ac="http://schemas.microsoft.com/office/spreadsheetml/2010/11/ac" url="C:\files\Documents\spear3\hvps\data\"/>
    </mc:Choice>
  </mc:AlternateContent>
  <xr:revisionPtr revIDLastSave="0" documentId="13_ncr:1_{24862C04-EAF3-41B6-AD28-64CB5C63415F}" xr6:coauthVersionLast="47" xr6:coauthVersionMax="47" xr10:uidLastSave="{00000000-0000-0000-0000-000000000000}"/>
  <bookViews>
    <workbookView xWindow="2640" yWindow="2640" windowWidth="21600" windowHeight="11385" firstSheet="12" activeTab="15" xr2:uid="{00000000-000D-0000-FFFF-FFFF00000000}"/>
  </bookViews>
  <sheets>
    <sheet name="Stack Test jul062018" sheetId="1" r:id="rId1"/>
    <sheet name="Stack Test jul072018" sheetId="2" r:id="rId2"/>
    <sheet name="Operational Data" sheetId="3" r:id="rId3"/>
    <sheet name="Spares Data" sheetId="4" r:id="rId4"/>
    <sheet name="Summary Data for Graphics" sheetId="6" r:id="rId5"/>
    <sheet name="Replacement Stacks 1" sheetId="7" r:id="rId6"/>
    <sheet name="Replacement Stacks 2" sheetId="8" r:id="rId7"/>
    <sheet name="Temperature Dependence" sheetId="10" r:id="rId8"/>
    <sheet name="infineon devices for test" sheetId="12" r:id="rId9"/>
    <sheet name="high-pot results" sheetId="13" r:id="rId10"/>
    <sheet name="rectifier high-pot results" sheetId="14" r:id="rId11"/>
    <sheet name="desy thyristor leakageI" sheetId="16" r:id="rId12"/>
    <sheet name="ler 4-4" sheetId="17" r:id="rId13"/>
    <sheet name="spare stacks" sheetId="18" r:id="rId14"/>
    <sheet name="HVPS1 stacks 20190226" sheetId="19" r:id="rId15"/>
    <sheet name="spare crowbar stacks 20190327" sheetId="21" r:id="rId16"/>
  </sheets>
  <definedNames>
    <definedName name="_xlchart.v1.0" hidden="1">'Operational Data'!$AF$8:$AF$55</definedName>
    <definedName name="_xlchart.v1.1" hidden="1">'Operational Data'!$AG$8:$AG$55</definedName>
    <definedName name="_xlchart.v1.10" hidden="1">'ler 4-4'!$AB$6:$AB$29</definedName>
    <definedName name="_xlchart.v1.11" hidden="1">'ler 4-4'!$AB$6:$AB$41</definedName>
    <definedName name="_xlchart.v1.12" hidden="1">'ler 4-4'!$AA$6:$AA$29</definedName>
    <definedName name="_xlchart.v1.13" hidden="1">'ler 4-4'!$AA$6:$AA$41</definedName>
    <definedName name="_xlchart.v1.14" hidden="1">'ler 4-4'!$AH$47:$AH$118</definedName>
    <definedName name="_xlchart.v1.15" hidden="1">'ler 4-4'!$AI$47:$AI$118</definedName>
    <definedName name="_xlchart.v1.16" hidden="1">'HVPS1 stacks 20190226'!$W$5:$W$28</definedName>
    <definedName name="_xlchart.v1.17" hidden="1">'HVPS1 stacks 20190226'!$X$5:$X$28</definedName>
    <definedName name="_xlchart.v1.18" hidden="1">'HVPS1 stacks 20190226'!$Z$5:$Z$28</definedName>
    <definedName name="_xlchart.v1.19" hidden="1">'HVPS1 stacks 20190226'!$Y$5:$Y$28</definedName>
    <definedName name="_xlchart.v1.2" hidden="1">'Operational Data'!$AH$8:$AH$55</definedName>
    <definedName name="_xlchart.v1.20" hidden="1">'HVPS1 stacks 20190226'!$Z$5:$Z$28</definedName>
    <definedName name="_xlchart.v1.3" hidden="1">'Spares Data'!$D$7:$D$24</definedName>
    <definedName name="_xlchart.v1.4" hidden="1">'Spares Data'!$C$7:$C$24</definedName>
    <definedName name="_xlchart.v1.5" hidden="1">'Spares Data'!$F$7:$F$24</definedName>
    <definedName name="_xlchart.v1.6" hidden="1">'Summary Data for Graphics'!$E$4:$E$69</definedName>
    <definedName name="_xlchart.v1.7" hidden="1">'Summary Data for Graphics'!$G$4:$G$69</definedName>
    <definedName name="_xlchart.v1.8" hidden="1">'Summary Data for Graphics'!$D$4:$D$69</definedName>
    <definedName name="_xlchart.v1.9" hidden="1">'desy thyristor leakageI'!$F$5:$F$64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A28" i="17" l="1"/>
  <c r="AJ102" i="17" l="1"/>
  <c r="AJ103" i="17"/>
  <c r="AJ104" i="17"/>
  <c r="AJ105" i="17"/>
  <c r="AJ106" i="17"/>
  <c r="AG102" i="17"/>
  <c r="AH102" i="17"/>
  <c r="AI102" i="17"/>
  <c r="AG103" i="17"/>
  <c r="AH103" i="17"/>
  <c r="AI103" i="17"/>
  <c r="AG104" i="17"/>
  <c r="AH104" i="17"/>
  <c r="AI104" i="17"/>
  <c r="AG105" i="17"/>
  <c r="AH105" i="17"/>
  <c r="AI105" i="17"/>
  <c r="AG106" i="17"/>
  <c r="AH106" i="17"/>
  <c r="AI106" i="17"/>
  <c r="AJ101" i="17"/>
  <c r="AH101" i="17"/>
  <c r="AI101" i="17"/>
  <c r="AG101" i="17"/>
  <c r="AJ96" i="17"/>
  <c r="AJ97" i="17"/>
  <c r="AJ98" i="17"/>
  <c r="AJ99" i="17"/>
  <c r="AJ100" i="17"/>
  <c r="AG96" i="17"/>
  <c r="AH96" i="17"/>
  <c r="AI96" i="17"/>
  <c r="AG97" i="17"/>
  <c r="AH97" i="17"/>
  <c r="AI97" i="17"/>
  <c r="AG98" i="17"/>
  <c r="AH98" i="17"/>
  <c r="AI98" i="17"/>
  <c r="AG99" i="17"/>
  <c r="AH99" i="17"/>
  <c r="AI99" i="17"/>
  <c r="AG100" i="17"/>
  <c r="AH100" i="17"/>
  <c r="AI100" i="17"/>
  <c r="AJ95" i="17"/>
  <c r="AH95" i="17"/>
  <c r="AI95" i="17"/>
  <c r="AG95" i="17"/>
  <c r="AJ90" i="17"/>
  <c r="AJ91" i="17"/>
  <c r="AJ92" i="17"/>
  <c r="AJ93" i="17"/>
  <c r="AJ94" i="17"/>
  <c r="AJ89" i="17"/>
  <c r="AG90" i="17"/>
  <c r="AH90" i="17"/>
  <c r="AI90" i="17"/>
  <c r="AG91" i="17"/>
  <c r="AH91" i="17"/>
  <c r="AI91" i="17"/>
  <c r="AG92" i="17"/>
  <c r="AH92" i="17"/>
  <c r="AI92" i="17"/>
  <c r="AG93" i="17"/>
  <c r="AH93" i="17"/>
  <c r="AI93" i="17"/>
  <c r="AG94" i="17"/>
  <c r="AH94" i="17"/>
  <c r="AI94" i="17"/>
  <c r="AH89" i="17"/>
  <c r="AI89" i="17"/>
  <c r="AG89" i="17"/>
  <c r="AJ84" i="17"/>
  <c r="AJ85" i="17"/>
  <c r="AJ86" i="17"/>
  <c r="AJ87" i="17"/>
  <c r="AJ88" i="17"/>
  <c r="AJ83" i="17"/>
  <c r="AG84" i="17"/>
  <c r="AH84" i="17"/>
  <c r="AI84" i="17"/>
  <c r="AG85" i="17"/>
  <c r="AH85" i="17"/>
  <c r="AI85" i="17"/>
  <c r="AG86" i="17"/>
  <c r="AH86" i="17"/>
  <c r="AI86" i="17"/>
  <c r="AG87" i="17"/>
  <c r="AH87" i="17"/>
  <c r="AI87" i="17"/>
  <c r="AG88" i="17"/>
  <c r="AH88" i="17"/>
  <c r="AI88" i="17"/>
  <c r="AH83" i="17"/>
  <c r="AI83" i="17"/>
  <c r="AG83" i="17"/>
  <c r="AJ78" i="17"/>
  <c r="AJ79" i="17"/>
  <c r="AJ80" i="17"/>
  <c r="AJ81" i="17"/>
  <c r="AJ82" i="17"/>
  <c r="AJ77" i="17"/>
  <c r="AG78" i="17"/>
  <c r="AH78" i="17"/>
  <c r="AI78" i="17"/>
  <c r="AG79" i="17"/>
  <c r="AH79" i="17"/>
  <c r="AI79" i="17"/>
  <c r="AG80" i="17"/>
  <c r="AH80" i="17"/>
  <c r="AI80" i="17"/>
  <c r="AG81" i="17"/>
  <c r="AH81" i="17"/>
  <c r="AI81" i="17"/>
  <c r="AG82" i="17"/>
  <c r="AH82" i="17"/>
  <c r="AI82" i="17"/>
  <c r="AH77" i="17"/>
  <c r="AI77" i="17"/>
  <c r="AG77" i="17"/>
  <c r="AJ66" i="17"/>
  <c r="AJ67" i="17"/>
  <c r="AJ68" i="17"/>
  <c r="AJ69" i="17"/>
  <c r="AJ70" i="17"/>
  <c r="AJ65" i="17"/>
  <c r="AG66" i="17"/>
  <c r="AH66" i="17"/>
  <c r="AI66" i="17"/>
  <c r="AG67" i="17"/>
  <c r="AH67" i="17"/>
  <c r="AI67" i="17"/>
  <c r="AG68" i="17"/>
  <c r="AH68" i="17"/>
  <c r="AI68" i="17"/>
  <c r="AG69" i="17"/>
  <c r="AH69" i="17"/>
  <c r="AI69" i="17"/>
  <c r="AG70" i="17"/>
  <c r="AH70" i="17"/>
  <c r="AI70" i="17"/>
  <c r="AH65" i="17"/>
  <c r="AI65" i="17"/>
  <c r="AG65" i="17"/>
  <c r="AG107" i="17"/>
  <c r="AH107" i="17"/>
  <c r="AI107" i="17"/>
  <c r="AJ107" i="17"/>
  <c r="AG108" i="17"/>
  <c r="AH108" i="17"/>
  <c r="AI108" i="17"/>
  <c r="AJ108" i="17"/>
  <c r="AG109" i="17"/>
  <c r="AH109" i="17"/>
  <c r="AI109" i="17"/>
  <c r="AJ109" i="17"/>
  <c r="AG110" i="17"/>
  <c r="AH110" i="17"/>
  <c r="AI110" i="17"/>
  <c r="AJ110" i="17"/>
  <c r="AG111" i="17"/>
  <c r="AH111" i="17"/>
  <c r="AI111" i="17"/>
  <c r="AJ111" i="17"/>
  <c r="AG112" i="17"/>
  <c r="AH112" i="17"/>
  <c r="AI112" i="17"/>
  <c r="AJ112" i="17"/>
  <c r="AJ54" i="17"/>
  <c r="AJ55" i="17"/>
  <c r="AJ56" i="17"/>
  <c r="AJ57" i="17"/>
  <c r="AJ58" i="17"/>
  <c r="AJ53" i="17"/>
  <c r="AJ48" i="17"/>
  <c r="AJ49" i="17"/>
  <c r="AJ50" i="17"/>
  <c r="AJ51" i="17"/>
  <c r="AJ52" i="17"/>
  <c r="AJ47" i="17"/>
  <c r="AG54" i="17"/>
  <c r="AH54" i="17"/>
  <c r="AI54" i="17"/>
  <c r="AG55" i="17"/>
  <c r="AH55" i="17"/>
  <c r="AI55" i="17"/>
  <c r="AG56" i="17"/>
  <c r="AH56" i="17"/>
  <c r="AI56" i="17"/>
  <c r="AG57" i="17"/>
  <c r="AH57" i="17"/>
  <c r="AI57" i="17"/>
  <c r="AG58" i="17"/>
  <c r="AH58" i="17"/>
  <c r="AI58" i="17"/>
  <c r="AH53" i="17"/>
  <c r="AI53" i="17"/>
  <c r="AG48" i="17"/>
  <c r="AH48" i="17"/>
  <c r="AI48" i="17"/>
  <c r="AG49" i="17"/>
  <c r="AH49" i="17"/>
  <c r="AI49" i="17"/>
  <c r="AG50" i="17"/>
  <c r="AH50" i="17"/>
  <c r="AI50" i="17"/>
  <c r="AG51" i="17"/>
  <c r="AH51" i="17"/>
  <c r="AI51" i="17"/>
  <c r="AG52" i="17"/>
  <c r="AH52" i="17"/>
  <c r="AI52" i="17"/>
  <c r="AH47" i="17"/>
  <c r="AI47" i="17"/>
  <c r="AG53" i="17"/>
  <c r="AG47" i="17"/>
  <c r="AJ114" i="17"/>
  <c r="AJ115" i="17"/>
  <c r="AJ116" i="17"/>
  <c r="AJ117" i="17"/>
  <c r="AJ118" i="17"/>
  <c r="AJ113" i="17"/>
  <c r="AJ72" i="17"/>
  <c r="AJ73" i="17"/>
  <c r="AJ74" i="17"/>
  <c r="AJ75" i="17"/>
  <c r="AJ76" i="17"/>
  <c r="AJ71" i="17"/>
  <c r="AJ60" i="17"/>
  <c r="AJ61" i="17"/>
  <c r="AJ62" i="17"/>
  <c r="AJ63" i="17"/>
  <c r="AJ64" i="17"/>
  <c r="AJ59" i="17"/>
  <c r="AG114" i="17"/>
  <c r="AH114" i="17"/>
  <c r="AI114" i="17"/>
  <c r="AG115" i="17"/>
  <c r="AH115" i="17"/>
  <c r="AI115" i="17"/>
  <c r="AG116" i="17"/>
  <c r="AH116" i="17"/>
  <c r="AI116" i="17"/>
  <c r="AG117" i="17"/>
  <c r="AH117" i="17"/>
  <c r="AI117" i="17"/>
  <c r="AG118" i="17"/>
  <c r="AH118" i="17"/>
  <c r="AI118" i="17"/>
  <c r="AH113" i="17"/>
  <c r="AI113" i="17"/>
  <c r="AG113" i="17"/>
  <c r="AG72" i="17"/>
  <c r="AH72" i="17"/>
  <c r="AI72" i="17"/>
  <c r="AG73" i="17"/>
  <c r="AH73" i="17"/>
  <c r="AI73" i="17"/>
  <c r="AG74" i="17"/>
  <c r="AH74" i="17"/>
  <c r="AI74" i="17"/>
  <c r="AG75" i="17"/>
  <c r="AH75" i="17"/>
  <c r="AI75" i="17"/>
  <c r="AG76" i="17"/>
  <c r="AH76" i="17"/>
  <c r="AI76" i="17"/>
  <c r="AH71" i="17"/>
  <c r="AI71" i="17"/>
  <c r="AG71" i="17"/>
  <c r="AH60" i="17"/>
  <c r="AI60" i="17"/>
  <c r="AH61" i="17"/>
  <c r="AI61" i="17"/>
  <c r="AH62" i="17"/>
  <c r="AI62" i="17"/>
  <c r="AH63" i="17"/>
  <c r="AI63" i="17"/>
  <c r="AH64" i="17"/>
  <c r="AI64" i="17"/>
  <c r="AH59" i="17"/>
  <c r="AI59" i="17"/>
  <c r="AG60" i="17"/>
  <c r="AG61" i="17"/>
  <c r="AG62" i="17"/>
  <c r="AG63" i="17"/>
  <c r="AG64" i="17"/>
  <c r="AG59" i="17"/>
  <c r="AC25" i="17"/>
  <c r="AC26" i="17"/>
  <c r="AC27" i="17"/>
  <c r="AC28" i="17"/>
  <c r="AC29" i="17"/>
  <c r="AC24" i="17"/>
  <c r="AC19" i="17"/>
  <c r="AC20" i="17"/>
  <c r="AC21" i="17"/>
  <c r="AC22" i="17"/>
  <c r="AC23" i="17"/>
  <c r="AC18" i="17"/>
  <c r="AC13" i="17"/>
  <c r="AC14" i="17"/>
  <c r="AC15" i="17"/>
  <c r="AC16" i="17"/>
  <c r="AC17" i="17"/>
  <c r="AC12" i="17"/>
  <c r="AC7" i="17"/>
  <c r="AC8" i="17"/>
  <c r="AC9" i="17"/>
  <c r="AC10" i="17"/>
  <c r="AC11" i="17"/>
  <c r="AC6" i="17"/>
  <c r="AA25" i="17"/>
  <c r="AB25" i="17"/>
  <c r="AA26" i="17"/>
  <c r="AB26" i="17"/>
  <c r="AA27" i="17"/>
  <c r="AB27" i="17"/>
  <c r="AB28" i="17"/>
  <c r="AA29" i="17"/>
  <c r="AB29" i="17"/>
  <c r="AA19" i="17"/>
  <c r="AB19" i="17"/>
  <c r="AA20" i="17"/>
  <c r="AB20" i="17"/>
  <c r="AA21" i="17"/>
  <c r="AB21" i="17"/>
  <c r="AA22" i="17"/>
  <c r="AB22" i="17"/>
  <c r="AA23" i="17"/>
  <c r="AB23" i="17"/>
  <c r="AA13" i="17"/>
  <c r="AB13" i="17"/>
  <c r="AA14" i="17"/>
  <c r="AB14" i="17"/>
  <c r="AA15" i="17"/>
  <c r="AB15" i="17"/>
  <c r="AA16" i="17"/>
  <c r="AB16" i="17"/>
  <c r="AA17" i="17"/>
  <c r="AB17" i="17"/>
  <c r="AA24" i="17"/>
  <c r="AB24" i="17"/>
  <c r="AA18" i="17"/>
  <c r="AB18" i="17"/>
  <c r="AA12" i="17"/>
  <c r="AB12" i="17"/>
  <c r="AA7" i="17"/>
  <c r="AB7" i="17"/>
  <c r="AA8" i="17"/>
  <c r="AB8" i="17"/>
  <c r="AA9" i="17"/>
  <c r="AB9" i="17"/>
  <c r="AA10" i="17"/>
  <c r="AB10" i="17"/>
  <c r="AA11" i="17"/>
  <c r="AB11" i="17"/>
  <c r="AA6" i="17"/>
  <c r="AB6" i="17"/>
  <c r="Z25" i="17"/>
  <c r="Z26" i="17"/>
  <c r="Z27" i="17"/>
  <c r="Z28" i="17"/>
  <c r="Z29" i="17"/>
  <c r="Z24" i="17"/>
  <c r="Z19" i="17"/>
  <c r="Z20" i="17"/>
  <c r="Z21" i="17"/>
  <c r="Z22" i="17"/>
  <c r="Z23" i="17"/>
  <c r="Z18" i="17"/>
  <c r="Z13" i="17"/>
  <c r="Z14" i="17"/>
  <c r="Z15" i="17"/>
  <c r="Z16" i="17"/>
  <c r="Z17" i="17"/>
  <c r="Z12" i="17"/>
  <c r="Z7" i="17"/>
  <c r="Z8" i="17"/>
  <c r="Z9" i="17"/>
  <c r="Z10" i="17"/>
  <c r="Z11" i="17"/>
  <c r="Z6" i="17"/>
  <c r="U39" i="8" l="1"/>
  <c r="U38" i="8"/>
  <c r="U37" i="8"/>
  <c r="U36" i="8"/>
  <c r="U35" i="8"/>
  <c r="U34" i="8"/>
  <c r="U30" i="8"/>
  <c r="U29" i="8"/>
  <c r="U28" i="8"/>
  <c r="U27" i="8"/>
  <c r="U26" i="8"/>
  <c r="U25" i="8"/>
  <c r="U21" i="8"/>
  <c r="U20" i="8"/>
  <c r="U19" i="8"/>
  <c r="U18" i="8"/>
  <c r="U17" i="8"/>
  <c r="U16" i="8"/>
  <c r="U12" i="8"/>
  <c r="U11" i="8"/>
  <c r="U10" i="8"/>
  <c r="U9" i="8"/>
  <c r="U8" i="8"/>
  <c r="U7" i="8"/>
  <c r="G39" i="8"/>
  <c r="G38" i="8"/>
  <c r="G37" i="8"/>
  <c r="G36" i="8"/>
  <c r="G35" i="8"/>
  <c r="G34" i="8"/>
  <c r="G30" i="8"/>
  <c r="G29" i="8"/>
  <c r="G28" i="8"/>
  <c r="G27" i="8"/>
  <c r="G26" i="8"/>
  <c r="G25" i="8"/>
  <c r="G21" i="8"/>
  <c r="G20" i="8"/>
  <c r="G19" i="8"/>
  <c r="G18" i="8"/>
  <c r="G17" i="8"/>
  <c r="G16" i="8"/>
  <c r="G8" i="8"/>
  <c r="G9" i="8"/>
  <c r="G10" i="8"/>
  <c r="G11" i="8"/>
  <c r="G12" i="8"/>
  <c r="G7" i="8"/>
  <c r="V39" i="8"/>
  <c r="V38" i="8"/>
  <c r="V37" i="8"/>
  <c r="V36" i="8"/>
  <c r="V35" i="8"/>
  <c r="V34" i="8"/>
  <c r="V30" i="8"/>
  <c r="V29" i="8"/>
  <c r="V28" i="8"/>
  <c r="V27" i="8"/>
  <c r="V26" i="8"/>
  <c r="V25" i="8"/>
  <c r="V21" i="8"/>
  <c r="V20" i="8"/>
  <c r="V19" i="8"/>
  <c r="V18" i="8"/>
  <c r="V17" i="8"/>
  <c r="V16" i="8"/>
  <c r="V12" i="8"/>
  <c r="V11" i="8"/>
  <c r="V10" i="8"/>
  <c r="V9" i="8"/>
  <c r="V8" i="8"/>
  <c r="V7" i="8"/>
  <c r="H39" i="8"/>
  <c r="H38" i="8"/>
  <c r="H37" i="8"/>
  <c r="H36" i="8"/>
  <c r="H35" i="8"/>
  <c r="H34" i="8"/>
  <c r="H30" i="8"/>
  <c r="H29" i="8"/>
  <c r="H28" i="8"/>
  <c r="H27" i="8"/>
  <c r="H26" i="8"/>
  <c r="H25" i="8"/>
  <c r="H21" i="8"/>
  <c r="H20" i="8"/>
  <c r="H19" i="8"/>
  <c r="H18" i="8"/>
  <c r="H17" i="8"/>
  <c r="H16" i="8"/>
  <c r="H8" i="8"/>
  <c r="H9" i="8"/>
  <c r="H10" i="8"/>
  <c r="H11" i="8"/>
  <c r="H12" i="8"/>
  <c r="H7" i="8"/>
  <c r="D23" i="16" l="1"/>
  <c r="C23" i="16"/>
  <c r="B23" i="16"/>
  <c r="A23" i="16"/>
  <c r="D22" i="16"/>
  <c r="C22" i="16"/>
  <c r="B22" i="16"/>
  <c r="A22" i="16"/>
  <c r="F50" i="16"/>
  <c r="F51" i="16"/>
  <c r="F52" i="16"/>
  <c r="F53" i="16"/>
  <c r="F54" i="16"/>
  <c r="F55" i="16"/>
  <c r="F56" i="16"/>
  <c r="F57" i="16"/>
  <c r="F58" i="16"/>
  <c r="F59" i="16"/>
  <c r="F60" i="16"/>
  <c r="F61" i="16"/>
  <c r="F62" i="16"/>
  <c r="F63" i="16"/>
  <c r="F64" i="16"/>
  <c r="F49" i="16"/>
  <c r="F34" i="16"/>
  <c r="F35" i="16"/>
  <c r="F36" i="16"/>
  <c r="F37" i="16"/>
  <c r="F38" i="16"/>
  <c r="F39" i="16"/>
  <c r="F40" i="16"/>
  <c r="F41" i="16"/>
  <c r="F42" i="16"/>
  <c r="F43" i="16"/>
  <c r="F44" i="16"/>
  <c r="F45" i="16"/>
  <c r="F46" i="16"/>
  <c r="F47" i="16"/>
  <c r="F48" i="16"/>
  <c r="F33" i="16"/>
  <c r="F20" i="16"/>
  <c r="F21" i="16"/>
  <c r="F22" i="16"/>
  <c r="F23" i="16"/>
  <c r="F24" i="16"/>
  <c r="F25" i="16"/>
  <c r="F26" i="16"/>
  <c r="F27" i="16"/>
  <c r="F28" i="16"/>
  <c r="F29" i="16"/>
  <c r="F30" i="16"/>
  <c r="F31" i="16"/>
  <c r="F32" i="16"/>
  <c r="F19" i="16"/>
  <c r="F6" i="16"/>
  <c r="F7" i="16"/>
  <c r="H5" i="16" s="1"/>
  <c r="F8" i="16"/>
  <c r="F9" i="16"/>
  <c r="F10" i="16"/>
  <c r="F11" i="16"/>
  <c r="F12" i="16"/>
  <c r="F13" i="16"/>
  <c r="F14" i="16"/>
  <c r="F15" i="16"/>
  <c r="F16" i="16"/>
  <c r="F17" i="16"/>
  <c r="F18" i="16"/>
  <c r="F5" i="16"/>
  <c r="H6" i="16" s="1"/>
  <c r="W31" i="14"/>
  <c r="W30" i="14"/>
  <c r="W29" i="14"/>
  <c r="W25" i="14"/>
  <c r="W24" i="14"/>
  <c r="W23" i="14"/>
  <c r="N31" i="14"/>
  <c r="N30" i="14"/>
  <c r="N29" i="14"/>
  <c r="N24" i="14"/>
  <c r="N25" i="14"/>
  <c r="N23" i="14"/>
  <c r="W17" i="14"/>
  <c r="W16" i="14"/>
  <c r="W15" i="14"/>
  <c r="W11" i="14"/>
  <c r="W10" i="14"/>
  <c r="W9" i="14"/>
  <c r="N17" i="14"/>
  <c r="N16" i="14"/>
  <c r="N15" i="14"/>
  <c r="N10" i="14"/>
  <c r="N11" i="14"/>
  <c r="N9" i="14"/>
  <c r="F19" i="14"/>
  <c r="F18" i="14"/>
  <c r="F16" i="14"/>
  <c r="F15" i="14"/>
  <c r="F13" i="14"/>
  <c r="F12" i="14"/>
  <c r="F10" i="14"/>
  <c r="F9" i="14"/>
  <c r="S27" i="13" l="1"/>
  <c r="S26" i="13"/>
  <c r="S33" i="13"/>
  <c r="S32" i="13"/>
  <c r="S22" i="13"/>
  <c r="S21" i="13"/>
  <c r="S19" i="13"/>
  <c r="S18" i="13"/>
  <c r="S16" i="13"/>
  <c r="S15" i="13"/>
  <c r="S13" i="13"/>
  <c r="S12" i="13"/>
  <c r="T32" i="13" s="1"/>
  <c r="F33" i="13"/>
  <c r="F32" i="13"/>
  <c r="F22" i="13"/>
  <c r="F21" i="13"/>
  <c r="F19" i="13"/>
  <c r="F18" i="13"/>
  <c r="F16" i="13"/>
  <c r="G33" i="13" s="1"/>
  <c r="F15" i="13"/>
  <c r="G32" i="13" s="1"/>
  <c r="F13" i="13"/>
  <c r="F12" i="13"/>
  <c r="T33" i="13" l="1"/>
  <c r="T26" i="13"/>
  <c r="T27" i="13"/>
  <c r="Q40" i="8"/>
  <c r="Q31" i="8"/>
  <c r="Q22" i="8"/>
  <c r="Q13" i="8"/>
  <c r="C40" i="8"/>
  <c r="C31" i="8"/>
  <c r="C22" i="8"/>
  <c r="C13" i="8"/>
  <c r="T39" i="8"/>
  <c r="T38" i="8"/>
  <c r="T37" i="8"/>
  <c r="T36" i="8"/>
  <c r="T35" i="8"/>
  <c r="T34" i="8"/>
  <c r="T33" i="8"/>
  <c r="T30" i="8"/>
  <c r="T29" i="8"/>
  <c r="T28" i="8"/>
  <c r="T27" i="8"/>
  <c r="T26" i="8"/>
  <c r="T25" i="8"/>
  <c r="T31" i="8" s="1"/>
  <c r="T24" i="8"/>
  <c r="T21" i="8"/>
  <c r="T20" i="8"/>
  <c r="T19" i="8"/>
  <c r="T18" i="8"/>
  <c r="T17" i="8"/>
  <c r="T16" i="8"/>
  <c r="T15" i="8"/>
  <c r="T12" i="8"/>
  <c r="T11" i="8"/>
  <c r="T10" i="8"/>
  <c r="T9" i="8"/>
  <c r="T8" i="8"/>
  <c r="T7" i="8"/>
  <c r="T13" i="8" s="1"/>
  <c r="T6" i="8"/>
  <c r="F39" i="8"/>
  <c r="F38" i="8"/>
  <c r="F37" i="8"/>
  <c r="F36" i="8"/>
  <c r="F35" i="8"/>
  <c r="F34" i="8"/>
  <c r="F33" i="8"/>
  <c r="F30" i="8"/>
  <c r="F29" i="8"/>
  <c r="F28" i="8"/>
  <c r="F27" i="8"/>
  <c r="F26" i="8"/>
  <c r="F25" i="8"/>
  <c r="F24" i="8"/>
  <c r="F21" i="8"/>
  <c r="F20" i="8"/>
  <c r="F19" i="8"/>
  <c r="F18" i="8"/>
  <c r="F17" i="8"/>
  <c r="F16" i="8"/>
  <c r="F15" i="8"/>
  <c r="F7" i="8"/>
  <c r="F8" i="8"/>
  <c r="F9" i="8"/>
  <c r="F10" i="8"/>
  <c r="F11" i="8"/>
  <c r="F12" i="8"/>
  <c r="F6" i="8"/>
  <c r="AA6" i="8"/>
  <c r="AA8" i="8"/>
  <c r="AA10" i="8"/>
  <c r="AA11" i="8"/>
  <c r="AA24" i="8"/>
  <c r="AA26" i="8"/>
  <c r="AA29" i="8"/>
  <c r="M29" i="8"/>
  <c r="M26" i="8"/>
  <c r="M24" i="8"/>
  <c r="M11" i="8"/>
  <c r="M10" i="8"/>
  <c r="M8" i="8"/>
  <c r="M6" i="8"/>
  <c r="E13" i="8"/>
  <c r="S13" i="8"/>
  <c r="E22" i="8"/>
  <c r="S22" i="8"/>
  <c r="E31" i="8"/>
  <c r="S31" i="8"/>
  <c r="E40" i="8"/>
  <c r="S40" i="8"/>
  <c r="T22" i="8" l="1"/>
  <c r="F40" i="8"/>
  <c r="F31" i="8"/>
  <c r="F22" i="8"/>
  <c r="F13" i="8"/>
  <c r="T40" i="8"/>
  <c r="C53" i="6"/>
  <c r="D53" i="6"/>
  <c r="E53" i="6"/>
  <c r="F53" i="6"/>
  <c r="G53" i="6"/>
  <c r="H53" i="6"/>
  <c r="I53" i="6"/>
  <c r="C54" i="6"/>
  <c r="D54" i="6"/>
  <c r="E54" i="6"/>
  <c r="F54" i="6"/>
  <c r="G54" i="6"/>
  <c r="H54" i="6"/>
  <c r="I54" i="6"/>
  <c r="C55" i="6"/>
  <c r="D55" i="6"/>
  <c r="E55" i="6"/>
  <c r="F55" i="6"/>
  <c r="G55" i="6"/>
  <c r="H55" i="6"/>
  <c r="I55" i="6"/>
  <c r="C56" i="6"/>
  <c r="D56" i="6"/>
  <c r="E56" i="6"/>
  <c r="F56" i="6"/>
  <c r="G56" i="6"/>
  <c r="H56" i="6"/>
  <c r="I56" i="6"/>
  <c r="C57" i="6"/>
  <c r="D57" i="6"/>
  <c r="E57" i="6"/>
  <c r="F57" i="6"/>
  <c r="G57" i="6"/>
  <c r="H57" i="6"/>
  <c r="I57" i="6"/>
  <c r="C58" i="6"/>
  <c r="D58" i="6"/>
  <c r="E58" i="6"/>
  <c r="F58" i="6"/>
  <c r="G58" i="6"/>
  <c r="H58" i="6"/>
  <c r="I58" i="6"/>
  <c r="C59" i="6"/>
  <c r="D59" i="6"/>
  <c r="E59" i="6"/>
  <c r="F59" i="6"/>
  <c r="G59" i="6"/>
  <c r="H59" i="6"/>
  <c r="I59" i="6"/>
  <c r="C60" i="6"/>
  <c r="D60" i="6"/>
  <c r="E60" i="6"/>
  <c r="F60" i="6"/>
  <c r="G60" i="6"/>
  <c r="H60" i="6"/>
  <c r="I60" i="6"/>
  <c r="C61" i="6"/>
  <c r="D61" i="6"/>
  <c r="E61" i="6"/>
  <c r="F61" i="6"/>
  <c r="G61" i="6"/>
  <c r="H61" i="6"/>
  <c r="I61" i="6"/>
  <c r="C62" i="6"/>
  <c r="D62" i="6"/>
  <c r="E62" i="6"/>
  <c r="F62" i="6"/>
  <c r="G62" i="6"/>
  <c r="H62" i="6"/>
  <c r="I62" i="6"/>
  <c r="C63" i="6"/>
  <c r="D63" i="6"/>
  <c r="E63" i="6"/>
  <c r="F63" i="6"/>
  <c r="G63" i="6"/>
  <c r="H63" i="6"/>
  <c r="I63" i="6"/>
  <c r="C64" i="6"/>
  <c r="D64" i="6"/>
  <c r="E64" i="6"/>
  <c r="F64" i="6"/>
  <c r="G64" i="6"/>
  <c r="H64" i="6"/>
  <c r="I64" i="6"/>
  <c r="C65" i="6"/>
  <c r="D65" i="6"/>
  <c r="E65" i="6"/>
  <c r="F65" i="6"/>
  <c r="G65" i="6"/>
  <c r="H65" i="6"/>
  <c r="I65" i="6"/>
  <c r="C66" i="6"/>
  <c r="D66" i="6"/>
  <c r="E66" i="6"/>
  <c r="F66" i="6"/>
  <c r="G66" i="6"/>
  <c r="H66" i="6"/>
  <c r="I66" i="6"/>
  <c r="C67" i="6"/>
  <c r="D67" i="6"/>
  <c r="E67" i="6"/>
  <c r="F67" i="6"/>
  <c r="G67" i="6"/>
  <c r="H67" i="6"/>
  <c r="I67" i="6"/>
  <c r="C68" i="6"/>
  <c r="D68" i="6"/>
  <c r="E68" i="6"/>
  <c r="F68" i="6"/>
  <c r="G68" i="6"/>
  <c r="H68" i="6"/>
  <c r="I68" i="6"/>
  <c r="C69" i="6"/>
  <c r="D69" i="6"/>
  <c r="E69" i="6"/>
  <c r="F69" i="6"/>
  <c r="G69" i="6"/>
  <c r="H69" i="6"/>
  <c r="I69" i="6"/>
  <c r="D52" i="6"/>
  <c r="E52" i="6"/>
  <c r="F52" i="6"/>
  <c r="G52" i="6"/>
  <c r="H52" i="6"/>
  <c r="I52" i="6"/>
  <c r="C52" i="6"/>
  <c r="C29" i="6"/>
  <c r="D29" i="6"/>
  <c r="E29" i="6"/>
  <c r="F29" i="6"/>
  <c r="G29" i="6"/>
  <c r="H29" i="6"/>
  <c r="I29" i="6"/>
  <c r="C30" i="6"/>
  <c r="E12" i="12" s="1"/>
  <c r="D30" i="6"/>
  <c r="F12" i="12" s="1"/>
  <c r="E30" i="6"/>
  <c r="G12" i="12" s="1"/>
  <c r="F30" i="6"/>
  <c r="H12" i="12" s="1"/>
  <c r="G30" i="6"/>
  <c r="I12" i="12" s="1"/>
  <c r="H30" i="6"/>
  <c r="J12" i="12" s="1"/>
  <c r="I30" i="6"/>
  <c r="K12" i="12" s="1"/>
  <c r="C31" i="6"/>
  <c r="D31" i="6"/>
  <c r="E31" i="6"/>
  <c r="F31" i="6"/>
  <c r="G31" i="6"/>
  <c r="H31" i="6"/>
  <c r="I31" i="6"/>
  <c r="C32" i="6"/>
  <c r="E11" i="12" s="1"/>
  <c r="D32" i="6"/>
  <c r="F11" i="12" s="1"/>
  <c r="E32" i="6"/>
  <c r="G11" i="12" s="1"/>
  <c r="F32" i="6"/>
  <c r="H11" i="12" s="1"/>
  <c r="G32" i="6"/>
  <c r="I11" i="12" s="1"/>
  <c r="H32" i="6"/>
  <c r="J11" i="12" s="1"/>
  <c r="I32" i="6"/>
  <c r="K11" i="12" s="1"/>
  <c r="C33" i="6"/>
  <c r="D33" i="6"/>
  <c r="E33" i="6"/>
  <c r="F33" i="6"/>
  <c r="G33" i="6"/>
  <c r="H33" i="6"/>
  <c r="I33" i="6"/>
  <c r="C34" i="6"/>
  <c r="D34" i="6"/>
  <c r="E34" i="6"/>
  <c r="F34" i="6"/>
  <c r="G34" i="6"/>
  <c r="H34" i="6"/>
  <c r="I34" i="6"/>
  <c r="C35" i="6"/>
  <c r="D35" i="6"/>
  <c r="E35" i="6"/>
  <c r="F35" i="6"/>
  <c r="G35" i="6"/>
  <c r="H35" i="6"/>
  <c r="I35" i="6"/>
  <c r="C36" i="6"/>
  <c r="D36" i="6"/>
  <c r="E36" i="6"/>
  <c r="F36" i="6"/>
  <c r="G36" i="6"/>
  <c r="H36" i="6"/>
  <c r="I36" i="6"/>
  <c r="C37" i="6"/>
  <c r="D37" i="6"/>
  <c r="E37" i="6"/>
  <c r="F37" i="6"/>
  <c r="G37" i="6"/>
  <c r="H37" i="6"/>
  <c r="I37" i="6"/>
  <c r="C38" i="6"/>
  <c r="D38" i="6"/>
  <c r="E38" i="6"/>
  <c r="F38" i="6"/>
  <c r="G38" i="6"/>
  <c r="H38" i="6"/>
  <c r="I38" i="6"/>
  <c r="C39" i="6"/>
  <c r="D39" i="6"/>
  <c r="E39" i="6"/>
  <c r="F39" i="6"/>
  <c r="G39" i="6"/>
  <c r="H39" i="6"/>
  <c r="I39" i="6"/>
  <c r="C40" i="6"/>
  <c r="D40" i="6"/>
  <c r="E40" i="6"/>
  <c r="F40" i="6"/>
  <c r="G40" i="6"/>
  <c r="H40" i="6"/>
  <c r="I40" i="6"/>
  <c r="C41" i="6"/>
  <c r="D41" i="6"/>
  <c r="E41" i="6"/>
  <c r="F41" i="6"/>
  <c r="G41" i="6"/>
  <c r="H41" i="6"/>
  <c r="I41" i="6"/>
  <c r="C42" i="6"/>
  <c r="E7" i="12" s="1"/>
  <c r="D42" i="6"/>
  <c r="F7" i="12" s="1"/>
  <c r="E42" i="6"/>
  <c r="G7" i="12" s="1"/>
  <c r="F42" i="6"/>
  <c r="H7" i="12" s="1"/>
  <c r="G42" i="6"/>
  <c r="I7" i="12" s="1"/>
  <c r="H42" i="6"/>
  <c r="J7" i="12" s="1"/>
  <c r="I42" i="6"/>
  <c r="K7" i="12" s="1"/>
  <c r="C43" i="6"/>
  <c r="D43" i="6"/>
  <c r="E43" i="6"/>
  <c r="F43" i="6"/>
  <c r="G43" i="6"/>
  <c r="H43" i="6"/>
  <c r="I43" i="6"/>
  <c r="C44" i="6"/>
  <c r="D44" i="6"/>
  <c r="E44" i="6"/>
  <c r="F44" i="6"/>
  <c r="G44" i="6"/>
  <c r="H44" i="6"/>
  <c r="I44" i="6"/>
  <c r="C45" i="6"/>
  <c r="D45" i="6"/>
  <c r="E45" i="6"/>
  <c r="F45" i="6"/>
  <c r="G45" i="6"/>
  <c r="H45" i="6"/>
  <c r="I45" i="6"/>
  <c r="C46" i="6"/>
  <c r="D46" i="6"/>
  <c r="E46" i="6"/>
  <c r="F46" i="6"/>
  <c r="G46" i="6"/>
  <c r="H46" i="6"/>
  <c r="I46" i="6"/>
  <c r="C47" i="6"/>
  <c r="D47" i="6"/>
  <c r="E47" i="6"/>
  <c r="F47" i="6"/>
  <c r="G47" i="6"/>
  <c r="H47" i="6"/>
  <c r="I47" i="6"/>
  <c r="C48" i="6"/>
  <c r="D48" i="6"/>
  <c r="E48" i="6"/>
  <c r="F48" i="6"/>
  <c r="G48" i="6"/>
  <c r="H48" i="6"/>
  <c r="I48" i="6"/>
  <c r="C49" i="6"/>
  <c r="D49" i="6"/>
  <c r="E49" i="6"/>
  <c r="F49" i="6"/>
  <c r="G49" i="6"/>
  <c r="H49" i="6"/>
  <c r="I49" i="6"/>
  <c r="C50" i="6"/>
  <c r="E6" i="12" s="1"/>
  <c r="D50" i="6"/>
  <c r="F6" i="12" s="1"/>
  <c r="E50" i="6"/>
  <c r="G6" i="12" s="1"/>
  <c r="F50" i="6"/>
  <c r="H6" i="12" s="1"/>
  <c r="G50" i="6"/>
  <c r="I6" i="12" s="1"/>
  <c r="H50" i="6"/>
  <c r="J6" i="12" s="1"/>
  <c r="I50" i="6"/>
  <c r="K6" i="12" s="1"/>
  <c r="C51" i="6"/>
  <c r="D51" i="6"/>
  <c r="E51" i="6"/>
  <c r="F51" i="6"/>
  <c r="G51" i="6"/>
  <c r="H51" i="6"/>
  <c r="I51" i="6"/>
  <c r="D28" i="6"/>
  <c r="F15" i="12" s="1"/>
  <c r="E28" i="6"/>
  <c r="G15" i="12" s="1"/>
  <c r="F28" i="6"/>
  <c r="H15" i="12" s="1"/>
  <c r="G28" i="6"/>
  <c r="I15" i="12" s="1"/>
  <c r="H28" i="6"/>
  <c r="J15" i="12" s="1"/>
  <c r="I28" i="6"/>
  <c r="K15" i="12" s="1"/>
  <c r="C28" i="6"/>
  <c r="E15" i="12" s="1"/>
  <c r="C5" i="6"/>
  <c r="D5" i="6"/>
  <c r="E5" i="6"/>
  <c r="F5" i="6"/>
  <c r="G5" i="6"/>
  <c r="H5" i="6"/>
  <c r="I5" i="6"/>
  <c r="C6" i="6"/>
  <c r="D6" i="6"/>
  <c r="E6" i="6"/>
  <c r="F6" i="6"/>
  <c r="G6" i="6"/>
  <c r="H6" i="6"/>
  <c r="I6" i="6"/>
  <c r="C7" i="6"/>
  <c r="D7" i="6"/>
  <c r="E7" i="6"/>
  <c r="F7" i="6"/>
  <c r="G7" i="6"/>
  <c r="H7" i="6"/>
  <c r="I7" i="6"/>
  <c r="C8" i="6"/>
  <c r="D8" i="6"/>
  <c r="E8" i="6"/>
  <c r="F8" i="6"/>
  <c r="G8" i="6"/>
  <c r="H8" i="6"/>
  <c r="I8" i="6"/>
  <c r="C9" i="6"/>
  <c r="D9" i="6"/>
  <c r="E9" i="6"/>
  <c r="F9" i="6"/>
  <c r="G9" i="6"/>
  <c r="H9" i="6"/>
  <c r="I9" i="6"/>
  <c r="C10" i="6"/>
  <c r="E13" i="12" s="1"/>
  <c r="D10" i="6"/>
  <c r="F13" i="12" s="1"/>
  <c r="E10" i="6"/>
  <c r="G13" i="12" s="1"/>
  <c r="F10" i="6"/>
  <c r="H13" i="12" s="1"/>
  <c r="G10" i="6"/>
  <c r="I13" i="12" s="1"/>
  <c r="H10" i="6"/>
  <c r="J13" i="12" s="1"/>
  <c r="I10" i="6"/>
  <c r="K13" i="12" s="1"/>
  <c r="C11" i="6"/>
  <c r="E14" i="12" s="1"/>
  <c r="D11" i="6"/>
  <c r="F14" i="12" s="1"/>
  <c r="E11" i="6"/>
  <c r="G14" i="12" s="1"/>
  <c r="F11" i="6"/>
  <c r="H14" i="12" s="1"/>
  <c r="G11" i="6"/>
  <c r="I14" i="12" s="1"/>
  <c r="H11" i="6"/>
  <c r="J14" i="12" s="1"/>
  <c r="I11" i="6"/>
  <c r="K14" i="12" s="1"/>
  <c r="C12" i="6"/>
  <c r="E9" i="12" s="1"/>
  <c r="D12" i="6"/>
  <c r="F9" i="12" s="1"/>
  <c r="E12" i="6"/>
  <c r="G9" i="12" s="1"/>
  <c r="F12" i="6"/>
  <c r="H9" i="12" s="1"/>
  <c r="G12" i="6"/>
  <c r="I9" i="12" s="1"/>
  <c r="H12" i="6"/>
  <c r="J9" i="12" s="1"/>
  <c r="I12" i="6"/>
  <c r="K9" i="12" s="1"/>
  <c r="C13" i="6"/>
  <c r="D13" i="6"/>
  <c r="E13" i="6"/>
  <c r="F13" i="6"/>
  <c r="G13" i="6"/>
  <c r="H13" i="6"/>
  <c r="I13" i="6"/>
  <c r="C14" i="6"/>
  <c r="D14" i="6"/>
  <c r="E14" i="6"/>
  <c r="F14" i="6"/>
  <c r="G14" i="6"/>
  <c r="H14" i="6"/>
  <c r="I14" i="6"/>
  <c r="C15" i="6"/>
  <c r="D15" i="6"/>
  <c r="E15" i="6"/>
  <c r="F15" i="6"/>
  <c r="G15" i="6"/>
  <c r="H15" i="6"/>
  <c r="I15" i="6"/>
  <c r="C16" i="6"/>
  <c r="D16" i="6"/>
  <c r="E16" i="6"/>
  <c r="F16" i="6"/>
  <c r="G16" i="6"/>
  <c r="H16" i="6"/>
  <c r="I16" i="6"/>
  <c r="C17" i="6"/>
  <c r="D17" i="6"/>
  <c r="E17" i="6"/>
  <c r="F17" i="6"/>
  <c r="G17" i="6"/>
  <c r="H17" i="6"/>
  <c r="I17" i="6"/>
  <c r="C18" i="6"/>
  <c r="D18" i="6"/>
  <c r="E18" i="6"/>
  <c r="F18" i="6"/>
  <c r="G18" i="6"/>
  <c r="H18" i="6"/>
  <c r="I18" i="6"/>
  <c r="C19" i="6"/>
  <c r="D19" i="6"/>
  <c r="E19" i="6"/>
  <c r="F19" i="6"/>
  <c r="G19" i="6"/>
  <c r="H19" i="6"/>
  <c r="I19" i="6"/>
  <c r="C20" i="6"/>
  <c r="D20" i="6"/>
  <c r="E20" i="6"/>
  <c r="F20" i="6"/>
  <c r="G20" i="6"/>
  <c r="H20" i="6"/>
  <c r="I20" i="6"/>
  <c r="C21" i="6"/>
  <c r="D21" i="6"/>
  <c r="E21" i="6"/>
  <c r="F21" i="6"/>
  <c r="G21" i="6"/>
  <c r="H21" i="6"/>
  <c r="I21" i="6"/>
  <c r="C22" i="6"/>
  <c r="D22" i="6"/>
  <c r="E22" i="6"/>
  <c r="F22" i="6"/>
  <c r="G22" i="6"/>
  <c r="H22" i="6"/>
  <c r="I22" i="6"/>
  <c r="C23" i="6"/>
  <c r="D23" i="6"/>
  <c r="E23" i="6"/>
  <c r="F23" i="6"/>
  <c r="G23" i="6"/>
  <c r="H23" i="6"/>
  <c r="I23" i="6"/>
  <c r="C24" i="6"/>
  <c r="D24" i="6"/>
  <c r="E24" i="6"/>
  <c r="F24" i="6"/>
  <c r="G24" i="6"/>
  <c r="H24" i="6"/>
  <c r="I24" i="6"/>
  <c r="C25" i="6"/>
  <c r="D25" i="6"/>
  <c r="E25" i="6"/>
  <c r="F25" i="6"/>
  <c r="G25" i="6"/>
  <c r="H25" i="6"/>
  <c r="I25" i="6"/>
  <c r="C26" i="6"/>
  <c r="E10" i="12" s="1"/>
  <c r="D26" i="6"/>
  <c r="F10" i="12" s="1"/>
  <c r="E26" i="6"/>
  <c r="G10" i="12" s="1"/>
  <c r="F26" i="6"/>
  <c r="H10" i="12" s="1"/>
  <c r="G26" i="6"/>
  <c r="I10" i="12" s="1"/>
  <c r="H26" i="6"/>
  <c r="J10" i="12" s="1"/>
  <c r="I26" i="6"/>
  <c r="K10" i="12" s="1"/>
  <c r="C27" i="6"/>
  <c r="E8" i="12" s="1"/>
  <c r="D27" i="6"/>
  <c r="F8" i="12" s="1"/>
  <c r="E27" i="6"/>
  <c r="G8" i="12" s="1"/>
  <c r="F27" i="6"/>
  <c r="H8" i="12" s="1"/>
  <c r="G27" i="6"/>
  <c r="I8" i="12" s="1"/>
  <c r="H27" i="6"/>
  <c r="J8" i="12" s="1"/>
  <c r="I27" i="6"/>
  <c r="K8" i="12" s="1"/>
  <c r="D4" i="6"/>
  <c r="E4" i="6"/>
  <c r="F4" i="6"/>
  <c r="G4" i="6"/>
  <c r="G71" i="6" s="1"/>
  <c r="H4" i="6"/>
  <c r="I4" i="6"/>
  <c r="K4" i="6" s="1"/>
  <c r="C4" i="6"/>
  <c r="AH33" i="3"/>
  <c r="AH34" i="3"/>
  <c r="AH35" i="3"/>
  <c r="AH36" i="3"/>
  <c r="AH37" i="3"/>
  <c r="AH38" i="3"/>
  <c r="AH39" i="3"/>
  <c r="AH40" i="3"/>
  <c r="AH41" i="3"/>
  <c r="AH42" i="3"/>
  <c r="AH43" i="3"/>
  <c r="AH44" i="3"/>
  <c r="AH45" i="3"/>
  <c r="AH46" i="3"/>
  <c r="AH47" i="3"/>
  <c r="AH48" i="3"/>
  <c r="AH49" i="3"/>
  <c r="AH50" i="3"/>
  <c r="AH51" i="3"/>
  <c r="AH52" i="3"/>
  <c r="AH53" i="3"/>
  <c r="AH54" i="3"/>
  <c r="AH55" i="3"/>
  <c r="AH32" i="3"/>
  <c r="AH9" i="3"/>
  <c r="AH10" i="3"/>
  <c r="AH11" i="3"/>
  <c r="AH12" i="3"/>
  <c r="AH13" i="3"/>
  <c r="AH14" i="3"/>
  <c r="AH15" i="3"/>
  <c r="AH16" i="3"/>
  <c r="AH17" i="3"/>
  <c r="AH18" i="3"/>
  <c r="AH19" i="3"/>
  <c r="AH20" i="3"/>
  <c r="AH21" i="3"/>
  <c r="AH22" i="3"/>
  <c r="AH23" i="3"/>
  <c r="AH24" i="3"/>
  <c r="AH25" i="3"/>
  <c r="AH26" i="3"/>
  <c r="AH27" i="3"/>
  <c r="AH28" i="3"/>
  <c r="AH29" i="3"/>
  <c r="AH30" i="3"/>
  <c r="AH31" i="3"/>
  <c r="AH8" i="3"/>
  <c r="AF33" i="3"/>
  <c r="AG33" i="3"/>
  <c r="AF34" i="3"/>
  <c r="AG34" i="3"/>
  <c r="AF35" i="3"/>
  <c r="AG35" i="3"/>
  <c r="AF36" i="3"/>
  <c r="AG36" i="3"/>
  <c r="AF37" i="3"/>
  <c r="AG37" i="3"/>
  <c r="AF38" i="3"/>
  <c r="AG38" i="3"/>
  <c r="AF39" i="3"/>
  <c r="AG39" i="3"/>
  <c r="AF40" i="3"/>
  <c r="AG40" i="3"/>
  <c r="AF41" i="3"/>
  <c r="AG41" i="3"/>
  <c r="AF42" i="3"/>
  <c r="AG42" i="3"/>
  <c r="AF43" i="3"/>
  <c r="AG43" i="3"/>
  <c r="AF44" i="3"/>
  <c r="AG44" i="3"/>
  <c r="AF45" i="3"/>
  <c r="AG45" i="3"/>
  <c r="AF46" i="3"/>
  <c r="AG46" i="3"/>
  <c r="AF47" i="3"/>
  <c r="AG47" i="3"/>
  <c r="AF48" i="3"/>
  <c r="AG48" i="3"/>
  <c r="AF49" i="3"/>
  <c r="AG49" i="3"/>
  <c r="AF50" i="3"/>
  <c r="AG50" i="3"/>
  <c r="AF51" i="3"/>
  <c r="AG51" i="3"/>
  <c r="AF52" i="3"/>
  <c r="AG52" i="3"/>
  <c r="AF53" i="3"/>
  <c r="AG53" i="3"/>
  <c r="AF54" i="3"/>
  <c r="AG54" i="3"/>
  <c r="AF55" i="3"/>
  <c r="AG55" i="3"/>
  <c r="AG32" i="3"/>
  <c r="AF32" i="3"/>
  <c r="AF9" i="3"/>
  <c r="AG9" i="3"/>
  <c r="AF10" i="3"/>
  <c r="AG10" i="3"/>
  <c r="AF11" i="3"/>
  <c r="AG11" i="3"/>
  <c r="AF12" i="3"/>
  <c r="AG12" i="3"/>
  <c r="AF13" i="3"/>
  <c r="AG13" i="3"/>
  <c r="AF14" i="3"/>
  <c r="AG14" i="3"/>
  <c r="AF15" i="3"/>
  <c r="AG15" i="3"/>
  <c r="AF16" i="3"/>
  <c r="AG16" i="3"/>
  <c r="AF17" i="3"/>
  <c r="AG17" i="3"/>
  <c r="AF18" i="3"/>
  <c r="AG18" i="3"/>
  <c r="AF19" i="3"/>
  <c r="AG19" i="3"/>
  <c r="AF20" i="3"/>
  <c r="AG20" i="3"/>
  <c r="AF21" i="3"/>
  <c r="AG21" i="3"/>
  <c r="AF22" i="3"/>
  <c r="AG22" i="3"/>
  <c r="AF23" i="3"/>
  <c r="AG23" i="3"/>
  <c r="AF24" i="3"/>
  <c r="AG24" i="3"/>
  <c r="AF25" i="3"/>
  <c r="AG25" i="3"/>
  <c r="AF26" i="3"/>
  <c r="AG26" i="3"/>
  <c r="AF27" i="3"/>
  <c r="AG27" i="3"/>
  <c r="AF28" i="3"/>
  <c r="AG28" i="3"/>
  <c r="AF29" i="3"/>
  <c r="AG29" i="3"/>
  <c r="AF30" i="3"/>
  <c r="AG30" i="3"/>
  <c r="AF31" i="3"/>
  <c r="AG31" i="3"/>
  <c r="AG8" i="3"/>
  <c r="AF8" i="3"/>
  <c r="H41" i="4"/>
  <c r="T32" i="3"/>
  <c r="I32" i="3"/>
  <c r="L4" i="6" l="1"/>
  <c r="M4" i="6"/>
  <c r="E72" i="6"/>
  <c r="E75" i="6" s="1"/>
  <c r="E71" i="6"/>
  <c r="D72" i="6"/>
  <c r="D71" i="6"/>
  <c r="E74" i="6" l="1"/>
</calcChain>
</file>

<file path=xl/sharedStrings.xml><?xml version="1.0" encoding="utf-8"?>
<sst xmlns="http://schemas.openxmlformats.org/spreadsheetml/2006/main" count="1734" uniqueCount="375">
  <si>
    <t>Spear 2 Crowbar Stack Testing</t>
  </si>
  <si>
    <t>Crowbar 1</t>
  </si>
  <si>
    <t>Crowbar 2</t>
  </si>
  <si>
    <t>Crowbar 3</t>
  </si>
  <si>
    <t>Crowbar 4</t>
  </si>
  <si>
    <t>LC @ 25KV</t>
  </si>
  <si>
    <t>mA</t>
  </si>
  <si>
    <t>Temps</t>
  </si>
  <si>
    <t>Deg. C</t>
  </si>
  <si>
    <t xml:space="preserve">All data @ 30 minutes </t>
  </si>
  <si>
    <t>HV applied</t>
  </si>
  <si>
    <t>All 4 stacks removed from Spear 2 RF HVPS on July 6, 2018</t>
  </si>
  <si>
    <t>28.4-35.2</t>
  </si>
  <si>
    <t>Overvolts</t>
  </si>
  <si>
    <t>Self-Fire KV</t>
  </si>
  <si>
    <t>Pass/Fail</t>
  </si>
  <si>
    <t>Light</t>
  </si>
  <si>
    <t>Trigger</t>
  </si>
  <si>
    <t>Pass</t>
  </si>
  <si>
    <t>Time= 30 mins</t>
  </si>
  <si>
    <t>28.2-37.9</t>
  </si>
  <si>
    <t>P 42.8KV</t>
  </si>
  <si>
    <t>P43.3KV</t>
  </si>
  <si>
    <t>P 43.4KV</t>
  </si>
  <si>
    <t>28.2-32.4</t>
  </si>
  <si>
    <t>0.891+</t>
  </si>
  <si>
    <t>Stacks removed July 06, 2018</t>
  </si>
  <si>
    <t xml:space="preserve">Test Date: 7/28/2018 </t>
  </si>
  <si>
    <t>P43.25KV</t>
  </si>
  <si>
    <t>0.911+</t>
  </si>
  <si>
    <t>Conclusions:  Stack 4 has high leakage current (nominal should be &lt; .890 mA) and is likely a culprit in sagging output volts.  Stack 1 leakage current creaping upward slowly and is marginal.  Stacks 2+3 appear to be good:  leakage current was steady over 1/2 hour test period.</t>
  </si>
  <si>
    <t>29.1-35.6</t>
  </si>
  <si>
    <t>Failed @ 43KV</t>
  </si>
  <si>
    <t>Pass @ 43.55KV</t>
  </si>
  <si>
    <t>Pass @ 44.2 KV</t>
  </si>
  <si>
    <t>1.12 mA</t>
  </si>
  <si>
    <t>Pass @ 43.05</t>
  </si>
  <si>
    <t>Test Date: 8/4/2018</t>
  </si>
  <si>
    <t>Stacks removed from Spear 2  August 03, 2018</t>
  </si>
  <si>
    <t>Conclusions:  Stack 1 functioned normally with good, stable leakage current.  One SCR (#3 in stack 1) failed with self-fire @ 43 KV.  The stack was good during ops.  It is not normal for a stack to self-fire--the crowbar ckt operates with a trigger pulse.  Leakage after failed SCR was 1.1 mA and stable @ 25KV.  The other 5 SCRs in the stack are good. Stack 2 leakage @ 30 minutes was a little high, but appears to function correctly.  Stacks 3+4 are good with stable leakage current @ 25 KVDC.  It's possible over a longer operational period at higher temperatures in the crowbar tank than in free air the stacks started to partially self-fire (possibly stack 2).  But from the uncertainty of this limited testing, it is warranted to test the main tank rectifiers and filter circuits and to replace the main tank rectifiers and filter caps and to perform a thorough inspection of wiring and bushings.</t>
  </si>
  <si>
    <t xml:space="preserve">Spear 2 RF HVPS Individual SCR Tests </t>
  </si>
  <si>
    <t>Stack 1</t>
  </si>
  <si>
    <t>SCR #</t>
  </si>
  <si>
    <t>uA @ 4.2 KV</t>
  </si>
  <si>
    <t>uA @ 6.5KV</t>
  </si>
  <si>
    <t>F.O. Trigs</t>
  </si>
  <si>
    <t xml:space="preserve">OV Self-Fire </t>
  </si>
  <si>
    <t>Stack 2</t>
  </si>
  <si>
    <t>Stack 3</t>
  </si>
  <si>
    <t>Stack 4</t>
  </si>
  <si>
    <t>Serial #</t>
  </si>
  <si>
    <t>Good</t>
  </si>
  <si>
    <t>Re-Use?</t>
  </si>
  <si>
    <t>No</t>
  </si>
  <si>
    <t>Yes</t>
  </si>
  <si>
    <t>break down under voltage in crowbar tank.</t>
  </si>
  <si>
    <t>Conclusions</t>
  </si>
  <si>
    <t>Stacks 2 + 4 were bad.  Believe these 2 be the culprit in the second Spear 2 failure (&lt; 2 days run time).</t>
  </si>
  <si>
    <t>Stack 4 had 4 devices marginal or failed at self-fire (permanent short with one shot).</t>
  </si>
  <si>
    <t xml:space="preserve">Stacks 1 + 3 are decent--not great though.  Overall, found 10 devices out of 24  either marginal or failed. </t>
  </si>
  <si>
    <t xml:space="preserve">It is apparent the previous 2 failures were due to crowbar stack failures.  At this point, will construct and test </t>
  </si>
  <si>
    <t>best possible stacks with each device tested for leakage, fiber optic triggering and ability to withstand</t>
  </si>
  <si>
    <t>over-voltage self-firing.  Testing the whole stack and calling that stack good is obviously not the way to go.</t>
  </si>
  <si>
    <t>Previously, we tested the whole stack--it the overall leakage was under .890 and stable and passed trigger</t>
  </si>
  <si>
    <t xml:space="preserve">testing, we declared it good.  From now on, we will test each device thoroughly and individually and use </t>
  </si>
  <si>
    <t>the whole stack tests after a stack is assembled to make sure it works as a unit.</t>
  </si>
  <si>
    <t>Spare SCR tests to rebuild Spear 2 Crowbar Stacks.</t>
  </si>
  <si>
    <t>Spare #</t>
  </si>
  <si>
    <t xml:space="preserve">Serial # </t>
  </si>
  <si>
    <t>uA @ 6.5 KV</t>
  </si>
  <si>
    <t>Fiber Optic</t>
  </si>
  <si>
    <t>OV Self-Fire</t>
  </si>
  <si>
    <t>Good/Bad</t>
  </si>
  <si>
    <t>Bad</t>
  </si>
  <si>
    <t>Marginal</t>
  </si>
  <si>
    <t xml:space="preserve">Stack 1 had 3 SCRs with high leakage current and a 4th SCR that failed on over-volts self-fire.  </t>
  </si>
  <si>
    <t xml:space="preserve">Stack 3 has 3 SCRs with high leakage current.  Both stack 1 + 3 indicate likely strong candidates for </t>
  </si>
  <si>
    <t>Spear 2 failure on July 06, 2018.</t>
  </si>
  <si>
    <t xml:space="preserve">Stacks 2 + 4 are reasonably good.  </t>
  </si>
  <si>
    <t>It strongly appears both sets of crowbar stacks installed in Spear 2 led to the failures seen on Spear 2 over</t>
  </si>
  <si>
    <t xml:space="preserve">the short run times due to the inability of at least 2 stacks in each set being unable to hold off the </t>
  </si>
  <si>
    <t>necessary voltage to allow full power supply output.</t>
  </si>
  <si>
    <t>Creeping Up</t>
  </si>
  <si>
    <t>N</t>
  </si>
  <si>
    <t>Y</t>
  </si>
  <si>
    <t>Note:  Creeping Up = Y means current creeping upwards during measurement.  Bad sign device will eventually</t>
  </si>
  <si>
    <t>Num to reuse</t>
  </si>
  <si>
    <t>Num Good</t>
  </si>
  <si>
    <t>4.2 kV</t>
  </si>
  <si>
    <t>6.5 kV</t>
  </si>
  <si>
    <t>SelfFIre</t>
  </si>
  <si>
    <t>Copied data for histograms (do not know how to histogram data from different columns)</t>
  </si>
  <si>
    <t>Set 1 Crowbar Stacks removed 6 July 2018 (failed July 6 2018)</t>
  </si>
  <si>
    <t>Set 2 Crowbar Stacks removed 3 August 2018 (failed 7 July 2018)</t>
  </si>
  <si>
    <t>Set 2</t>
  </si>
  <si>
    <t>Set 1</t>
  </si>
  <si>
    <t>Spares</t>
  </si>
  <si>
    <t># good dev</t>
  </si>
  <si>
    <t># bad dev</t>
  </si>
  <si>
    <t># marginal</t>
  </si>
  <si>
    <t>Cell 6</t>
  </si>
  <si>
    <t>Cell 5</t>
  </si>
  <si>
    <t>Cell 4</t>
  </si>
  <si>
    <t>.851 uA</t>
  </si>
  <si>
    <t>Cell 3</t>
  </si>
  <si>
    <t>Cell 2</t>
  </si>
  <si>
    <t>Cell 1</t>
  </si>
  <si>
    <t>.848 uA</t>
  </si>
  <si>
    <t>.859 uA</t>
  </si>
  <si>
    <t>0.846 uA</t>
  </si>
  <si>
    <t>Old #</t>
  </si>
  <si>
    <t>Fiber Optic Trig Test</t>
  </si>
  <si>
    <t>Stack Leakage @ 25 KVDC</t>
  </si>
  <si>
    <t>SCR S/N</t>
  </si>
  <si>
    <t>New Set of Crowbar Stacks for Spear 2 RF HVPS  18 Aug 2018</t>
  </si>
  <si>
    <t>AVG:</t>
  </si>
  <si>
    <t>updated.</t>
  </si>
  <si>
    <t>Replaced SCRs 2 + 5.  Test results</t>
  </si>
  <si>
    <t>Old #'s</t>
  </si>
  <si>
    <t>Test results updated.</t>
  </si>
  <si>
    <t>Replaced SCRs 2,4, 5 in stack 1.</t>
  </si>
  <si>
    <t>Replace S/N</t>
  </si>
  <si>
    <t>Old #s</t>
  </si>
  <si>
    <t>M Ohms</t>
  </si>
  <si>
    <t>Current</t>
  </si>
  <si>
    <t>Volts</t>
  </si>
  <si>
    <t>Reverse Direction</t>
  </si>
  <si>
    <t>Fwd Direction</t>
  </si>
  <si>
    <t xml:space="preserve">Updated </t>
  </si>
  <si>
    <t>Ohm Tests for New Spear 2 Crowbar Stacks</t>
  </si>
  <si>
    <t>Total</t>
  </si>
  <si>
    <t>Ohms (Calc)</t>
  </si>
  <si>
    <t>Ohms (Meas)</t>
  </si>
  <si>
    <t>Preliminary Temperature Dependence Tests</t>
  </si>
  <si>
    <t>S/N</t>
  </si>
  <si>
    <t>Temp degC</t>
  </si>
  <si>
    <t>SCRs 11 + 12 are tested out of box, but unused in field.</t>
  </si>
  <si>
    <t>20U9</t>
  </si>
  <si>
    <t>?</t>
  </si>
  <si>
    <t>13R2</t>
  </si>
  <si>
    <t>25S5</t>
  </si>
  <si>
    <t>26R9</t>
  </si>
  <si>
    <t>Date Code</t>
  </si>
  <si>
    <t>Number</t>
  </si>
  <si>
    <t>SCRs sent to Infineon for analysis</t>
  </si>
  <si>
    <t>1130</t>
  </si>
  <si>
    <t>10 mins.</t>
  </si>
  <si>
    <t>1120</t>
  </si>
  <si>
    <t>Begin</t>
  </si>
  <si>
    <t>Stage 1 to Stage 4:</t>
  </si>
  <si>
    <t>1107</t>
  </si>
  <si>
    <t>1057</t>
  </si>
  <si>
    <t>Not performed.</t>
  </si>
  <si>
    <t>Stage 1 to Stage 3:</t>
  </si>
  <si>
    <t>1022</t>
  </si>
  <si>
    <t>5 mins.</t>
  </si>
  <si>
    <t>1237</t>
  </si>
  <si>
    <t>1017</t>
  </si>
  <si>
    <t>Stage 4</t>
  </si>
  <si>
    <t>1227</t>
  </si>
  <si>
    <t>1011</t>
  </si>
  <si>
    <t>1225</t>
  </si>
  <si>
    <t>1006</t>
  </si>
  <si>
    <t>Stage 3</t>
  </si>
  <si>
    <t>1214</t>
  </si>
  <si>
    <t>0959</t>
  </si>
  <si>
    <t>1208</t>
  </si>
  <si>
    <t>0954</t>
  </si>
  <si>
    <t>Stage 2</t>
  </si>
  <si>
    <t>1158</t>
  </si>
  <si>
    <t>0945</t>
  </si>
  <si>
    <t>1152</t>
  </si>
  <si>
    <t>0940</t>
  </si>
  <si>
    <t>Stage 1</t>
  </si>
  <si>
    <t>1142</t>
  </si>
  <si>
    <t>Start/Stop</t>
  </si>
  <si>
    <t>Leakage I</t>
  </si>
  <si>
    <t>Volts KV</t>
  </si>
  <si>
    <t>7 Sept. 2018</t>
  </si>
  <si>
    <t>Spear 2 RF HVPS Hipot Test Results</t>
  </si>
  <si>
    <t>16 Aug 2018 + 24 Aug 2018</t>
  </si>
  <si>
    <t>Resistance</t>
  </si>
  <si>
    <r>
      <t>M</t>
    </r>
    <r>
      <rPr>
        <b/>
        <sz val="11"/>
        <color theme="1"/>
        <rFont val="Calibri"/>
        <family val="2"/>
      </rPr>
      <t>Ω</t>
    </r>
  </si>
  <si>
    <t>1 Min.</t>
  </si>
  <si>
    <t>C+</t>
  </si>
  <si>
    <t>B+</t>
  </si>
  <si>
    <t>A+</t>
  </si>
  <si>
    <t>uA</t>
  </si>
  <si>
    <t>KV</t>
  </si>
  <si>
    <t>Dwell Time</t>
  </si>
  <si>
    <t>Pos Rail</t>
  </si>
  <si>
    <t>C-</t>
  </si>
  <si>
    <t>B-</t>
  </si>
  <si>
    <t>A-</t>
  </si>
  <si>
    <t xml:space="preserve">Leakage I </t>
  </si>
  <si>
    <t>Neg Rail</t>
  </si>
  <si>
    <t>Filter Box Diodes, #3 Rectifier Stack</t>
  </si>
  <si>
    <t>Filter Box Diodes, Spare Stack</t>
  </si>
  <si>
    <t>Dwell time</t>
  </si>
  <si>
    <t>Spear 2 RF HVPS Main Rectifier Diode Stack and Filter Box Diode Hipot Tests</t>
  </si>
  <si>
    <t>Spare Main Rectifier Diode Stack and Filter Box Diode Hipot Tests</t>
  </si>
  <si>
    <t xml:space="preserve">Hipot leakage currents stage to stage from August 16, 2018 </t>
  </si>
  <si>
    <t>8 Sept. 2018</t>
  </si>
  <si>
    <t>from Building 725</t>
  </si>
  <si>
    <t>Test of Spear 2 RF HVPS Main Rectifier Stack #3 vs Spare Main Rectifier Stack</t>
  </si>
  <si>
    <r>
      <rPr>
        <sz val="11"/>
        <color theme="1"/>
        <rFont val="Calibri"/>
        <family val="2"/>
        <scheme val="minor"/>
      </rPr>
      <t>M</t>
    </r>
    <r>
      <rPr>
        <sz val="11"/>
        <color theme="1"/>
        <rFont val="Symbol"/>
        <family val="1"/>
        <charset val="2"/>
      </rPr>
      <t>W</t>
    </r>
  </si>
  <si>
    <t>DESY Infineon T1503NH 75T S02</t>
  </si>
  <si>
    <t>Blocking current (uA) at 4000 VDC  50 degC</t>
  </si>
  <si>
    <t>Series 1</t>
  </si>
  <si>
    <t>Series 2</t>
  </si>
  <si>
    <t>Series 3.1</t>
  </si>
  <si>
    <t>Series 3.2</t>
  </si>
  <si>
    <t>Summary</t>
  </si>
  <si>
    <t>mean</t>
  </si>
  <si>
    <t>std</t>
  </si>
  <si>
    <t>ratios</t>
  </si>
  <si>
    <t>LTT Ohms (Calc)</t>
  </si>
  <si>
    <t>LTT Current</t>
  </si>
  <si>
    <t>Pass?</t>
  </si>
  <si>
    <t>S. F. KV</t>
  </si>
  <si>
    <t>F.O.</t>
  </si>
  <si>
    <t>I @ 6.5 KV</t>
  </si>
  <si>
    <t>I @ 4.2 KV</t>
  </si>
  <si>
    <t>S2 C+</t>
  </si>
  <si>
    <t>S2 A+</t>
  </si>
  <si>
    <t>S1 B+</t>
  </si>
  <si>
    <t>S2 C-</t>
  </si>
  <si>
    <t>S2 A-</t>
  </si>
  <si>
    <t>S1 B-</t>
  </si>
  <si>
    <t>S2 B+</t>
  </si>
  <si>
    <t>S1 C+</t>
  </si>
  <si>
    <t>S1 A+</t>
  </si>
  <si>
    <t>S2 B-</t>
  </si>
  <si>
    <t>S1 C-</t>
  </si>
  <si>
    <t xml:space="preserve"> S1 A-</t>
  </si>
  <si>
    <t>LER 4-4 Phase Stack SCRs removed 13+14 Sept. 2018</t>
  </si>
  <si>
    <t>Marg.</t>
  </si>
  <si>
    <t>Note 2:  "+" symbol after a leakage current number denotes creeping current.</t>
  </si>
  <si>
    <t>Note 1:  all currents listed on this sheet are in microamps (uA).</t>
  </si>
  <si>
    <t>875+</t>
  </si>
  <si>
    <t>87.5+</t>
  </si>
  <si>
    <t>Short SF</t>
  </si>
  <si>
    <t>4000+</t>
  </si>
  <si>
    <t>1268+</t>
  </si>
  <si>
    <t>113+</t>
  </si>
  <si>
    <t>76.8+</t>
  </si>
  <si>
    <t>9+ No SF</t>
  </si>
  <si>
    <t>LER 4-4 Crowbar Stack SCRs removed 13+14 Sept. 2018</t>
  </si>
  <si>
    <t>Spear 2 Crowbar Stack removed Oct. 26, 2012</t>
  </si>
  <si>
    <t>Leakage Tests of SCRs Removed From LER 4-4 (Sept. 13-14, 2018) + 2 Stacks From Spear 2 (Oct. 26, 2012)</t>
  </si>
  <si>
    <t>Creeping Up?</t>
  </si>
  <si>
    <t>LER 4-4 Phase Tank Stacks</t>
  </si>
  <si>
    <t>S1A-</t>
  </si>
  <si>
    <t>S1A+</t>
  </si>
  <si>
    <t>S1B-</t>
  </si>
  <si>
    <t>S1C-</t>
  </si>
  <si>
    <t>S2C-</t>
  </si>
  <si>
    <t>S2C+</t>
  </si>
  <si>
    <t>Marg</t>
  </si>
  <si>
    <t>S1B+</t>
  </si>
  <si>
    <t>S1C+</t>
  </si>
  <si>
    <t>S2A-</t>
  </si>
  <si>
    <t>S2A+</t>
  </si>
  <si>
    <t>S2B+</t>
  </si>
  <si>
    <t>S2B-</t>
  </si>
  <si>
    <t>New Spare Crowbar Stacks for Spear 1+2.</t>
  </si>
  <si>
    <t>SCRs are from LER 4-4 which were removed 14 Sept. 2018</t>
  </si>
  <si>
    <t>Date:  Oct 2, 2018</t>
  </si>
  <si>
    <t>SF KV</t>
  </si>
  <si>
    <t>.850 mA</t>
  </si>
  <si>
    <t>.855 mA</t>
  </si>
  <si>
    <t>.857 mA</t>
  </si>
  <si>
    <t>.856 mA</t>
  </si>
  <si>
    <t>copy of results from testing</t>
  </si>
  <si>
    <t>Set</t>
  </si>
  <si>
    <t>Stack</t>
  </si>
  <si>
    <t>Infineon report</t>
  </si>
  <si>
    <t>P01</t>
  </si>
  <si>
    <t>P02</t>
  </si>
  <si>
    <t>P03</t>
  </si>
  <si>
    <t>P04</t>
  </si>
  <si>
    <t>P05</t>
  </si>
  <si>
    <t>P06</t>
  </si>
  <si>
    <t>P07</t>
  </si>
  <si>
    <t>P08</t>
  </si>
  <si>
    <t>P09</t>
  </si>
  <si>
    <t>P10</t>
  </si>
  <si>
    <t>P11</t>
  </si>
  <si>
    <t>P12</t>
  </si>
  <si>
    <t>spare</t>
  </si>
  <si>
    <t>ok</t>
  </si>
  <si>
    <t>reduced blocking in forward and reverse directions</t>
  </si>
  <si>
    <t>shorted forward, reduced blocking reversed</t>
  </si>
  <si>
    <t>forward blocking peculiarity at 2000 V</t>
  </si>
  <si>
    <t>.836 mA</t>
  </si>
  <si>
    <t>.837 mA</t>
  </si>
  <si>
    <t>.841 mA</t>
  </si>
  <si>
    <t>Date:  Oct 6, 2018</t>
  </si>
  <si>
    <t>0 in VBO test means a failure to self-fire</t>
  </si>
  <si>
    <t>Cold Tests @ 22 deg. C</t>
  </si>
  <si>
    <t>Hot Tests @ approx. 50 deg. C</t>
  </si>
  <si>
    <t>AnodeTemp</t>
  </si>
  <si>
    <t>20S4</t>
  </si>
  <si>
    <t>G</t>
  </si>
  <si>
    <t>133.7+</t>
  </si>
  <si>
    <t>226.5+</t>
  </si>
  <si>
    <t>02S4</t>
  </si>
  <si>
    <t>220.5+</t>
  </si>
  <si>
    <t>375+</t>
  </si>
  <si>
    <t>319+</t>
  </si>
  <si>
    <t>586+</t>
  </si>
  <si>
    <t>146.5+</t>
  </si>
  <si>
    <t>322.2+</t>
  </si>
  <si>
    <t>52.1+</t>
  </si>
  <si>
    <t>101.1+</t>
  </si>
  <si>
    <t>344+</t>
  </si>
  <si>
    <t>609+</t>
  </si>
  <si>
    <t>24R3</t>
  </si>
  <si>
    <t>91.2+</t>
  </si>
  <si>
    <t>182.6+</t>
  </si>
  <si>
    <t>122.2+</t>
  </si>
  <si>
    <t>273.6+</t>
  </si>
  <si>
    <t>153.6+</t>
  </si>
  <si>
    <t>287.9+</t>
  </si>
  <si>
    <t>58.8+</t>
  </si>
  <si>
    <t>115.2+</t>
  </si>
  <si>
    <t>205.5+</t>
  </si>
  <si>
    <t>395.2+</t>
  </si>
  <si>
    <t>105.1+</t>
  </si>
  <si>
    <t>440.6+</t>
  </si>
  <si>
    <t>06U2</t>
  </si>
  <si>
    <t>63.9+</t>
  </si>
  <si>
    <t>128.4+</t>
  </si>
  <si>
    <t>08U2</t>
  </si>
  <si>
    <t>551+</t>
  </si>
  <si>
    <t>1015+</t>
  </si>
  <si>
    <t>18R2</t>
  </si>
  <si>
    <t>162+</t>
  </si>
  <si>
    <t>219+</t>
  </si>
  <si>
    <t>641+</t>
  </si>
  <si>
    <t>1104+</t>
  </si>
  <si>
    <t>259.1+</t>
  </si>
  <si>
    <t>548+</t>
  </si>
  <si>
    <t>65+</t>
  </si>
  <si>
    <t>Shorted</t>
  </si>
  <si>
    <t>N/A</t>
  </si>
  <si>
    <t>45.5+</t>
  </si>
  <si>
    <t>464.4+</t>
  </si>
  <si>
    <t>895+</t>
  </si>
  <si>
    <t>218.1+</t>
  </si>
  <si>
    <t>371.2+</t>
  </si>
  <si>
    <t>192+</t>
  </si>
  <si>
    <t>1402+</t>
  </si>
  <si>
    <t>985+</t>
  </si>
  <si>
    <t>1985+</t>
  </si>
  <si>
    <t>359.5+</t>
  </si>
  <si>
    <t>757+</t>
  </si>
  <si>
    <t>607+</t>
  </si>
  <si>
    <t>1139+</t>
  </si>
  <si>
    <t>280.5+</t>
  </si>
  <si>
    <t>651+</t>
  </si>
  <si>
    <t>HVPS1 Stack Summary</t>
  </si>
  <si>
    <t>Serial No.</t>
  </si>
  <si>
    <t>Cold Tests</t>
  </si>
  <si>
    <t>Hot Tests</t>
  </si>
  <si>
    <t>LER 4-4 and 2012 HVPS2 Crowbar Stack SCRs Summary</t>
  </si>
  <si>
    <t xml:space="preserve">New Spare Stacks Made From Spear 1 Crowbar Stack SCRs.  </t>
  </si>
  <si>
    <t>.834 mA</t>
  </si>
  <si>
    <t>.831 mA</t>
  </si>
  <si>
    <t>.851 mA</t>
  </si>
  <si>
    <t>Replaced S/N</t>
  </si>
  <si>
    <t>06u2</t>
  </si>
  <si>
    <t>.849 mA</t>
  </si>
  <si>
    <t xml:space="preserve">All 4 stacks good and ready for spares use.  </t>
  </si>
  <si>
    <t>uA @ 4.2 kV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</si>
</sst>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0" x14ac:knownFonts="1">
    <font>
      <sz val="11"/>
      <color theme="1"/>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b/>
      <sz val="12"/>
      <color theme="1"/>
      <name val="Calibri"/>
      <family val="2"/>
      <scheme val="minor"/>
    </font>
    <font>
      <b/>
      <sz val="11"/>
      <color theme="1"/>
      <name val="Calibri"/>
      <family val="2"/>
      <scheme val="minor"/>
    </font>
    <font>
      <sz val="12"/>
      <color theme="1"/>
      <name val="Calibri"/>
      <family val="2"/>
      <scheme val="minor"/>
    </font>
    <font>
      <b/>
      <sz val="14"/>
      <color theme="1"/>
      <name val="Calibri"/>
      <family val="2"/>
      <scheme val="minor"/>
    </font>
    <font>
      <sz val="11"/>
      <color theme="1"/>
      <name val="Calibri"/>
      <family val="2"/>
      <scheme val="minor"/>
    </font>
    <font>
      <b/>
      <sz val="18"/>
      <color theme="1"/>
      <name val="Calibri"/>
      <family val="2"/>
      <scheme val="minor"/>
    </font>
    <font>
      <b/>
      <sz val="11"/>
      <color theme="1"/>
      <name val="Calibri"/>
      <family val="2"/>
    </font>
    <font>
      <b/>
      <u/>
      <sz val="11"/>
      <color theme="1"/>
      <name val="Calibri"/>
      <family val="2"/>
      <scheme val="minor"/>
    </font>
    <font>
      <sz val="11"/>
      <name val="Calibri"/>
      <family val="2"/>
      <scheme val="minor"/>
    </font>
    <font>
      <u/>
      <sz val="11"/>
      <color theme="1"/>
      <name val="Calibri"/>
      <family val="2"/>
      <scheme val="minor"/>
    </font>
    <font>
      <sz val="11"/>
      <color theme="1"/>
      <name val="Symbol"/>
      <family val="1"/>
      <charset val="2"/>
    </font>
    <font>
      <sz val="14"/>
      <color theme="1"/>
      <name val="Calibri"/>
      <family val="2"/>
      <scheme val="minor"/>
    </font>
    <font>
      <sz val="14"/>
      <name val="Calibri"/>
      <family val="2"/>
      <scheme val="minor"/>
    </font>
    <font>
      <sz val="14"/>
      <color rgb="FFFF0000"/>
      <name val="Calibri"/>
      <family val="2"/>
      <scheme val="minor"/>
    </font>
    <font>
      <sz val="20"/>
      <color theme="1"/>
      <name val="Calibri"/>
      <family val="2"/>
      <scheme val="minor"/>
    </font>
    <font>
      <sz val="12"/>
      <color rgb="FFFF0000"/>
      <name val="Calibri"/>
      <family val="2"/>
      <scheme val="minor"/>
    </font>
  </fonts>
  <fills count="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FFCC"/>
      </patternFill>
    </fill>
    <fill>
      <patternFill patternType="solid">
        <fgColor rgb="FFFFFF00"/>
        <bgColor indexed="64"/>
      </patternFill>
    </fill>
  </fills>
  <borders count="31">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rgb="FFB2B2B2"/>
      </left>
      <right/>
      <top style="thin">
        <color rgb="FFB2B2B2"/>
      </top>
      <bottom style="thin">
        <color rgb="FFB2B2B2"/>
      </bottom>
      <diagonal/>
    </border>
    <border>
      <left/>
      <right style="thin">
        <color indexed="64"/>
      </right>
      <top style="thin">
        <color indexed="64"/>
      </top>
      <bottom style="thin">
        <color indexed="64"/>
      </bottom>
      <diagonal/>
    </border>
    <border>
      <left/>
      <right style="thin">
        <color rgb="FFB2B2B2"/>
      </right>
      <top style="thin">
        <color rgb="FFB2B2B2"/>
      </top>
      <bottom style="thin">
        <color rgb="FFB2B2B2"/>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5">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0" applyNumberFormat="0" applyBorder="0" applyAlignment="0" applyProtection="0"/>
    <xf numFmtId="0" fontId="8" fillId="5" borderId="19" applyNumberFormat="0" applyFont="0" applyAlignment="0" applyProtection="0"/>
  </cellStyleXfs>
  <cellXfs count="220">
    <xf numFmtId="0" fontId="0" fillId="0" borderId="0" xfId="0"/>
    <xf numFmtId="0" fontId="0" fillId="0" borderId="0" xfId="0" applyAlignment="1">
      <alignment horizontal="center"/>
    </xf>
    <xf numFmtId="0" fontId="4" fillId="0" borderId="0" xfId="0" applyFont="1" applyAlignment="1">
      <alignment horizontal="center"/>
    </xf>
    <xf numFmtId="15" fontId="0" fillId="0" borderId="0" xfId="0" applyNumberFormat="1" applyAlignment="1">
      <alignment horizontal="center"/>
    </xf>
    <xf numFmtId="0" fontId="0" fillId="0" borderId="0" xfId="0" applyAlignment="1">
      <alignment horizontal="center" wrapText="1"/>
    </xf>
    <xf numFmtId="0" fontId="2" fillId="3" borderId="0" xfId="2" applyAlignment="1">
      <alignment horizontal="center"/>
    </xf>
    <xf numFmtId="0" fontId="0" fillId="0" borderId="0" xfId="0" applyAlignment="1">
      <alignment horizontal="left" vertical="center"/>
    </xf>
    <xf numFmtId="15" fontId="0" fillId="0" borderId="0" xfId="0" applyNumberFormat="1" applyAlignment="1">
      <alignment horizontal="center" wrapText="1"/>
    </xf>
    <xf numFmtId="0" fontId="1" fillId="2" borderId="0" xfId="1" applyAlignment="1">
      <alignment horizontal="center"/>
    </xf>
    <xf numFmtId="0" fontId="3" fillId="4" borderId="0" xfId="3" applyAlignment="1">
      <alignment horizontal="center"/>
    </xf>
    <xf numFmtId="0" fontId="0" fillId="0" borderId="1" xfId="0" applyBorder="1" applyAlignment="1">
      <alignment horizontal="center" wrapText="1"/>
    </xf>
    <xf numFmtId="0" fontId="1" fillId="2" borderId="2" xfId="1" applyBorder="1" applyAlignment="1">
      <alignment horizontal="center"/>
    </xf>
    <xf numFmtId="0" fontId="1" fillId="2" borderId="3" xfId="1" applyBorder="1" applyAlignment="1">
      <alignment horizontal="center"/>
    </xf>
    <xf numFmtId="0" fontId="1" fillId="2" borderId="4" xfId="1" applyBorder="1" applyAlignment="1">
      <alignment horizontal="center"/>
    </xf>
    <xf numFmtId="0" fontId="1" fillId="2" borderId="5" xfId="1" applyBorder="1" applyAlignment="1">
      <alignment horizontal="center"/>
    </xf>
    <xf numFmtId="0" fontId="0" fillId="0" borderId="0" xfId="0" applyAlignment="1"/>
    <xf numFmtId="0" fontId="2" fillId="3" borderId="0" xfId="2" applyAlignment="1">
      <alignment horizontal="center" wrapText="1"/>
    </xf>
    <xf numFmtId="0" fontId="2" fillId="3" borderId="0" xfId="2" applyAlignment="1">
      <alignment horizontal="center" vertical="center" wrapText="1"/>
    </xf>
    <xf numFmtId="0" fontId="0" fillId="0" borderId="1" xfId="0" applyBorder="1" applyAlignment="1">
      <alignment horizontal="center" vertical="top" wrapText="1"/>
    </xf>
    <xf numFmtId="0" fontId="0" fillId="0" borderId="0" xfId="0" applyAlignment="1">
      <alignment horizontal="center" vertical="center"/>
    </xf>
    <xf numFmtId="0" fontId="5" fillId="0" borderId="0" xfId="0" applyFont="1"/>
    <xf numFmtId="0" fontId="5" fillId="0" borderId="0" xfId="0" applyFont="1" applyAlignment="1">
      <alignment horizontal="center" vertical="center"/>
    </xf>
    <xf numFmtId="0" fontId="6" fillId="0" borderId="0" xfId="0" applyFont="1" applyAlignment="1">
      <alignment horizontal="center" vertical="center"/>
    </xf>
    <xf numFmtId="15" fontId="5" fillId="0" borderId="0" xfId="0" applyNumberFormat="1" applyFont="1" applyAlignment="1">
      <alignment horizontal="center" vertical="center"/>
    </xf>
    <xf numFmtId="0" fontId="6" fillId="0" borderId="6" xfId="0" applyFont="1" applyBorder="1" applyAlignment="1">
      <alignment horizontal="center" vertical="center"/>
    </xf>
    <xf numFmtId="0" fontId="5" fillId="0" borderId="6" xfId="0" applyFont="1" applyBorder="1" applyAlignment="1">
      <alignment horizontal="center" vertical="center"/>
    </xf>
    <xf numFmtId="0" fontId="0" fillId="0" borderId="6" xfId="0" applyBorder="1"/>
    <xf numFmtId="0" fontId="0" fillId="0" borderId="6" xfId="0" applyBorder="1" applyAlignment="1">
      <alignment horizontal="center" vertical="center"/>
    </xf>
    <xf numFmtId="0" fontId="2" fillId="3" borderId="6" xfId="2" applyBorder="1" applyAlignment="1">
      <alignment horizontal="center" vertical="center"/>
    </xf>
    <xf numFmtId="0" fontId="0" fillId="0" borderId="8" xfId="0" applyBorder="1" applyAlignment="1">
      <alignment horizontal="center" vertical="center"/>
    </xf>
    <xf numFmtId="0" fontId="0" fillId="0" borderId="10" xfId="0" applyBorder="1"/>
    <xf numFmtId="0" fontId="0" fillId="0" borderId="0" xfId="0" applyBorder="1"/>
    <xf numFmtId="0" fontId="0" fillId="0" borderId="0" xfId="0" applyBorder="1" applyAlignment="1">
      <alignment horizontal="center" vertical="center"/>
    </xf>
    <xf numFmtId="0" fontId="0" fillId="0" borderId="11" xfId="0" applyBorder="1"/>
    <xf numFmtId="0" fontId="0" fillId="0" borderId="12" xfId="0" applyBorder="1"/>
    <xf numFmtId="0" fontId="0" fillId="0" borderId="13" xfId="0" applyBorder="1"/>
    <xf numFmtId="0" fontId="0" fillId="0" borderId="13" xfId="0" applyBorder="1" applyAlignment="1">
      <alignment horizontal="center" vertical="center"/>
    </xf>
    <xf numFmtId="0" fontId="0" fillId="0" borderId="14" xfId="0" applyBorder="1"/>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4" fillId="0" borderId="6" xfId="0" applyFont="1" applyBorder="1" applyAlignment="1">
      <alignment horizontal="center" vertical="center"/>
    </xf>
    <xf numFmtId="0" fontId="7" fillId="0" borderId="0" xfId="0" applyFont="1"/>
    <xf numFmtId="15" fontId="7" fillId="0" borderId="0" xfId="0" applyNumberFormat="1" applyFont="1"/>
    <xf numFmtId="0" fontId="3" fillId="4" borderId="6" xfId="3" applyBorder="1" applyAlignment="1">
      <alignment horizontal="center" vertical="center"/>
    </xf>
    <xf numFmtId="0" fontId="6" fillId="0" borderId="5" xfId="0" applyFont="1" applyBorder="1" applyAlignment="1">
      <alignment horizontal="center" vertical="center"/>
    </xf>
    <xf numFmtId="0" fontId="2" fillId="3" borderId="5" xfId="2" applyBorder="1" applyAlignment="1">
      <alignment horizontal="center" vertical="center"/>
    </xf>
    <xf numFmtId="0" fontId="6" fillId="0" borderId="4" xfId="0" applyFont="1" applyBorder="1" applyAlignment="1">
      <alignment horizontal="center" vertical="center"/>
    </xf>
    <xf numFmtId="0" fontId="2" fillId="3" borderId="4" xfId="2" applyBorder="1" applyAlignment="1">
      <alignment horizontal="center" vertical="center"/>
    </xf>
    <xf numFmtId="0" fontId="0" fillId="0" borderId="8" xfId="0" applyBorder="1"/>
    <xf numFmtId="0" fontId="6" fillId="0" borderId="16" xfId="0" applyFont="1" applyFill="1" applyBorder="1" applyAlignment="1">
      <alignment horizontal="center" vertical="center"/>
    </xf>
    <xf numFmtId="0" fontId="6" fillId="0" borderId="15" xfId="0" applyFont="1" applyBorder="1" applyAlignment="1">
      <alignment horizontal="center" vertical="center"/>
    </xf>
    <xf numFmtId="0" fontId="2" fillId="3" borderId="15" xfId="2" applyBorder="1" applyAlignment="1">
      <alignment horizontal="center" vertical="center"/>
    </xf>
    <xf numFmtId="0" fontId="0" fillId="0" borderId="4" xfId="0" applyBorder="1" applyAlignment="1">
      <alignment horizontal="center" vertical="center"/>
    </xf>
    <xf numFmtId="0" fontId="6" fillId="0" borderId="17" xfId="0" applyFont="1" applyBorder="1" applyAlignment="1">
      <alignment horizontal="center" vertical="center"/>
    </xf>
    <xf numFmtId="0" fontId="0" fillId="0" borderId="17" xfId="0" applyBorder="1" applyAlignment="1">
      <alignment horizontal="center" vertical="center"/>
    </xf>
    <xf numFmtId="0" fontId="2" fillId="3" borderId="17" xfId="2" applyBorder="1" applyAlignment="1">
      <alignment horizontal="center" vertical="center"/>
    </xf>
    <xf numFmtId="0" fontId="0" fillId="0" borderId="4" xfId="0" applyBorder="1"/>
    <xf numFmtId="0" fontId="0" fillId="0" borderId="0" xfId="0" applyBorder="1" applyAlignment="1">
      <alignment horizontal="center"/>
    </xf>
    <xf numFmtId="0" fontId="0" fillId="0" borderId="9" xfId="0" applyBorder="1"/>
    <xf numFmtId="0" fontId="0" fillId="0" borderId="11" xfId="0" applyBorder="1" applyAlignment="1">
      <alignment horizontal="center"/>
    </xf>
    <xf numFmtId="0" fontId="5" fillId="0" borderId="18" xfId="0" applyFont="1" applyFill="1" applyBorder="1" applyAlignment="1">
      <alignment horizontal="center" vertical="center"/>
    </xf>
    <xf numFmtId="0" fontId="0" fillId="0" borderId="0" xfId="0" applyFont="1" applyAlignment="1">
      <alignment horizontal="center" vertical="center"/>
    </xf>
    <xf numFmtId="0" fontId="0" fillId="0" borderId="0" xfId="0" applyBorder="1" applyAlignment="1">
      <alignment horizontal="left" vertical="center"/>
    </xf>
    <xf numFmtId="0" fontId="0" fillId="0" borderId="0" xfId="0" applyFont="1" applyBorder="1" applyAlignment="1">
      <alignment horizontal="center" vertical="center"/>
    </xf>
    <xf numFmtId="0" fontId="5" fillId="0" borderId="0" xfId="0" applyFont="1" applyBorder="1" applyAlignment="1">
      <alignment horizontal="center" vertical="center"/>
    </xf>
    <xf numFmtId="0" fontId="9" fillId="0" borderId="0" xfId="0" applyFont="1"/>
    <xf numFmtId="0" fontId="0" fillId="0" borderId="0" xfId="0" applyFont="1"/>
    <xf numFmtId="0" fontId="0" fillId="0" borderId="0" xfId="0" applyAlignment="1">
      <alignment horizontal="left" vertical="top"/>
    </xf>
    <xf numFmtId="15" fontId="0" fillId="0" borderId="0" xfId="0" applyNumberFormat="1" applyAlignment="1">
      <alignment horizontal="center" vertical="center"/>
    </xf>
    <xf numFmtId="0" fontId="4" fillId="0" borderId="0" xfId="0" applyFont="1"/>
    <xf numFmtId="2" fontId="4" fillId="0" borderId="0" xfId="0" applyNumberFormat="1" applyFont="1"/>
    <xf numFmtId="2" fontId="0" fillId="0" borderId="0" xfId="0" applyNumberFormat="1" applyAlignment="1">
      <alignment horizontal="center" vertical="center"/>
    </xf>
    <xf numFmtId="2" fontId="5" fillId="0" borderId="0" xfId="0" applyNumberFormat="1" applyFont="1" applyAlignment="1">
      <alignment horizontal="center" vertical="center"/>
    </xf>
    <xf numFmtId="2" fontId="0" fillId="0" borderId="6" xfId="0" applyNumberFormat="1" applyBorder="1" applyAlignment="1">
      <alignment horizontal="center" vertical="center"/>
    </xf>
    <xf numFmtId="2" fontId="0" fillId="0" borderId="0" xfId="0" applyNumberFormat="1" applyBorder="1" applyAlignment="1">
      <alignment horizontal="center" vertical="center"/>
    </xf>
    <xf numFmtId="2" fontId="0" fillId="0" borderId="0" xfId="0" applyNumberFormat="1"/>
    <xf numFmtId="164" fontId="4" fillId="0" borderId="0" xfId="0" applyNumberFormat="1" applyFont="1"/>
    <xf numFmtId="164" fontId="0" fillId="0" borderId="0" xfId="0" applyNumberFormat="1" applyAlignment="1">
      <alignment horizontal="center" vertical="center"/>
    </xf>
    <xf numFmtId="164" fontId="5" fillId="0" borderId="0" xfId="0" applyNumberFormat="1" applyFont="1" applyAlignment="1">
      <alignment horizontal="center" vertical="center"/>
    </xf>
    <xf numFmtId="164" fontId="0" fillId="0" borderId="6" xfId="0" applyNumberFormat="1" applyBorder="1" applyAlignment="1">
      <alignment horizontal="center" vertical="center"/>
    </xf>
    <xf numFmtId="164" fontId="0" fillId="0" borderId="6" xfId="0" applyNumberFormat="1" applyBorder="1" applyAlignment="1">
      <alignment horizontal="center"/>
    </xf>
    <xf numFmtId="164" fontId="0" fillId="0" borderId="0" xfId="0" applyNumberFormat="1" applyBorder="1" applyAlignment="1">
      <alignment horizontal="center" vertical="center"/>
    </xf>
    <xf numFmtId="164" fontId="0" fillId="0" borderId="0" xfId="0" applyNumberFormat="1"/>
    <xf numFmtId="2" fontId="0" fillId="0" borderId="0" xfId="0" applyNumberFormat="1" applyAlignment="1">
      <alignment horizontal="left" vertical="center"/>
    </xf>
    <xf numFmtId="164" fontId="0" fillId="0" borderId="0" xfId="0" applyNumberFormat="1" applyAlignment="1">
      <alignment horizontal="left" vertical="center"/>
    </xf>
    <xf numFmtId="164" fontId="0" fillId="0" borderId="6" xfId="4" applyNumberFormat="1" applyFont="1" applyFill="1" applyBorder="1" applyAlignment="1">
      <alignment horizontal="center" vertical="center"/>
    </xf>
    <xf numFmtId="164" fontId="5" fillId="0" borderId="0" xfId="0" applyNumberFormat="1" applyFont="1" applyAlignment="1">
      <alignment horizontal="center" vertical="center" wrapText="1"/>
    </xf>
    <xf numFmtId="2" fontId="5" fillId="0" borderId="0" xfId="0" applyNumberFormat="1" applyFont="1" applyAlignment="1">
      <alignment horizontal="center" vertical="center" wrapText="1"/>
    </xf>
    <xf numFmtId="0" fontId="5" fillId="0" borderId="0" xfId="0" applyFont="1" applyAlignment="1">
      <alignment horizontal="center"/>
    </xf>
    <xf numFmtId="0" fontId="5" fillId="0" borderId="0" xfId="0" applyFont="1" applyAlignment="1">
      <alignment horizontal="left" vertical="center"/>
    </xf>
    <xf numFmtId="49" fontId="0" fillId="0" borderId="0" xfId="0" applyNumberFormat="1"/>
    <xf numFmtId="49" fontId="0" fillId="0" borderId="0" xfId="0" applyNumberFormat="1" applyAlignment="1">
      <alignment horizontal="center" vertical="center"/>
    </xf>
    <xf numFmtId="0" fontId="0" fillId="0" borderId="0" xfId="0" applyAlignment="1">
      <alignment horizontal="center" vertical="center"/>
    </xf>
    <xf numFmtId="0" fontId="0" fillId="0" borderId="0" xfId="0"/>
    <xf numFmtId="0" fontId="0" fillId="0" borderId="0" xfId="0" applyAlignment="1">
      <alignment horizontal="center" vertical="center"/>
    </xf>
    <xf numFmtId="0" fontId="5" fillId="0" borderId="0" xfId="0" applyFont="1" applyAlignment="1">
      <alignment horizontal="center" vertical="center"/>
    </xf>
    <xf numFmtId="15" fontId="5" fillId="0" borderId="0" xfId="0" applyNumberFormat="1" applyFont="1" applyAlignment="1">
      <alignment horizontal="center" vertical="center"/>
    </xf>
    <xf numFmtId="0" fontId="5" fillId="0" borderId="6" xfId="0" applyFont="1" applyBorder="1" applyAlignment="1">
      <alignment horizontal="center" vertical="center"/>
    </xf>
    <xf numFmtId="0" fontId="0" fillId="0" borderId="6" xfId="0" applyBorder="1" applyAlignment="1">
      <alignment horizontal="center" vertical="center"/>
    </xf>
    <xf numFmtId="0" fontId="7" fillId="0" borderId="0" xfId="0" applyFont="1"/>
    <xf numFmtId="0" fontId="3" fillId="4" borderId="6" xfId="3" applyBorder="1" applyAlignment="1">
      <alignment horizontal="center" vertical="center"/>
    </xf>
    <xf numFmtId="15" fontId="0" fillId="0" borderId="0" xfId="0" applyNumberFormat="1" applyAlignment="1">
      <alignment horizontal="center" vertical="center"/>
    </xf>
    <xf numFmtId="49" fontId="0" fillId="0" borderId="6" xfId="0" applyNumberFormat="1" applyBorder="1" applyAlignment="1">
      <alignment horizontal="center" vertical="center"/>
    </xf>
    <xf numFmtId="0" fontId="5" fillId="0" borderId="6" xfId="0" applyFont="1" applyBorder="1" applyAlignment="1">
      <alignment horizontal="left" vertical="center"/>
    </xf>
    <xf numFmtId="15" fontId="0" fillId="0" borderId="6" xfId="0" applyNumberFormat="1" applyBorder="1" applyAlignment="1">
      <alignment horizontal="center" vertical="center"/>
    </xf>
    <xf numFmtId="0" fontId="3" fillId="4" borderId="6" xfId="3" applyBorder="1" applyAlignment="1">
      <alignment horizontal="left" vertical="center"/>
    </xf>
    <xf numFmtId="49" fontId="5" fillId="0" borderId="0" xfId="0" applyNumberFormat="1" applyFont="1" applyAlignment="1">
      <alignment horizontal="center" vertical="center"/>
    </xf>
    <xf numFmtId="49" fontId="7" fillId="0" borderId="0" xfId="0" applyNumberFormat="1" applyFont="1"/>
    <xf numFmtId="164" fontId="7" fillId="0" borderId="0" xfId="0" applyNumberFormat="1" applyFont="1"/>
    <xf numFmtId="49" fontId="0" fillId="0" borderId="0" xfId="0" applyNumberFormat="1" applyBorder="1" applyAlignment="1">
      <alignment horizontal="center" vertical="center"/>
    </xf>
    <xf numFmtId="0" fontId="5" fillId="0" borderId="0" xfId="0" applyFont="1" applyBorder="1" applyAlignment="1">
      <alignment horizontal="left" vertical="center"/>
    </xf>
    <xf numFmtId="15" fontId="0" fillId="0" borderId="0" xfId="0" applyNumberFormat="1" applyBorder="1" applyAlignment="1">
      <alignment horizontal="left" vertical="center"/>
    </xf>
    <xf numFmtId="0" fontId="0" fillId="0" borderId="0" xfId="0" applyBorder="1" applyAlignment="1">
      <alignment horizontal="left"/>
    </xf>
    <xf numFmtId="0" fontId="11" fillId="0" borderId="0" xfId="0" applyFont="1"/>
    <xf numFmtId="0" fontId="12" fillId="6" borderId="6" xfId="0" applyFont="1" applyFill="1" applyBorder="1" applyAlignment="1">
      <alignment horizontal="center" vertical="center"/>
    </xf>
    <xf numFmtId="0" fontId="12" fillId="6" borderId="19" xfId="4" applyFont="1" applyFill="1" applyAlignment="1">
      <alignment horizontal="center" vertical="center"/>
    </xf>
    <xf numFmtId="0" fontId="5" fillId="6" borderId="6" xfId="0" applyFont="1" applyFill="1" applyBorder="1" applyAlignment="1">
      <alignment horizontal="center" vertical="center"/>
    </xf>
    <xf numFmtId="0" fontId="12" fillId="6" borderId="6" xfId="2" applyFont="1" applyFill="1" applyBorder="1" applyAlignment="1">
      <alignment horizontal="center" vertical="center"/>
    </xf>
    <xf numFmtId="0" fontId="13" fillId="0" borderId="0" xfId="0" applyFont="1"/>
    <xf numFmtId="0" fontId="5" fillId="0" borderId="0" xfId="0" applyFont="1" applyAlignment="1">
      <alignment horizontal="left"/>
    </xf>
    <xf numFmtId="0" fontId="14" fillId="0" borderId="0" xfId="0" applyFont="1" applyAlignment="1">
      <alignment horizontal="center"/>
    </xf>
    <xf numFmtId="164" fontId="5" fillId="0" borderId="0" xfId="0" applyNumberFormat="1" applyFont="1" applyAlignment="1">
      <alignment horizontal="left"/>
    </xf>
    <xf numFmtId="164" fontId="13" fillId="0" borderId="0" xfId="0" applyNumberFormat="1" applyFont="1"/>
    <xf numFmtId="164" fontId="14" fillId="0" borderId="0" xfId="0" applyNumberFormat="1" applyFont="1" applyAlignment="1">
      <alignment horizontal="center"/>
    </xf>
    <xf numFmtId="164" fontId="0" fillId="0" borderId="6" xfId="0" applyNumberFormat="1" applyBorder="1"/>
    <xf numFmtId="0" fontId="6" fillId="0" borderId="0" xfId="0" applyFont="1"/>
    <xf numFmtId="0" fontId="6" fillId="0" borderId="6" xfId="0" applyFont="1" applyBorder="1" applyAlignment="1">
      <alignment horizontal="center"/>
    </xf>
    <xf numFmtId="0" fontId="4" fillId="0" borderId="6" xfId="0" applyFont="1" applyBorder="1" applyAlignment="1">
      <alignment horizontal="center"/>
    </xf>
    <xf numFmtId="0" fontId="4" fillId="0" borderId="6" xfId="0" applyFont="1" applyFill="1" applyBorder="1" applyAlignment="1">
      <alignment horizontal="center" vertical="center"/>
    </xf>
    <xf numFmtId="0" fontId="6" fillId="0" borderId="6" xfId="0" applyFont="1" applyBorder="1"/>
    <xf numFmtId="0" fontId="6" fillId="0" borderId="0" xfId="0" applyFont="1" applyAlignment="1">
      <alignment horizontal="left" vertical="center"/>
    </xf>
    <xf numFmtId="0" fontId="15" fillId="0" borderId="0" xfId="0" applyFont="1" applyAlignment="1">
      <alignment horizontal="left" vertical="center"/>
    </xf>
    <xf numFmtId="0" fontId="7" fillId="0" borderId="0" xfId="0" applyFont="1" applyAlignment="1">
      <alignment horizontal="left" vertical="center"/>
    </xf>
    <xf numFmtId="0" fontId="2" fillId="3" borderId="6" xfId="2" applyBorder="1" applyAlignment="1">
      <alignment horizontal="center"/>
    </xf>
    <xf numFmtId="0" fontId="6" fillId="5" borderId="19" xfId="4" applyFont="1" applyAlignment="1">
      <alignment horizontal="center"/>
    </xf>
    <xf numFmtId="0" fontId="15" fillId="0" borderId="0" xfId="0" applyFont="1"/>
    <xf numFmtId="0" fontId="16" fillId="0" borderId="0" xfId="0" applyFont="1"/>
    <xf numFmtId="0" fontId="17" fillId="0" borderId="0" xfId="0" applyFont="1"/>
    <xf numFmtId="0" fontId="6" fillId="0" borderId="0" xfId="0" applyFont="1" applyBorder="1" applyAlignment="1">
      <alignment horizontal="center"/>
    </xf>
    <xf numFmtId="0" fontId="6" fillId="0" borderId="0" xfId="0" applyFont="1" applyBorder="1" applyAlignment="1">
      <alignment horizontal="center" vertical="center"/>
    </xf>
    <xf numFmtId="0" fontId="4" fillId="0" borderId="0" xfId="0" applyFont="1" applyBorder="1" applyAlignment="1">
      <alignment horizontal="center" vertical="center"/>
    </xf>
    <xf numFmtId="0" fontId="12" fillId="5" borderId="19" xfId="4" applyFont="1" applyAlignment="1">
      <alignment horizontal="center"/>
    </xf>
    <xf numFmtId="0" fontId="6" fillId="0" borderId="20" xfId="0" applyFont="1" applyFill="1" applyBorder="1" applyAlignment="1">
      <alignment horizontal="center"/>
    </xf>
    <xf numFmtId="0" fontId="15" fillId="0" borderId="0" xfId="0" applyFont="1" applyAlignment="1">
      <alignment vertical="center"/>
    </xf>
    <xf numFmtId="0" fontId="7" fillId="0" borderId="0" xfId="0" applyFont="1" applyAlignment="1">
      <alignment vertical="center"/>
    </xf>
    <xf numFmtId="0" fontId="4" fillId="0" borderId="21" xfId="0" applyFont="1" applyBorder="1" applyAlignment="1">
      <alignment horizontal="center"/>
    </xf>
    <xf numFmtId="0" fontId="6" fillId="0" borderId="21" xfId="0" applyFont="1" applyBorder="1" applyAlignment="1">
      <alignment horizontal="center"/>
    </xf>
    <xf numFmtId="0" fontId="6" fillId="5" borderId="22" xfId="4" applyFont="1" applyBorder="1" applyAlignment="1">
      <alignment horizontal="center"/>
    </xf>
    <xf numFmtId="0" fontId="6" fillId="0" borderId="21" xfId="0" applyFont="1" applyBorder="1"/>
    <xf numFmtId="0" fontId="2" fillId="3" borderId="21" xfId="2" applyBorder="1" applyAlignment="1">
      <alignment horizontal="center"/>
    </xf>
    <xf numFmtId="0" fontId="4" fillId="0" borderId="23" xfId="0" applyFont="1" applyBorder="1" applyAlignment="1">
      <alignment horizontal="center"/>
    </xf>
    <xf numFmtId="0" fontId="6" fillId="0" borderId="23" xfId="0" applyFont="1" applyBorder="1" applyAlignment="1">
      <alignment horizontal="center"/>
    </xf>
    <xf numFmtId="0" fontId="6" fillId="5" borderId="24" xfId="4" applyFont="1" applyBorder="1" applyAlignment="1">
      <alignment horizontal="center"/>
    </xf>
    <xf numFmtId="0" fontId="6" fillId="0" borderId="23" xfId="0" applyFont="1" applyBorder="1"/>
    <xf numFmtId="0" fontId="2" fillId="3" borderId="23" xfId="2" applyBorder="1" applyAlignment="1">
      <alignment horizontal="center"/>
    </xf>
    <xf numFmtId="0" fontId="0" fillId="0" borderId="6" xfId="0" applyBorder="1" applyAlignment="1">
      <alignment horizontal="center"/>
    </xf>
    <xf numFmtId="0" fontId="0" fillId="0" borderId="6" xfId="0" applyFill="1" applyBorder="1" applyAlignment="1">
      <alignment horizontal="center"/>
    </xf>
    <xf numFmtId="0" fontId="6" fillId="0" borderId="6" xfId="0" applyFont="1" applyFill="1" applyBorder="1" applyAlignment="1">
      <alignment horizontal="center" vertical="center"/>
    </xf>
    <xf numFmtId="0" fontId="0" fillId="0" borderId="0" xfId="0" applyFont="1" applyFill="1" applyBorder="1" applyAlignment="1"/>
    <xf numFmtId="0" fontId="6" fillId="0" borderId="6" xfId="0" applyFont="1" applyBorder="1" applyAlignment="1">
      <alignment horizontal="center" vertical="center"/>
    </xf>
    <xf numFmtId="0" fontId="6" fillId="0" borderId="6" xfId="0" applyFont="1" applyBorder="1" applyAlignment="1">
      <alignment horizontal="center"/>
    </xf>
    <xf numFmtId="0" fontId="6" fillId="5" borderId="19" xfId="4" applyFont="1" applyAlignment="1">
      <alignment horizontal="center"/>
    </xf>
    <xf numFmtId="0" fontId="6" fillId="0" borderId="6" xfId="0" applyFont="1" applyBorder="1" applyAlignment="1">
      <alignment horizontal="center"/>
    </xf>
    <xf numFmtId="0" fontId="6" fillId="5" borderId="19" xfId="4" applyFont="1" applyAlignment="1">
      <alignment horizontal="center"/>
    </xf>
    <xf numFmtId="0" fontId="6" fillId="0" borderId="6" xfId="0" applyFont="1" applyBorder="1" applyAlignment="1">
      <alignment horizontal="center" vertical="center"/>
    </xf>
    <xf numFmtId="0" fontId="6" fillId="0" borderId="6" xfId="0" applyFont="1" applyBorder="1" applyAlignment="1">
      <alignment horizontal="center"/>
    </xf>
    <xf numFmtId="0" fontId="6" fillId="5" borderId="19" xfId="4" applyFont="1" applyAlignment="1">
      <alignment horizontal="center"/>
    </xf>
    <xf numFmtId="0" fontId="6" fillId="0" borderId="6" xfId="0" applyFont="1" applyBorder="1" applyAlignment="1">
      <alignment horizontal="center"/>
    </xf>
    <xf numFmtId="0" fontId="6" fillId="5" borderId="19" xfId="4" applyFont="1" applyAlignment="1">
      <alignment horizontal="center"/>
    </xf>
    <xf numFmtId="0" fontId="6" fillId="0" borderId="6" xfId="0" applyFont="1" applyBorder="1" applyAlignment="1">
      <alignment horizontal="center" vertical="center"/>
    </xf>
    <xf numFmtId="0" fontId="6" fillId="0" borderId="6" xfId="0" applyFont="1" applyBorder="1" applyAlignment="1">
      <alignment horizontal="center"/>
    </xf>
    <xf numFmtId="0" fontId="6" fillId="5" borderId="19" xfId="4" applyFont="1" applyAlignment="1">
      <alignment horizontal="center"/>
    </xf>
    <xf numFmtId="0" fontId="6" fillId="0" borderId="6" xfId="0" applyFont="1" applyBorder="1" applyAlignment="1">
      <alignment horizontal="center"/>
    </xf>
    <xf numFmtId="0" fontId="6" fillId="5" borderId="19" xfId="4" applyFont="1" applyAlignment="1">
      <alignment horizontal="center"/>
    </xf>
    <xf numFmtId="0" fontId="6" fillId="0" borderId="6" xfId="0" applyFont="1" applyBorder="1" applyAlignment="1">
      <alignment horizontal="center" vertical="center"/>
    </xf>
    <xf numFmtId="0" fontId="6" fillId="0" borderId="6" xfId="0" applyFont="1" applyBorder="1" applyAlignment="1">
      <alignment horizontal="center"/>
    </xf>
    <xf numFmtId="0" fontId="6" fillId="5" borderId="19" xfId="4" applyFont="1" applyAlignment="1">
      <alignment horizontal="center"/>
    </xf>
    <xf numFmtId="0" fontId="6" fillId="0" borderId="6" xfId="0" applyFont="1" applyBorder="1" applyAlignment="1">
      <alignment horizontal="center"/>
    </xf>
    <xf numFmtId="0" fontId="6" fillId="5" borderId="19" xfId="4" applyFont="1" applyAlignment="1">
      <alignment horizontal="center"/>
    </xf>
    <xf numFmtId="0" fontId="6" fillId="0" borderId="6" xfId="0" applyFont="1" applyBorder="1" applyAlignment="1">
      <alignment horizontal="center" vertical="center"/>
    </xf>
    <xf numFmtId="0" fontId="6" fillId="0" borderId="6" xfId="0" applyFont="1" applyBorder="1" applyAlignment="1">
      <alignment horizontal="center"/>
    </xf>
    <xf numFmtId="0" fontId="6" fillId="5" borderId="19" xfId="4" applyFont="1" applyAlignment="1">
      <alignment horizontal="center"/>
    </xf>
    <xf numFmtId="0" fontId="6" fillId="0" borderId="6" xfId="0" applyFont="1" applyBorder="1" applyAlignment="1">
      <alignment horizontal="center"/>
    </xf>
    <xf numFmtId="0" fontId="6" fillId="5" borderId="19" xfId="4" applyFont="1" applyAlignment="1">
      <alignment horizontal="center"/>
    </xf>
    <xf numFmtId="0" fontId="6" fillId="0" borderId="6" xfId="0" applyFont="1" applyBorder="1" applyAlignment="1">
      <alignment horizontal="center" vertical="center"/>
    </xf>
    <xf numFmtId="0" fontId="6" fillId="0" borderId="6" xfId="0" applyFont="1" applyBorder="1" applyAlignment="1">
      <alignment horizontal="center"/>
    </xf>
    <xf numFmtId="0" fontId="6" fillId="5" borderId="19" xfId="4" applyFont="1" applyAlignment="1">
      <alignment horizontal="center"/>
    </xf>
    <xf numFmtId="0" fontId="6" fillId="0" borderId="6" xfId="0" applyFont="1" applyBorder="1" applyAlignment="1">
      <alignment horizontal="center"/>
    </xf>
    <xf numFmtId="0" fontId="6" fillId="5" borderId="19" xfId="4" applyFont="1" applyAlignment="1">
      <alignment horizontal="center"/>
    </xf>
    <xf numFmtId="0" fontId="6" fillId="0" borderId="6" xfId="0" applyFont="1" applyBorder="1" applyAlignment="1">
      <alignment horizontal="center" vertical="center"/>
    </xf>
    <xf numFmtId="0" fontId="6" fillId="0" borderId="6" xfId="0" applyFont="1" applyBorder="1" applyAlignment="1">
      <alignment horizontal="center"/>
    </xf>
    <xf numFmtId="0" fontId="6" fillId="0" borderId="6" xfId="0" applyFont="1" applyBorder="1" applyAlignment="1">
      <alignment horizontal="center"/>
    </xf>
    <xf numFmtId="0" fontId="6" fillId="0" borderId="6" xfId="0" applyFont="1" applyBorder="1" applyAlignment="1">
      <alignment horizontal="center" vertical="center"/>
    </xf>
    <xf numFmtId="0" fontId="6" fillId="0" borderId="6" xfId="0" applyFont="1" applyBorder="1" applyAlignment="1">
      <alignment horizontal="center"/>
    </xf>
    <xf numFmtId="0" fontId="6" fillId="5" borderId="19" xfId="4" applyFont="1" applyAlignment="1">
      <alignment horizontal="center"/>
    </xf>
    <xf numFmtId="0" fontId="0" fillId="0" borderId="0" xfId="0"/>
    <xf numFmtId="0" fontId="0" fillId="0" borderId="0" xfId="0" applyAlignment="1">
      <alignment horizontal="center" vertical="center"/>
    </xf>
    <xf numFmtId="0" fontId="5" fillId="0" borderId="0" xfId="0" applyFont="1" applyAlignment="1">
      <alignment horizontal="center" vertical="center"/>
    </xf>
    <xf numFmtId="0" fontId="0" fillId="0" borderId="6" xfId="0" applyBorder="1"/>
    <xf numFmtId="0" fontId="0" fillId="0" borderId="6" xfId="0" applyBorder="1" applyAlignment="1">
      <alignment horizontal="center" vertical="center"/>
    </xf>
    <xf numFmtId="0" fontId="5" fillId="0" borderId="0" xfId="0" applyFont="1" applyAlignment="1">
      <alignment horizontal="center"/>
    </xf>
    <xf numFmtId="0" fontId="6" fillId="0" borderId="6" xfId="0" applyFont="1" applyBorder="1" applyAlignment="1">
      <alignment horizontal="center"/>
    </xf>
    <xf numFmtId="0" fontId="15" fillId="0" borderId="0" xfId="0" applyFont="1"/>
    <xf numFmtId="0" fontId="6" fillId="5" borderId="19" xfId="4" applyFont="1" applyAlignment="1">
      <alignment horizontal="center"/>
    </xf>
    <xf numFmtId="0" fontId="18" fillId="0" borderId="0" xfId="0" applyFont="1"/>
    <xf numFmtId="0" fontId="0" fillId="0" borderId="0" xfId="0" applyAlignment="1">
      <alignment vertical="center" wrapText="1"/>
    </xf>
    <xf numFmtId="0" fontId="0" fillId="0" borderId="0" xfId="0" applyFill="1" applyBorder="1" applyAlignment="1">
      <alignment horizontal="center" vertical="center"/>
    </xf>
    <xf numFmtId="0" fontId="4" fillId="0" borderId="0" xfId="0" applyFont="1" applyAlignment="1">
      <alignment horizontal="center" vertical="center"/>
    </xf>
    <xf numFmtId="0" fontId="6" fillId="0" borderId="0" xfId="0" applyFont="1" applyAlignment="1">
      <alignment horizont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0" fontId="6" fillId="0" borderId="27" xfId="0" applyFont="1" applyBorder="1" applyAlignment="1">
      <alignment horizontal="center" vertical="center"/>
    </xf>
    <xf numFmtId="0" fontId="6" fillId="0" borderId="28" xfId="0" applyFont="1" applyBorder="1" applyAlignment="1">
      <alignment horizontal="center" vertical="center"/>
    </xf>
    <xf numFmtId="0" fontId="6" fillId="0" borderId="29" xfId="0" applyFont="1" applyBorder="1" applyAlignment="1">
      <alignment horizontal="center" vertical="center"/>
    </xf>
    <xf numFmtId="0" fontId="6" fillId="0" borderId="30" xfId="0" applyFont="1" applyBorder="1" applyAlignment="1">
      <alignment horizontal="center" vertical="center"/>
    </xf>
    <xf numFmtId="0" fontId="6" fillId="0" borderId="28" xfId="0" applyFont="1" applyBorder="1"/>
    <xf numFmtId="0" fontId="6" fillId="0" borderId="15" xfId="0" applyFont="1" applyBorder="1"/>
    <xf numFmtId="0" fontId="6" fillId="0" borderId="30" xfId="0" applyFont="1" applyBorder="1"/>
    <xf numFmtId="0" fontId="19" fillId="0" borderId="0" xfId="0" applyFont="1" applyAlignment="1">
      <alignment horizontal="center"/>
    </xf>
  </cellXfs>
  <cellStyles count="5">
    <cellStyle name="Bad" xfId="2" builtinId="27"/>
    <cellStyle name="Good" xfId="1" builtinId="26"/>
    <cellStyle name="Neutral" xfId="3" builtinId="28"/>
    <cellStyle name="Normal" xfId="0" builtinId="0"/>
    <cellStyle name="Note" xfId="4" builtinId="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1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Temperature Dependence of Leakage Current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4.2 kV</c:v>
          </c:tx>
          <c:spPr>
            <a:ln w="28575" cap="rnd">
              <a:noFill/>
              <a:round/>
            </a:ln>
            <a:effectLst/>
          </c:spPr>
          <c:marker>
            <c:symbol val="circle"/>
            <c:size val="5"/>
            <c:spPr>
              <a:solidFill>
                <a:schemeClr val="accent1"/>
              </a:solidFill>
              <a:ln w="9525">
                <a:solidFill>
                  <a:schemeClr val="accent1"/>
                </a:solidFill>
              </a:ln>
              <a:effectLst/>
            </c:spPr>
          </c:marker>
          <c:xVal>
            <c:numRef>
              <c:f>'Temperature Dependence'!$B$4:$B$6</c:f>
              <c:numCache>
                <c:formatCode>General</c:formatCode>
                <c:ptCount val="3"/>
                <c:pt idx="0">
                  <c:v>32.9</c:v>
                </c:pt>
                <c:pt idx="1">
                  <c:v>49</c:v>
                </c:pt>
                <c:pt idx="2">
                  <c:v>54</c:v>
                </c:pt>
              </c:numCache>
            </c:numRef>
          </c:xVal>
          <c:yVal>
            <c:numRef>
              <c:f>'Temperature Dependence'!$C$4:$C$6</c:f>
              <c:numCache>
                <c:formatCode>General</c:formatCode>
                <c:ptCount val="3"/>
                <c:pt idx="0">
                  <c:v>32.5</c:v>
                </c:pt>
                <c:pt idx="1">
                  <c:v>41.7</c:v>
                </c:pt>
                <c:pt idx="2">
                  <c:v>44.1</c:v>
                </c:pt>
              </c:numCache>
            </c:numRef>
          </c:yVal>
          <c:smooth val="0"/>
          <c:extLst>
            <c:ext xmlns:c16="http://schemas.microsoft.com/office/drawing/2014/chart" uri="{C3380CC4-5D6E-409C-BE32-E72D297353CC}">
              <c16:uniqueId val="{00000000-DADA-4579-838F-584939B113D6}"/>
            </c:ext>
          </c:extLst>
        </c:ser>
        <c:ser>
          <c:idx val="1"/>
          <c:order val="1"/>
          <c:tx>
            <c:v>6.5 kV</c:v>
          </c:tx>
          <c:spPr>
            <a:ln w="28575" cap="rnd">
              <a:noFill/>
              <a:round/>
            </a:ln>
            <a:effectLst/>
          </c:spPr>
          <c:marker>
            <c:symbol val="circle"/>
            <c:size val="5"/>
            <c:spPr>
              <a:solidFill>
                <a:schemeClr val="accent2"/>
              </a:solidFill>
              <a:ln w="9525">
                <a:solidFill>
                  <a:schemeClr val="accent2"/>
                </a:solidFill>
              </a:ln>
              <a:effectLst/>
            </c:spPr>
          </c:marker>
          <c:xVal>
            <c:numRef>
              <c:f>'Temperature Dependence'!$B$4:$B$6</c:f>
              <c:numCache>
                <c:formatCode>General</c:formatCode>
                <c:ptCount val="3"/>
                <c:pt idx="0">
                  <c:v>32.9</c:v>
                </c:pt>
                <c:pt idx="1">
                  <c:v>49</c:v>
                </c:pt>
                <c:pt idx="2">
                  <c:v>54</c:v>
                </c:pt>
              </c:numCache>
            </c:numRef>
          </c:xVal>
          <c:yVal>
            <c:numRef>
              <c:f>'Temperature Dependence'!$D$4:$D$6</c:f>
              <c:numCache>
                <c:formatCode>General</c:formatCode>
                <c:ptCount val="3"/>
                <c:pt idx="0">
                  <c:v>50.9</c:v>
                </c:pt>
                <c:pt idx="1">
                  <c:v>68.3</c:v>
                </c:pt>
                <c:pt idx="2">
                  <c:v>72.7</c:v>
                </c:pt>
              </c:numCache>
            </c:numRef>
          </c:yVal>
          <c:smooth val="0"/>
          <c:extLst>
            <c:ext xmlns:c16="http://schemas.microsoft.com/office/drawing/2014/chart" uri="{C3380CC4-5D6E-409C-BE32-E72D297353CC}">
              <c16:uniqueId val="{00000001-DADA-4579-838F-584939B113D6}"/>
            </c:ext>
          </c:extLst>
        </c:ser>
        <c:dLbls>
          <c:showLegendKey val="0"/>
          <c:showVal val="0"/>
          <c:showCatName val="0"/>
          <c:showSerName val="0"/>
          <c:showPercent val="0"/>
          <c:showBubbleSize val="0"/>
        </c:dLbls>
        <c:axId val="208254256"/>
        <c:axId val="208254584"/>
      </c:scatterChart>
      <c:valAx>
        <c:axId val="208254256"/>
        <c:scaling>
          <c:orientation val="minMax"/>
          <c:min val="3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Thyristor Temperature degC</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54584"/>
        <c:crosses val="autoZero"/>
        <c:crossBetween val="midCat"/>
      </c:valAx>
      <c:valAx>
        <c:axId val="2082545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Leakage Curent uA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5425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Copy</a:t>
            </a:r>
            <a:r>
              <a:rPr lang="en-US" baseline="0"/>
              <a:t> of DESY data from Infineon</a:t>
            </a:r>
          </a:p>
          <a:p>
            <a:pPr>
              <a:defRPr/>
            </a:pPr>
            <a:r>
              <a:rPr lang="en-US" baseline="0"/>
              <a:t>blocking current (uA) @ 4000 VDC</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'desy thyristor leakageI'!$A$4</c:f>
              <c:strCache>
                <c:ptCount val="1"/>
                <c:pt idx="0">
                  <c:v>Series 1</c:v>
                </c:pt>
              </c:strCache>
            </c:strRef>
          </c:tx>
          <c:spPr>
            <a:solidFill>
              <a:schemeClr val="accent1"/>
            </a:solidFill>
            <a:ln>
              <a:noFill/>
            </a:ln>
            <a:effectLst/>
          </c:spPr>
          <c:invertIfNegative val="0"/>
          <c:val>
            <c:numRef>
              <c:f>'desy thyristor leakageI'!$A$5:$A$20</c:f>
              <c:numCache>
                <c:formatCode>General</c:formatCode>
                <c:ptCount val="16"/>
                <c:pt idx="0">
                  <c:v>400</c:v>
                </c:pt>
                <c:pt idx="1">
                  <c:v>300</c:v>
                </c:pt>
                <c:pt idx="2">
                  <c:v>400</c:v>
                </c:pt>
                <c:pt idx="3">
                  <c:v>200</c:v>
                </c:pt>
                <c:pt idx="4">
                  <c:v>250</c:v>
                </c:pt>
                <c:pt idx="5">
                  <c:v>180</c:v>
                </c:pt>
                <c:pt idx="6">
                  <c:v>205</c:v>
                </c:pt>
                <c:pt idx="7">
                  <c:v>200</c:v>
                </c:pt>
                <c:pt idx="8">
                  <c:v>205</c:v>
                </c:pt>
                <c:pt idx="9">
                  <c:v>200</c:v>
                </c:pt>
                <c:pt idx="10">
                  <c:v>220</c:v>
                </c:pt>
                <c:pt idx="11">
                  <c:v>180</c:v>
                </c:pt>
                <c:pt idx="12">
                  <c:v>160</c:v>
                </c:pt>
                <c:pt idx="13">
                  <c:v>190</c:v>
                </c:pt>
              </c:numCache>
            </c:numRef>
          </c:val>
          <c:extLst>
            <c:ext xmlns:c16="http://schemas.microsoft.com/office/drawing/2014/chart" uri="{C3380CC4-5D6E-409C-BE32-E72D297353CC}">
              <c16:uniqueId val="{00000000-6BC0-495D-A668-33CEF73BFCF8}"/>
            </c:ext>
          </c:extLst>
        </c:ser>
        <c:ser>
          <c:idx val="1"/>
          <c:order val="1"/>
          <c:tx>
            <c:strRef>
              <c:f>'desy thyristor leakageI'!$B$4</c:f>
              <c:strCache>
                <c:ptCount val="1"/>
                <c:pt idx="0">
                  <c:v>Series 2</c:v>
                </c:pt>
              </c:strCache>
            </c:strRef>
          </c:tx>
          <c:spPr>
            <a:solidFill>
              <a:schemeClr val="accent2"/>
            </a:solidFill>
            <a:ln>
              <a:noFill/>
            </a:ln>
            <a:effectLst/>
          </c:spPr>
          <c:invertIfNegative val="0"/>
          <c:val>
            <c:numRef>
              <c:f>'desy thyristor leakageI'!$B$5:$B$20</c:f>
              <c:numCache>
                <c:formatCode>General</c:formatCode>
                <c:ptCount val="16"/>
                <c:pt idx="0">
                  <c:v>130</c:v>
                </c:pt>
                <c:pt idx="1">
                  <c:v>300</c:v>
                </c:pt>
                <c:pt idx="2">
                  <c:v>280</c:v>
                </c:pt>
                <c:pt idx="3">
                  <c:v>150</c:v>
                </c:pt>
                <c:pt idx="4">
                  <c:v>150</c:v>
                </c:pt>
                <c:pt idx="5">
                  <c:v>100</c:v>
                </c:pt>
                <c:pt idx="6">
                  <c:v>150</c:v>
                </c:pt>
                <c:pt idx="7">
                  <c:v>180</c:v>
                </c:pt>
                <c:pt idx="8">
                  <c:v>450</c:v>
                </c:pt>
                <c:pt idx="9">
                  <c:v>100</c:v>
                </c:pt>
                <c:pt idx="10">
                  <c:v>150</c:v>
                </c:pt>
                <c:pt idx="11">
                  <c:v>120</c:v>
                </c:pt>
                <c:pt idx="12">
                  <c:v>220</c:v>
                </c:pt>
                <c:pt idx="13">
                  <c:v>260</c:v>
                </c:pt>
              </c:numCache>
            </c:numRef>
          </c:val>
          <c:extLst>
            <c:ext xmlns:c16="http://schemas.microsoft.com/office/drawing/2014/chart" uri="{C3380CC4-5D6E-409C-BE32-E72D297353CC}">
              <c16:uniqueId val="{00000001-6BC0-495D-A668-33CEF73BFCF8}"/>
            </c:ext>
          </c:extLst>
        </c:ser>
        <c:ser>
          <c:idx val="2"/>
          <c:order val="2"/>
          <c:tx>
            <c:strRef>
              <c:f>'desy thyristor leakageI'!$C$4</c:f>
              <c:strCache>
                <c:ptCount val="1"/>
                <c:pt idx="0">
                  <c:v>Series 3.1</c:v>
                </c:pt>
              </c:strCache>
            </c:strRef>
          </c:tx>
          <c:spPr>
            <a:solidFill>
              <a:schemeClr val="accent3"/>
            </a:solidFill>
            <a:ln>
              <a:noFill/>
            </a:ln>
            <a:effectLst/>
          </c:spPr>
          <c:invertIfNegative val="0"/>
          <c:val>
            <c:numRef>
              <c:f>'desy thyristor leakageI'!$C$5:$C$20</c:f>
              <c:numCache>
                <c:formatCode>General</c:formatCode>
                <c:ptCount val="16"/>
                <c:pt idx="0">
                  <c:v>220</c:v>
                </c:pt>
                <c:pt idx="1">
                  <c:v>230</c:v>
                </c:pt>
                <c:pt idx="2">
                  <c:v>260</c:v>
                </c:pt>
                <c:pt idx="3">
                  <c:v>290</c:v>
                </c:pt>
                <c:pt idx="4">
                  <c:v>375</c:v>
                </c:pt>
                <c:pt idx="5">
                  <c:v>240</c:v>
                </c:pt>
                <c:pt idx="6">
                  <c:v>360</c:v>
                </c:pt>
                <c:pt idx="7">
                  <c:v>250</c:v>
                </c:pt>
                <c:pt idx="8">
                  <c:v>255</c:v>
                </c:pt>
                <c:pt idx="9">
                  <c:v>270</c:v>
                </c:pt>
                <c:pt idx="10">
                  <c:v>270</c:v>
                </c:pt>
                <c:pt idx="11">
                  <c:v>150</c:v>
                </c:pt>
                <c:pt idx="12">
                  <c:v>175</c:v>
                </c:pt>
                <c:pt idx="13">
                  <c:v>175</c:v>
                </c:pt>
                <c:pt idx="14">
                  <c:v>185</c:v>
                </c:pt>
                <c:pt idx="15">
                  <c:v>205</c:v>
                </c:pt>
              </c:numCache>
            </c:numRef>
          </c:val>
          <c:extLst>
            <c:ext xmlns:c16="http://schemas.microsoft.com/office/drawing/2014/chart" uri="{C3380CC4-5D6E-409C-BE32-E72D297353CC}">
              <c16:uniqueId val="{00000002-6BC0-495D-A668-33CEF73BFCF8}"/>
            </c:ext>
          </c:extLst>
        </c:ser>
        <c:ser>
          <c:idx val="3"/>
          <c:order val="3"/>
          <c:tx>
            <c:strRef>
              <c:f>'desy thyristor leakageI'!$D$4</c:f>
              <c:strCache>
                <c:ptCount val="1"/>
                <c:pt idx="0">
                  <c:v>Series 3.2</c:v>
                </c:pt>
              </c:strCache>
            </c:strRef>
          </c:tx>
          <c:spPr>
            <a:solidFill>
              <a:schemeClr val="accent4"/>
            </a:solidFill>
            <a:ln>
              <a:noFill/>
            </a:ln>
            <a:effectLst/>
          </c:spPr>
          <c:invertIfNegative val="0"/>
          <c:val>
            <c:numRef>
              <c:f>'desy thyristor leakageI'!$D$5:$D$20</c:f>
              <c:numCache>
                <c:formatCode>General</c:formatCode>
                <c:ptCount val="16"/>
                <c:pt idx="0">
                  <c:v>230</c:v>
                </c:pt>
                <c:pt idx="1">
                  <c:v>230</c:v>
                </c:pt>
                <c:pt idx="2">
                  <c:v>210</c:v>
                </c:pt>
                <c:pt idx="3">
                  <c:v>225</c:v>
                </c:pt>
                <c:pt idx="4">
                  <c:v>200</c:v>
                </c:pt>
                <c:pt idx="5">
                  <c:v>525</c:v>
                </c:pt>
                <c:pt idx="6">
                  <c:v>140</c:v>
                </c:pt>
                <c:pt idx="7">
                  <c:v>140</c:v>
                </c:pt>
                <c:pt idx="8">
                  <c:v>250</c:v>
                </c:pt>
                <c:pt idx="9">
                  <c:v>150</c:v>
                </c:pt>
                <c:pt idx="10">
                  <c:v>160</c:v>
                </c:pt>
                <c:pt idx="11">
                  <c:v>160</c:v>
                </c:pt>
                <c:pt idx="12">
                  <c:v>320</c:v>
                </c:pt>
                <c:pt idx="13">
                  <c:v>150</c:v>
                </c:pt>
                <c:pt idx="14">
                  <c:v>295</c:v>
                </c:pt>
                <c:pt idx="15">
                  <c:v>230</c:v>
                </c:pt>
              </c:numCache>
            </c:numRef>
          </c:val>
          <c:extLst>
            <c:ext xmlns:c16="http://schemas.microsoft.com/office/drawing/2014/chart" uri="{C3380CC4-5D6E-409C-BE32-E72D297353CC}">
              <c16:uniqueId val="{00000003-6BC0-495D-A668-33CEF73BFCF8}"/>
            </c:ext>
          </c:extLst>
        </c:ser>
        <c:dLbls>
          <c:showLegendKey val="0"/>
          <c:showVal val="0"/>
          <c:showCatName val="0"/>
          <c:showSerName val="0"/>
          <c:showPercent val="0"/>
          <c:showBubbleSize val="0"/>
        </c:dLbls>
        <c:gapWidth val="219"/>
        <c:overlap val="-27"/>
        <c:axId val="221963856"/>
        <c:axId val="221960944"/>
      </c:barChart>
      <c:catAx>
        <c:axId val="22196385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960944"/>
        <c:crosses val="autoZero"/>
        <c:auto val="1"/>
        <c:lblAlgn val="ctr"/>
        <c:lblOffset val="100"/>
        <c:noMultiLvlLbl val="0"/>
      </c:catAx>
      <c:valAx>
        <c:axId val="221960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9638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leakage @ 4.2 kV</cx:v>
        </cx:txData>
      </cx:tx>
      <cx:txPr>
        <a:bodyPr spcFirstLastPara="1" vertOverflow="ellipsis" wrap="square" lIns="0" tIns="0" rIns="0" bIns="0" anchor="ctr" anchorCtr="1"/>
        <a:lstStyle/>
        <a:p>
          <a:pPr algn="ctr">
            <a:defRPr/>
          </a:pPr>
          <a:r>
            <a:rPr lang="en-US"/>
            <a:t>leakage @ 4.2 kV</a:t>
          </a:r>
        </a:p>
      </cx:txPr>
    </cx:title>
    <cx:plotArea>
      <cx:plotAreaRegion>
        <cx:series layoutId="clusteredColumn" uniqueId="{8311FE06-33B4-4A3E-B706-4AD406F9DE5F}">
          <cx:dataId val="0"/>
          <cx:layoutPr>
            <cx:binning intervalClosed="r" overflow="110">
              <cx:binSize val="2.5"/>
            </cx:binning>
          </cx:layoutPr>
        </cx:series>
      </cx:plotAreaRegion>
      <cx:axis id="0">
        <cx:catScaling gapWidth="0"/>
        <cx:tickLabels/>
      </cx:axis>
      <cx:axis id="1">
        <cx:valScaling/>
        <cx:majorGridlines/>
        <cx:tickLabels/>
      </cx:axis>
    </cx:plotArea>
  </cx:chart>
  <cx:clrMapOvr bg1="lt1" tx1="dk1" bg2="lt2" tx2="dk2" accent1="accent1" accent2="accent2" accent3="accent3" accent4="accent4" accent5="accent5" accent6="accent6" hlink="hlink" folHlink="folHlink"/>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leakage @ 6.5 kV</cx:v>
        </cx:txData>
      </cx:tx>
      <cx:txPr>
        <a:bodyPr spcFirstLastPara="1" vertOverflow="ellipsis" wrap="square" lIns="0" tIns="0" rIns="0" bIns="0" anchor="ctr" anchorCtr="1"/>
        <a:lstStyle/>
        <a:p>
          <a:pPr algn="ctr">
            <a:defRPr/>
          </a:pPr>
          <a:r>
            <a:rPr lang="en-US"/>
            <a:t>leakage @ 6.5 kV</a:t>
          </a:r>
        </a:p>
      </cx:txPr>
    </cx:title>
    <cx:plotArea>
      <cx:plotAreaRegion>
        <cx:series layoutId="clusteredColumn" uniqueId="{E2BFDC57-F03D-44E8-BC1F-2857AB887873}">
          <cx:dataId val="0"/>
          <cx:layoutPr>
            <cx:binning intervalClosed="r" overflow="400">
              <cx:binSize val="10"/>
            </cx:binning>
          </cx:layoutPr>
        </cx:series>
      </cx:plotAreaRegion>
      <cx:axis id="0">
        <cx:catScaling gapWidth="0"/>
        <cx:tickLabels/>
        <cx:txPr>
          <a:bodyPr spcFirstLastPara="1" vertOverflow="ellipsis" wrap="square" lIns="0" tIns="0" rIns="0" bIns="0" anchor="ctr" anchorCtr="1"/>
          <a:lstStyle/>
          <a:p>
            <a:pPr>
              <a:defRPr/>
            </a:pPr>
            <a:endParaRPr lang="en-US"/>
          </a:p>
        </cx:txPr>
      </cx:axis>
      <cx:axis id="1">
        <cx:valScaling/>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_xlchart.v1.2</cx:f>
      </cx:numDim>
    </cx:data>
  </cx:chartData>
  <cx:chart>
    <cx:title pos="t" align="ctr" overlay="0">
      <cx:tx>
        <cx:txData>
          <cx:v>Overvoltage Self-Fire  (&lt;6.9 = failure)</cx:v>
        </cx:txData>
      </cx:tx>
      <cx:txPr>
        <a:bodyPr spcFirstLastPara="1" vertOverflow="ellipsis" wrap="square" lIns="0" tIns="0" rIns="0" bIns="0" anchor="ctr" anchorCtr="1"/>
        <a:lstStyle/>
        <a:p>
          <a:pPr algn="ctr">
            <a:defRPr/>
          </a:pPr>
          <a:r>
            <a:rPr lang="en-US"/>
            <a:t>Overvoltage Self-Fire  (&lt;6.9 = failure)</a:t>
          </a:r>
        </a:p>
      </cx:txPr>
    </cx:title>
    <cx:plotArea>
      <cx:plotAreaRegion>
        <cx:series layoutId="clusteredColumn" uniqueId="{06FECF81-580C-43D6-8EF9-0B4FE79F728A}">
          <cx:dataId val="0"/>
          <cx:layoutPr>
            <cx:binning intervalClosed="r" underflow="6.9000000000000004">
              <cx:binSize val="0.05000000000000001"/>
            </cx:binning>
          </cx:layoutPr>
        </cx:series>
      </cx:plotAreaRegion>
      <cx:axis id="0">
        <cx:catScaling gapWidth="0"/>
        <cx:tickLabels/>
      </cx:axis>
      <cx:axis id="1">
        <cx:valScaling/>
        <cx:majorGridlines/>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_xlchart.v1.4</cx:f>
      </cx:numDim>
    </cx:data>
  </cx:chartData>
  <cx:chart>
    <cx:title pos="t" align="ctr" overlay="0">
      <cx:tx>
        <cx:txData>
          <cx:v>leakage @ 4.2 kV</cx:v>
        </cx:txData>
      </cx:tx>
      <cx:txPr>
        <a:bodyPr spcFirstLastPara="1" vertOverflow="ellipsis" wrap="square" lIns="0" tIns="0" rIns="0" bIns="0" anchor="ctr" anchorCtr="1"/>
        <a:lstStyle/>
        <a:p>
          <a:pPr algn="ctr">
            <a:defRPr/>
          </a:pPr>
          <a:r>
            <a:rPr lang="en-US"/>
            <a:t>leakage @ 4.2 kV</a:t>
          </a:r>
        </a:p>
      </cx:txPr>
    </cx:title>
    <cx:plotArea>
      <cx:plotAreaRegion>
        <cx:series layoutId="clusteredColumn" uniqueId="{656BB27D-869B-43A4-A8FE-240DBD243852}">
          <cx:dataId val="0"/>
          <cx:layoutPr>
            <cx:binning intervalClosed="r">
              <cx:binSize val="2.5"/>
            </cx:binning>
          </cx:layoutPr>
        </cx:series>
      </cx:plotAreaRegion>
      <cx:axis id="0">
        <cx:catScaling gapWidth="0"/>
        <cx:tickLabels/>
      </cx:axis>
      <cx:axis id="1">
        <cx:valScaling/>
        <cx:majorGridlines/>
        <cx:tickLabels/>
      </cx:axis>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leakage @ 6.5 kV</cx:v>
        </cx:txData>
      </cx:tx>
      <cx:txPr>
        <a:bodyPr spcFirstLastPara="1" vertOverflow="ellipsis" wrap="square" lIns="0" tIns="0" rIns="0" bIns="0" anchor="ctr" anchorCtr="1"/>
        <a:lstStyle/>
        <a:p>
          <a:pPr algn="ctr">
            <a:defRPr/>
          </a:pPr>
          <a:r>
            <a:rPr lang="en-US"/>
            <a:t>leakage @ 6.5 kV</a:t>
          </a:r>
        </a:p>
      </cx:txPr>
    </cx:title>
    <cx:plotArea>
      <cx:plotAreaRegion>
        <cx:series layoutId="clusteredColumn" uniqueId="{98947599-7440-48D1-B7A2-55016BEAD956}">
          <cx:dataId val="0"/>
          <cx:layoutPr>
            <cx:binning intervalClosed="r">
              <cx:binSize val="5"/>
            </cx:binning>
          </cx:layoutPr>
        </cx:series>
      </cx:plotAreaRegion>
      <cx:axis id="0">
        <cx:catScaling gapWidth="0"/>
        <cx:tickLabels/>
      </cx:axis>
      <cx:axis id="1">
        <cx:valScaling/>
        <cx:majorGridlines/>
        <cx:tickLabels/>
      </cx:axis>
    </cx:plotArea>
  </cx:chart>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numDim type="val">
        <cx:f>_xlchart.v1.5</cx:f>
      </cx:numDim>
    </cx:data>
  </cx:chartData>
  <cx:chart>
    <cx:title pos="t" align="ctr" overlay="0">
      <cx:tx>
        <cx:rich>
          <a:bodyPr spcFirstLastPara="1" vertOverflow="ellipsis" wrap="square" lIns="0" tIns="0" rIns="0" bIns="0" anchor="ctr" anchorCtr="1"/>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0" i="0" u="none" strike="noStrike" kern="1200" spc="0" baseline="0">
                <a:solidFill>
                  <a:sysClr val="windowText" lastClr="000000">
                    <a:lumMod val="65000"/>
                    <a:lumOff val="35000"/>
                  </a:sysClr>
                </a:solidFill>
                <a:effectLst/>
                <a:latin typeface="Calibri" panose="020F0502020204030204"/>
              </a:rPr>
              <a:t>Overvoltage Self-Fire  (&lt;6.9 = failure)</a:t>
            </a:r>
            <a:endParaRPr lang="en-US">
              <a:effectLst/>
            </a:endParaRPr>
          </a:p>
        </cx:rich>
      </cx:tx>
    </cx:title>
    <cx:plotArea>
      <cx:plotAreaRegion>
        <cx:series layoutId="clusteredColumn" uniqueId="{A01E1ED0-DC3B-4080-B57C-25B62BA9985B}">
          <cx:dataId val="0"/>
          <cx:layoutPr>
            <cx:binning intervalClosed="r" underflow="6.9000000000000004">
              <cx:binSize val="0.05000000000000001"/>
            </cx:binning>
          </cx:layoutPr>
        </cx:series>
      </cx:plotAreaRegion>
      <cx:axis id="0">
        <cx:catScaling gapWidth="0"/>
        <cx:tickLabels/>
      </cx:axis>
      <cx:axis id="1">
        <cx:valScaling/>
        <cx:majorGridlines/>
        <cx:tickLabels/>
      </cx:axis>
    </cx:plotArea>
  </cx:chart>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numDim type="val">
        <cx:f>_xlchart.v1.8</cx:f>
      </cx:numDim>
    </cx:data>
  </cx:chartData>
  <cx:chart>
    <cx:title pos="t" align="ctr" overlay="0">
      <cx:tx>
        <cx:txData>
          <cx:v>leakage @ 4.2 kV</cx:v>
        </cx:txData>
      </cx:tx>
      <cx:txPr>
        <a:bodyPr spcFirstLastPara="1" vertOverflow="ellipsis" wrap="square" lIns="0" tIns="0" rIns="0" bIns="0" anchor="ctr" anchorCtr="1"/>
        <a:lstStyle/>
        <a:p>
          <a:pPr algn="ctr">
            <a:defRPr/>
          </a:pPr>
          <a:r>
            <a:rPr lang="en-US"/>
            <a:t>leakage @ 4.2 kV</a:t>
          </a:r>
        </a:p>
      </cx:txPr>
    </cx:title>
    <cx:plotArea>
      <cx:plotAreaRegion>
        <cx:series layoutId="clusteredColumn" uniqueId="{7FD68865-22AD-4F45-BE57-B113AB5F7353}">
          <cx:dataId val="0"/>
          <cx:layoutPr>
            <cx:binning intervalClosed="r" overflow="90">
              <cx:binSize val="2.5"/>
            </cx:binning>
          </cx:layoutPr>
        </cx:series>
      </cx:plotAreaRegion>
      <cx:axis id="0">
        <cx:catScaling gapWidth="0"/>
        <cx:tickLabels/>
      </cx:axis>
      <cx:axis id="1">
        <cx:valScaling/>
        <cx:majorGridlines/>
        <cx:tickLabels/>
      </cx:axis>
    </cx:plotArea>
  </cx:chart>
  <cx:printSettings>
    <cx:headerFooter alignWithMargins="1" differentOddEven="0" differentFirst="0"/>
    <cx:pageMargins l="0.69999999999999996" r="0.69999999999999996" t="0.75" b="0.75" header="0.29999999999999999" footer="0.29999999999999999"/>
    <cx:pageSetup paperSize="1" firstPageNumber="1" orientation="default" blackAndWhite="0" draft="0" useFirstPageNumber="0" horizontalDpi="600" verticalDpi="600" copies="1"/>
  </cx:printSettings>
</cx:chartSpace>
</file>

<file path=xl/charts/chartEx8.xml><?xml version="1.0" encoding="utf-8"?>
<cx:chartSpace xmlns:a="http://schemas.openxmlformats.org/drawingml/2006/main" xmlns:r="http://schemas.openxmlformats.org/officeDocument/2006/relationships" xmlns:cx="http://schemas.microsoft.com/office/drawing/2014/chartex">
  <cx:chartData>
    <cx:data id="0">
      <cx:numDim type="val">
        <cx:f>_xlchart.v1.6</cx:f>
      </cx:numDim>
    </cx:data>
  </cx:chartData>
  <cx:chart>
    <cx:title pos="t" align="ctr" overlay="0">
      <cx:tx>
        <cx:txData>
          <cx:v>leakage @ 6.5 kV</cx:v>
        </cx:txData>
      </cx:tx>
      <cx:txPr>
        <a:bodyPr spcFirstLastPara="1" vertOverflow="ellipsis" wrap="square" lIns="0" tIns="0" rIns="0" bIns="0" anchor="ctr" anchorCtr="1"/>
        <a:lstStyle/>
        <a:p>
          <a:pPr algn="ctr">
            <a:defRPr/>
          </a:pPr>
          <a:r>
            <a:rPr lang="en-US"/>
            <a:t>leakage @ 6.5 kV</a:t>
          </a:r>
        </a:p>
      </cx:txPr>
    </cx:title>
    <cx:plotArea>
      <cx:plotAreaRegion>
        <cx:series layoutId="clusteredColumn" uniqueId="{4223FAA1-E379-4FDC-BEB7-12D10B6000DE}">
          <cx:dataId val="0"/>
          <cx:layoutPr>
            <cx:binning intervalClosed="r" overflow="400">
              <cx:binSize val="10"/>
            </cx:binning>
          </cx:layoutPr>
        </cx:series>
      </cx:plotAreaRegion>
      <cx:axis id="0">
        <cx:catScaling gapWidth="0"/>
        <cx:tickLabels/>
      </cx:axis>
      <cx:axis id="1">
        <cx:valScaling/>
        <cx:majorGridlines/>
        <cx:tickLabels/>
      </cx:axis>
    </cx:plotArea>
  </cx:chart>
</cx:chartSpace>
</file>

<file path=xl/charts/chartEx9.xml><?xml version="1.0" encoding="utf-8"?>
<cx:chartSpace xmlns:a="http://schemas.openxmlformats.org/drawingml/2006/main" xmlns:r="http://schemas.openxmlformats.org/officeDocument/2006/relationships" xmlns:cx="http://schemas.microsoft.com/office/drawing/2014/chartex">
  <cx:chartData>
    <cx:data id="0">
      <cx:numDim type="val">
        <cx:f>_xlchart.v1.7</cx:f>
      </cx:numDim>
    </cx:data>
  </cx:chartData>
  <cx:chart>
    <cx:title pos="t" align="ctr" overlay="0">
      <cx:tx>
        <cx:rich>
          <a:bodyPr spcFirstLastPara="1" vertOverflow="ellipsis" wrap="square" lIns="0" tIns="0" rIns="0" bIns="0" anchor="ctr" anchorCtr="1"/>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0" i="0" u="none" strike="noStrike" kern="1200" spc="0" baseline="0">
                <a:solidFill>
                  <a:sysClr val="windowText" lastClr="000000">
                    <a:lumMod val="65000"/>
                    <a:lumOff val="35000"/>
                  </a:sysClr>
                </a:solidFill>
                <a:effectLst/>
                <a:latin typeface="Calibri" panose="020F0502020204030204"/>
              </a:rPr>
              <a:t>Overvoltage Self-Fire  (&lt;6.9 = failure)</a:t>
            </a:r>
            <a:endParaRPr lang="en-US">
              <a:effectLst/>
            </a:endParaRPr>
          </a:p>
        </cx:rich>
      </cx:tx>
    </cx:title>
    <cx:plotArea>
      <cx:plotAreaRegion>
        <cx:series layoutId="clusteredColumn" uniqueId="{13DCF1E7-8950-42E4-8C8E-05C9842CB543}">
          <cx:dataId val="0"/>
          <cx:layoutPr>
            <cx:binning intervalClosed="r" underflow="6.9000000000000004">
              <cx:binSize val="0.05000000000000001"/>
            </cx:binning>
          </cx:layoutPr>
        </cx:series>
      </cx:plotAreaRegion>
      <cx:axis id="0">
        <cx:catScaling gapWidth="0"/>
        <cx:tickLabels/>
      </cx:axis>
      <cx:axis id="1">
        <cx:valScaling/>
        <cx:majorGridlines/>
        <cx:tickLabels/>
      </cx:axis>
    </cx:plotArea>
  </cx:chart>
</cx:chartSpace>
</file>

<file path=xl/charts/chartEx10.xml><?xml version="1.0" encoding="utf-8"?>
<cx:chartSpace xmlns:a="http://schemas.openxmlformats.org/drawingml/2006/main" xmlns:r="http://schemas.openxmlformats.org/officeDocument/2006/relationships" xmlns:cx="http://schemas.microsoft.com/office/drawing/2014/chartex">
  <cx:chartData>
    <cx:data id="0">
      <cx:numDim type="val">
        <cx:f>_xlchart.v1.9</cx:f>
      </cx:numDim>
    </cx:data>
  </cx:chartData>
  <cx:chart>
    <cx:title pos="t" align="ctr" overlay="0">
      <cx:tx>
        <cx:txData>
          <cx:v>Summary Histogram of Blocking Current (uA) at 4000 VDC for DESY</cx:v>
        </cx:txData>
      </cx:tx>
      <cx:txPr>
        <a:bodyPr spcFirstLastPara="1" vertOverflow="ellipsis" wrap="square" lIns="0" tIns="0" rIns="0" bIns="0" anchor="ctr" anchorCtr="1"/>
        <a:lstStyle/>
        <a:p>
          <a:pPr algn="ctr">
            <a:defRPr/>
          </a:pPr>
          <a:r>
            <a:rPr lang="en-US"/>
            <a:t>Summary Histogram of Blocking Current (uA) at 4000 VDC for DESY</a:t>
          </a:r>
        </a:p>
      </cx:txPr>
    </cx:title>
    <cx:plotArea>
      <cx:plotAreaRegion>
        <cx:series layoutId="clusteredColumn" uniqueId="{7E1EA51E-42DF-4801-808D-A5F9858EC5B2}">
          <cx:dataId val="0"/>
          <cx:layoutPr>
            <cx:binning intervalClosed="r">
              <cx:binSize val="10"/>
            </cx:binning>
          </cx:layoutPr>
        </cx:series>
      </cx:plotAreaRegion>
      <cx:axis id="0">
        <cx:catScaling gapWidth="0"/>
        <cx:tickLabels/>
      </cx:axis>
      <cx:axis id="1">
        <cx:valScaling/>
        <cx:majorGridlines/>
        <cx:tickLabels/>
      </cx:axis>
    </cx:plotArea>
  </cx:chart>
</cx:chartSpace>
</file>

<file path=xl/charts/chartEx11.xml><?xml version="1.0" encoding="utf-8"?>
<cx:chartSpace xmlns:a="http://schemas.openxmlformats.org/drawingml/2006/main" xmlns:r="http://schemas.openxmlformats.org/officeDocument/2006/relationships" xmlns:cx="http://schemas.microsoft.com/office/drawing/2014/chartex">
  <cx:chartData>
    <cx:data id="0">
      <cx:numDim type="val">
        <cx:f>_xlchart.v1.13</cx:f>
      </cx:numDim>
    </cx:data>
  </cx:chartData>
  <cx:chart>
    <cx:title pos="t" align="ctr" overlay="0">
      <cx:tx>
        <cx:rich>
          <a:bodyPr spcFirstLastPara="1" vertOverflow="ellipsis" wrap="square" lIns="0" tIns="0" rIns="0" bIns="0" anchor="ctr" anchorCtr="1"/>
          <a:lstStyle/>
          <a:p>
            <a:pPr algn="ctr">
              <a:defRPr/>
            </a:pPr>
            <a:r>
              <a:rPr lang="en-US"/>
              <a:t>Leakage @ 4.2 kV (</a:t>
            </a:r>
            <a:r>
              <a:rPr lang="en-US">
                <a:latin typeface="Symbol" panose="05050102010706020507" pitchFamily="18" charset="2"/>
              </a:rPr>
              <a:t>m</a:t>
            </a:r>
            <a:r>
              <a:rPr lang="en-US"/>
              <a:t>A)</a:t>
            </a:r>
          </a:p>
        </cx:rich>
      </cx:tx>
    </cx:title>
    <cx:plotArea>
      <cx:plotAreaRegion>
        <cx:series layoutId="clusteredColumn" uniqueId="{33A0E54A-CD0E-42E1-AA01-C84988D9714D}">
          <cx:dataId val="0"/>
          <cx:layoutPr>
            <cx:binning intervalClosed="r" overflow="100">
              <cx:binSize val="2.5"/>
            </cx:binning>
          </cx:layoutPr>
        </cx:series>
      </cx:plotAreaRegion>
      <cx:axis id="0">
        <cx:catScaling gapWidth="0"/>
        <cx:tickLabels/>
      </cx:axis>
      <cx:axis id="1">
        <cx:valScaling/>
        <cx:majorGridlines/>
        <cx:tickLabels/>
      </cx:axis>
    </cx:plotArea>
  </cx:chart>
</cx:chartSpace>
</file>

<file path=xl/charts/chartEx12.xml><?xml version="1.0" encoding="utf-8"?>
<cx:chartSpace xmlns:a="http://schemas.openxmlformats.org/drawingml/2006/main" xmlns:r="http://schemas.openxmlformats.org/officeDocument/2006/relationships" xmlns:cx="http://schemas.microsoft.com/office/drawing/2014/chartex">
  <cx:chartData>
    <cx:data id="0">
      <cx:numDim type="val">
        <cx:f>_xlchart.v1.11</cx:f>
      </cx:numDim>
    </cx:data>
  </cx:chartData>
  <cx:chart>
    <cx:title pos="t" align="ctr" overlay="0">
      <cx:tx>
        <cx:rich>
          <a:bodyPr spcFirstLastPara="1" vertOverflow="ellipsis" wrap="square" lIns="0" tIns="0" rIns="0" bIns="0" anchor="ctr" anchorCtr="1"/>
          <a:lstStyle/>
          <a:p>
            <a:pPr>
              <a:defRPr sz="1400"/>
            </a:pPr>
            <a:r>
              <a:rPr lang="en-US" sz="1400" b="0" i="0" baseline="0">
                <a:effectLst/>
              </a:rPr>
              <a:t>Leakage @ 6.5 kV (</a:t>
            </a:r>
            <a:r>
              <a:rPr lang="en-US" sz="1400" b="0" i="0" baseline="0">
                <a:effectLst/>
                <a:latin typeface="Symbol" panose="05050102010706020507" pitchFamily="18" charset="2"/>
              </a:rPr>
              <a:t>m</a:t>
            </a:r>
            <a:r>
              <a:rPr lang="en-US" sz="1400" b="0" i="0" baseline="0">
                <a:effectLst/>
              </a:rPr>
              <a:t>A)</a:t>
            </a:r>
            <a:endParaRPr lang="en-US" sz="1400">
              <a:effectLst/>
            </a:endParaRPr>
          </a:p>
        </cx:rich>
      </cx:tx>
    </cx:title>
    <cx:plotArea>
      <cx:plotAreaRegion>
        <cx:series layoutId="clusteredColumn" uniqueId="{2ABFF843-9B54-4D06-9A03-F7FE471B3621}">
          <cx:dataId val="0"/>
          <cx:layoutPr>
            <cx:binning intervalClosed="r" overflow="200">
              <cx:binSize val="5"/>
            </cx:binning>
          </cx:layoutPr>
        </cx:series>
      </cx:plotAreaRegion>
      <cx:axis id="0">
        <cx:catScaling gapWidth="0"/>
        <cx:tickLabels/>
      </cx:axis>
      <cx:axis id="1">
        <cx:valScaling/>
        <cx:majorGridlines/>
        <cx:tickLabels/>
      </cx:axis>
    </cx:plotArea>
  </cx:chart>
</cx:chartSpace>
</file>

<file path=xl/charts/chartEx13.xml><?xml version="1.0" encoding="utf-8"?>
<cx:chartSpace xmlns:a="http://schemas.openxmlformats.org/drawingml/2006/main" xmlns:r="http://schemas.openxmlformats.org/officeDocument/2006/relationships" xmlns:cx="http://schemas.microsoft.com/office/drawing/2014/chartex">
  <cx:chartData>
    <cx:data id="0">
      <cx:numDim type="val">
        <cx:f>_xlchart.v1.14</cx:f>
      </cx:numDim>
    </cx:data>
  </cx:chartData>
  <cx:chart>
    <cx:title pos="t" align="ctr" overlay="0">
      <cx:tx>
        <cx:rich>
          <a:bodyPr spcFirstLastPara="1" vertOverflow="ellipsis" wrap="square" lIns="0" tIns="0" rIns="0" bIns="0" anchor="ctr" anchorCtr="1"/>
          <a:lstStyle/>
          <a:p>
            <a:r>
              <a:rPr lang="en-US" sz="1400" b="0" i="0" baseline="0">
                <a:effectLst/>
              </a:rPr>
              <a:t>Leakage @ 4.2 kV (</a:t>
            </a:r>
            <a:r>
              <a:rPr lang="en-US" sz="1400" b="0" i="0" baseline="0">
                <a:effectLst/>
                <a:latin typeface="Symbol" panose="05050102010706020507" pitchFamily="18" charset="2"/>
              </a:rPr>
              <a:t>mA</a:t>
            </a:r>
            <a:r>
              <a:rPr lang="en-US" sz="1400" b="0" i="0" baseline="0">
                <a:effectLst/>
              </a:rPr>
              <a:t>)</a:t>
            </a:r>
            <a:endParaRPr lang="en-US" sz="1400">
              <a:effectLst/>
            </a:endParaRPr>
          </a:p>
        </cx:rich>
      </cx:tx>
    </cx:title>
    <cx:plotArea>
      <cx:plotAreaRegion>
        <cx:series layoutId="clusteredColumn" uniqueId="{8C22E749-E76F-4092-A316-35BB4475031A}">
          <cx:dataId val="0"/>
          <cx:layoutPr>
            <cx:binning intervalClosed="r" overflow="60">
              <cx:binSize val="1.25"/>
            </cx:binning>
          </cx:layoutPr>
        </cx:series>
      </cx:plotAreaRegion>
      <cx:axis id="0">
        <cx:catScaling gapWidth="0"/>
        <cx:tickLabels/>
      </cx:axis>
      <cx:axis id="1">
        <cx:valScaling/>
        <cx:majorGridlines/>
        <cx:tickLabels/>
      </cx:axis>
    </cx:plotArea>
  </cx:chart>
</cx:chartSpace>
</file>

<file path=xl/charts/chartEx14.xml><?xml version="1.0" encoding="utf-8"?>
<cx:chartSpace xmlns:a="http://schemas.openxmlformats.org/drawingml/2006/main" xmlns:r="http://schemas.openxmlformats.org/officeDocument/2006/relationships" xmlns:cx="http://schemas.microsoft.com/office/drawing/2014/chartex">
  <cx:chartData>
    <cx:data id="0">
      <cx:numDim type="val">
        <cx:f>_xlchart.v1.15</cx:f>
      </cx:numDim>
    </cx:data>
  </cx:chartData>
  <cx:chart>
    <cx:title pos="t" align="ctr" overlay="0">
      <cx:tx>
        <cx:rich>
          <a:bodyPr spcFirstLastPara="1" vertOverflow="ellipsis" wrap="square" lIns="0" tIns="0" rIns="0" bIns="0" anchor="ctr" anchorCtr="1"/>
          <a:lstStyle/>
          <a:p>
            <a:r>
              <a:rPr lang="en-US" sz="1400" b="0" i="0" baseline="0">
                <a:effectLst/>
              </a:rPr>
              <a:t>Leakage @ 6.5 kV (</a:t>
            </a:r>
            <a:r>
              <a:rPr lang="en-US" sz="1400" b="0" i="0" baseline="0">
                <a:effectLst/>
                <a:latin typeface="Symbol" panose="05050102010706020507" pitchFamily="18" charset="2"/>
              </a:rPr>
              <a:t>m</a:t>
            </a:r>
            <a:r>
              <a:rPr lang="en-US" sz="1400" b="0" i="0" baseline="0">
                <a:effectLst/>
              </a:rPr>
              <a:t>A)</a:t>
            </a:r>
            <a:endParaRPr lang="en-US" sz="1400">
              <a:effectLst/>
            </a:endParaRPr>
          </a:p>
        </cx:rich>
      </cx:tx>
    </cx:title>
    <cx:plotArea>
      <cx:plotAreaRegion>
        <cx:series layoutId="clusteredColumn" uniqueId="{1BB91549-E443-40C4-936E-7BF7D184FE99}">
          <cx:dataId val="0"/>
          <cx:layoutPr>
            <cx:binning intervalClosed="r" overflow="120">
              <cx:binSize val="2.5"/>
            </cx:binning>
          </cx:layoutPr>
        </cx:series>
      </cx:plotAreaRegion>
      <cx:axis id="0">
        <cx:catScaling gapWidth="0"/>
        <cx:tickLabels/>
      </cx:axis>
      <cx:axis id="1">
        <cx:valScaling/>
        <cx:majorGridlines/>
        <cx:tickLabels/>
      </cx:axis>
    </cx:plotArea>
  </cx:chart>
</cx:chartSpace>
</file>

<file path=xl/charts/chartEx15.xml><?xml version="1.0" encoding="utf-8"?>
<cx:chartSpace xmlns:a="http://schemas.openxmlformats.org/drawingml/2006/main" xmlns:r="http://schemas.openxmlformats.org/officeDocument/2006/relationships" xmlns:cx="http://schemas.microsoft.com/office/drawing/2014/chartex">
  <cx:chartData>
    <cx:data id="0">
      <cx:numDim type="val">
        <cx:f>_xlchart.v1.16</cx:f>
      </cx:numDim>
    </cx:data>
  </cx:chartData>
  <cx:chart>
    <cx:title pos="t" align="ctr" overlay="0">
      <cx:tx>
        <cx:txData>
          <cx:v>HVPS1 Leakage Current @4.2 kV, 25 degC</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HVPS1 Leakage Current @4.2 kV, 25 degC</a:t>
          </a:r>
        </a:p>
      </cx:txPr>
    </cx:title>
    <cx:plotArea>
      <cx:plotAreaRegion>
        <cx:series layoutId="clusteredColumn" uniqueId="{A747CFBC-B4E2-42E8-91B8-A590D87CB115}">
          <cx:dataId val="0"/>
          <cx:layoutPr>
            <cx:binning intervalClosed="r" overflow="100">
              <cx:binSize val="2.5"/>
            </cx:binning>
          </cx:layoutPr>
        </cx:series>
      </cx:plotAreaRegion>
      <cx:axis id="0">
        <cx:catScaling gapWidth="0"/>
        <cx:tickLabels/>
      </cx:axis>
      <cx:axis id="1">
        <cx:valScaling/>
        <cx:majorGridlines/>
        <cx:tickLabels/>
      </cx:axis>
    </cx:plotArea>
  </cx:chart>
</cx:chartSpace>
</file>

<file path=xl/charts/chartEx16.xml><?xml version="1.0" encoding="utf-8"?>
<cx:chartSpace xmlns:a="http://schemas.openxmlformats.org/drawingml/2006/main" xmlns:r="http://schemas.openxmlformats.org/officeDocument/2006/relationships" xmlns:cx="http://schemas.microsoft.com/office/drawing/2014/chartex">
  <cx:chartData>
    <cx:data id="0">
      <cx:numDim type="val">
        <cx:f>_xlchart.v1.17</cx:f>
      </cx:numDim>
    </cx:data>
  </cx:chartData>
  <cx:chart>
    <cx:title pos="t" align="ctr" overlay="0">
      <cx:tx>
        <cx:rich>
          <a:bodyPr spcFirstLastPara="1" vertOverflow="ellipsis" horzOverflow="overflow" wrap="square" lIns="0" tIns="0" rIns="0" bIns="0" anchor="ctr" anchorCtr="1"/>
          <a:lstStyle/>
          <a:p>
            <a:pPr rtl="0">
              <a:defRPr>
                <a:latin typeface="+mn-lt"/>
              </a:defRPr>
            </a:pPr>
            <a:r>
              <a:rPr lang="en-US" sz="1400" b="0" i="0" baseline="0">
                <a:effectLst/>
                <a:latin typeface="+mn-lt"/>
              </a:rPr>
              <a:t>HVPS1 Leakage Current @6.5 kV, 25 degC</a:t>
            </a:r>
            <a:endParaRPr lang="en-US" sz="1400">
              <a:effectLst/>
              <a:latin typeface="+mn-lt"/>
            </a:endParaRPr>
          </a:p>
        </cx:rich>
      </cx:tx>
    </cx:title>
    <cx:plotArea>
      <cx:plotAreaRegion>
        <cx:series layoutId="clusteredColumn" uniqueId="{D5351954-8C60-49E6-B3AA-BCC6B5927BEF}">
          <cx:dataId val="0"/>
          <cx:layoutPr>
            <cx:binning intervalClosed="r" overflow="200">
              <cx:binSize val="5"/>
            </cx:binning>
          </cx:layoutPr>
        </cx:series>
      </cx:plotAreaRegion>
      <cx:axis id="0">
        <cx:catScaling gapWidth="0"/>
        <cx:tickLabels/>
      </cx:axis>
      <cx:axis id="1">
        <cx:valScaling/>
        <cx:majorGridlines/>
        <cx:tickLabels/>
      </cx:axis>
    </cx:plotArea>
  </cx:chart>
</cx:chartSpace>
</file>

<file path=xl/charts/chartEx17.xml><?xml version="1.0" encoding="utf-8"?>
<cx:chartSpace xmlns:a="http://schemas.openxmlformats.org/drawingml/2006/main" xmlns:r="http://schemas.openxmlformats.org/officeDocument/2006/relationships" xmlns:cx="http://schemas.microsoft.com/office/drawing/2014/chartex">
  <cx:chartData>
    <cx:data id="0">
      <cx:numDim type="val">
        <cx:f>_xlchart.v1.19</cx:f>
      </cx:numDim>
    </cx:data>
  </cx:chartData>
  <cx:chart>
    <cx:title pos="t" align="ctr" overlay="0">
      <cx:tx>
        <cx:rich>
          <a:bodyPr spcFirstLastPara="1" vertOverflow="ellipsis" horzOverflow="overflow" wrap="square" lIns="0" tIns="0" rIns="0" bIns="0" anchor="ctr" anchorCtr="1"/>
          <a:lstStyle/>
          <a:p>
            <a:pPr rtl="0"/>
            <a:r>
              <a:rPr lang="en-US" sz="1400" b="0" i="0" baseline="0">
                <a:effectLst/>
                <a:latin typeface="+mn-lt"/>
              </a:rPr>
              <a:t>HVPS1 Leakage Current @4.2 kV, 50 degC</a:t>
            </a:r>
            <a:endParaRPr lang="en-US" sz="1400">
              <a:effectLst/>
              <a:latin typeface="+mn-lt"/>
            </a:endParaRPr>
          </a:p>
        </cx:rich>
      </cx:tx>
    </cx:title>
    <cx:plotArea>
      <cx:plotAreaRegion>
        <cx:series layoutId="clusteredColumn" uniqueId="{D9D8757A-493C-4B13-82CF-28A250A2E0A6}">
          <cx:dataId val="0"/>
          <cx:layoutPr>
            <cx:binning intervalClosed="r" overflow="1000">
              <cx:binSize val="25"/>
            </cx:binning>
          </cx:layoutPr>
        </cx:series>
      </cx:plotAreaRegion>
      <cx:axis id="0">
        <cx:catScaling gapWidth="0"/>
        <cx:tickLabels/>
      </cx:axis>
      <cx:axis id="1">
        <cx:valScaling/>
        <cx:majorGridlines/>
        <cx:tickLabels/>
      </cx:axis>
    </cx:plotArea>
  </cx:chart>
</cx:chartSpace>
</file>

<file path=xl/charts/chartEx18.xml><?xml version="1.0" encoding="utf-8"?>
<cx:chartSpace xmlns:a="http://schemas.openxmlformats.org/drawingml/2006/main" xmlns:r="http://schemas.openxmlformats.org/officeDocument/2006/relationships" xmlns:cx="http://schemas.microsoft.com/office/drawing/2014/chartex">
  <cx:chartData>
    <cx:data id="0">
      <cx:numDim type="val">
        <cx:f>_xlchart.v1.18</cx:f>
      </cx:numDim>
    </cx:data>
  </cx:chartData>
  <cx:chart>
    <cx:title pos="t" align="ctr" overlay="0">
      <cx:tx>
        <cx:txData>
          <cx:v>HVPS1 Leakage Current @6.5 kV, 50 degC</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HVPS1 Leakage Current @6.5 kV, 50 degC</a:t>
          </a:r>
        </a:p>
      </cx:txPr>
    </cx:title>
    <cx:plotArea>
      <cx:plotAreaRegion>
        <cx:series layoutId="clusteredColumn" uniqueId="{67C201C7-49C3-41F4-A468-F7AA12C6B461}">
          <cx:dataId val="0"/>
          <cx:layoutPr>
            <cx:binning intervalClosed="r" overflow="2000">
              <cx:binSize val="50"/>
            </cx:binning>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3.xml"/><Relationship Id="rId2" Type="http://schemas.microsoft.com/office/2014/relationships/chartEx" Target="../charts/chartEx2.xml"/><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microsoft.com/office/2014/relationships/chartEx" Target="../charts/chartEx6.xml"/><Relationship Id="rId2" Type="http://schemas.microsoft.com/office/2014/relationships/chartEx" Target="../charts/chartEx5.xml"/><Relationship Id="rId1" Type="http://schemas.microsoft.com/office/2014/relationships/chartEx" Target="../charts/chartEx4.xml"/></Relationships>
</file>

<file path=xl/drawings/_rels/drawing3.xml.rels><?xml version="1.0" encoding="UTF-8" standalone="yes"?>
<Relationships xmlns="http://schemas.openxmlformats.org/package/2006/relationships"><Relationship Id="rId3" Type="http://schemas.microsoft.com/office/2014/relationships/chartEx" Target="../charts/chartEx9.xml"/><Relationship Id="rId2" Type="http://schemas.microsoft.com/office/2014/relationships/chartEx" Target="../charts/chartEx8.xml"/><Relationship Id="rId1" Type="http://schemas.microsoft.com/office/2014/relationships/chartEx" Target="../charts/chartEx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2" Type="http://schemas.microsoft.com/office/2014/relationships/chartEx" Target="../charts/chartEx10.xml"/><Relationship Id="rId1" Type="http://schemas.openxmlformats.org/officeDocument/2006/relationships/chart" Target="../charts/chart2.xml"/></Relationships>
</file>

<file path=xl/drawings/_rels/drawing9.xml.rels><?xml version="1.0" encoding="UTF-8" standalone="yes"?>
<Relationships xmlns="http://schemas.openxmlformats.org/package/2006/relationships"><Relationship Id="rId3" Type="http://schemas.microsoft.com/office/2014/relationships/chartEx" Target="../charts/chartEx13.xml"/><Relationship Id="rId2" Type="http://schemas.microsoft.com/office/2014/relationships/chartEx" Target="../charts/chartEx12.xml"/><Relationship Id="rId1" Type="http://schemas.microsoft.com/office/2014/relationships/chartEx" Target="../charts/chartEx11.xml"/><Relationship Id="rId4" Type="http://schemas.microsoft.com/office/2014/relationships/chartEx" Target="../charts/chartEx14.xml"/></Relationships>
</file>

<file path=xl/drawings/_rels/drawing10.xml.rels><?xml version="1.0" encoding="UTF-8" standalone="yes"?>
<Relationships xmlns="http://schemas.openxmlformats.org/package/2006/relationships"><Relationship Id="rId3" Type="http://schemas.microsoft.com/office/2014/relationships/chartEx" Target="../charts/chartEx17.xml"/><Relationship Id="rId2" Type="http://schemas.microsoft.com/office/2014/relationships/chartEx" Target="../charts/chartEx16.xml"/><Relationship Id="rId1" Type="http://schemas.microsoft.com/office/2014/relationships/chartEx" Target="../charts/chartEx15.xml"/><Relationship Id="rId4" Type="http://schemas.microsoft.com/office/2014/relationships/chartEx" Target="../charts/chartEx18.xml"/></Relationships>
</file>

<file path=xl/drawings/drawing1.xml><?xml version="1.0" encoding="utf-8"?>
<xdr:wsDr xmlns:xdr="http://schemas.openxmlformats.org/drawingml/2006/spreadsheetDrawing" xmlns:a="http://schemas.openxmlformats.org/drawingml/2006/main">
  <xdr:twoCellAnchor>
    <xdr:from>
      <xdr:col>23</xdr:col>
      <xdr:colOff>0</xdr:colOff>
      <xdr:row>4</xdr:row>
      <xdr:rowOff>180975</xdr:rowOff>
    </xdr:from>
    <xdr:to>
      <xdr:col>30</xdr:col>
      <xdr:colOff>304800</xdr:colOff>
      <xdr:row>17</xdr:row>
      <xdr:rowOff>171450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6211550" y="942975"/>
              <a:ext cx="4572000" cy="25812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23</xdr:col>
      <xdr:colOff>4762</xdr:colOff>
      <xdr:row>20</xdr:row>
      <xdr:rowOff>0</xdr:rowOff>
    </xdr:from>
    <xdr:to>
      <xdr:col>30</xdr:col>
      <xdr:colOff>309562</xdr:colOff>
      <xdr:row>33</xdr:row>
      <xdr:rowOff>180975</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6216312" y="3962400"/>
              <a:ext cx="4572000" cy="27908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23</xdr:col>
      <xdr:colOff>4762</xdr:colOff>
      <xdr:row>36</xdr:row>
      <xdr:rowOff>0</xdr:rowOff>
    </xdr:from>
    <xdr:to>
      <xdr:col>30</xdr:col>
      <xdr:colOff>309562</xdr:colOff>
      <xdr:row>50</xdr:row>
      <xdr:rowOff>38100</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6216312" y="7162800"/>
              <a:ext cx="4572000" cy="27241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9</xdr:col>
      <xdr:colOff>14287</xdr:colOff>
      <xdr:row>3</xdr:row>
      <xdr:rowOff>180975</xdr:rowOff>
    </xdr:from>
    <xdr:to>
      <xdr:col>16</xdr:col>
      <xdr:colOff>319087</xdr:colOff>
      <xdr:row>18</xdr:row>
      <xdr:rowOff>57150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777037" y="89535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4762</xdr:colOff>
      <xdr:row>19</xdr:row>
      <xdr:rowOff>180975</xdr:rowOff>
    </xdr:from>
    <xdr:to>
      <xdr:col>16</xdr:col>
      <xdr:colOff>309562</xdr:colOff>
      <xdr:row>34</xdr:row>
      <xdr:rowOff>66675</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767512" y="3952875"/>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14287</xdr:colOff>
      <xdr:row>36</xdr:row>
      <xdr:rowOff>0</xdr:rowOff>
    </xdr:from>
    <xdr:to>
      <xdr:col>16</xdr:col>
      <xdr:colOff>319087</xdr:colOff>
      <xdr:row>50</xdr:row>
      <xdr:rowOff>76200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6777037" y="70104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14</xdr:col>
      <xdr:colOff>0</xdr:colOff>
      <xdr:row>3</xdr:row>
      <xdr:rowOff>0</xdr:rowOff>
    </xdr:from>
    <xdr:to>
      <xdr:col>21</xdr:col>
      <xdr:colOff>304800</xdr:colOff>
      <xdr:row>17</xdr:row>
      <xdr:rowOff>76200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9725025" y="5715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4762</xdr:colOff>
      <xdr:row>19</xdr:row>
      <xdr:rowOff>0</xdr:rowOff>
    </xdr:from>
    <xdr:to>
      <xdr:col>21</xdr:col>
      <xdr:colOff>309562</xdr:colOff>
      <xdr:row>33</xdr:row>
      <xdr:rowOff>76200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9729787" y="36195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4762</xdr:colOff>
      <xdr:row>35</xdr:row>
      <xdr:rowOff>0</xdr:rowOff>
    </xdr:from>
    <xdr:to>
      <xdr:col>21</xdr:col>
      <xdr:colOff>309562</xdr:colOff>
      <xdr:row>49</xdr:row>
      <xdr:rowOff>76200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9729787" y="66675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17</xdr:col>
      <xdr:colOff>77258</xdr:colOff>
      <xdr:row>6</xdr:row>
      <xdr:rowOff>176742</xdr:rowOff>
    </xdr:from>
    <xdr:ext cx="957763" cy="468077"/>
    <xdr:sp macro="" textlink="">
      <xdr:nvSpPr>
        <xdr:cNvPr id="2" name="TextBox 1">
          <a:extLst>
            <a:ext uri="{FF2B5EF4-FFF2-40B4-BE49-F238E27FC236}">
              <a16:creationId xmlns:a16="http://schemas.microsoft.com/office/drawing/2014/main" id="{00000000-0008-0000-0400-000002000000}"/>
            </a:ext>
          </a:extLst>
        </xdr:cNvPr>
        <xdr:cNvSpPr txBox="1"/>
      </xdr:nvSpPr>
      <xdr:spPr>
        <a:xfrm>
          <a:off x="11676591" y="1319742"/>
          <a:ext cx="957763" cy="468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a:t>mean = 38.3</a:t>
          </a:r>
        </a:p>
        <a:p>
          <a:r>
            <a:rPr lang="en-US" sz="1200"/>
            <a:t>std = 29.6</a:t>
          </a:r>
        </a:p>
      </xdr:txBody>
    </xdr:sp>
    <xdr:clientData/>
  </xdr:oneCellAnchor>
  <xdr:oneCellAnchor>
    <xdr:from>
      <xdr:col>17</xdr:col>
      <xdr:colOff>8467</xdr:colOff>
      <xdr:row>22</xdr:row>
      <xdr:rowOff>56091</xdr:rowOff>
    </xdr:from>
    <xdr:ext cx="1035733" cy="468077"/>
    <xdr:sp macro="" textlink="">
      <xdr:nvSpPr>
        <xdr:cNvPr id="6" name="TextBox 5">
          <a:extLst>
            <a:ext uri="{FF2B5EF4-FFF2-40B4-BE49-F238E27FC236}">
              <a16:creationId xmlns:a16="http://schemas.microsoft.com/office/drawing/2014/main" id="{00000000-0008-0000-0400-000006000000}"/>
            </a:ext>
          </a:extLst>
        </xdr:cNvPr>
        <xdr:cNvSpPr txBox="1"/>
      </xdr:nvSpPr>
      <xdr:spPr>
        <a:xfrm>
          <a:off x="11607800" y="4247091"/>
          <a:ext cx="1035733" cy="468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a:t>mean = 105.4</a:t>
          </a:r>
        </a:p>
        <a:p>
          <a:r>
            <a:rPr lang="en-US" sz="1200"/>
            <a:t>std = 92.2</a:t>
          </a: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4</xdr:col>
      <xdr:colOff>200025</xdr:colOff>
      <xdr:row>42</xdr:row>
      <xdr:rowOff>95249</xdr:rowOff>
    </xdr:from>
    <xdr:ext cx="5105400" cy="2343151"/>
    <xdr:sp macro="" textlink="">
      <xdr:nvSpPr>
        <xdr:cNvPr id="2" name="TextBox 1">
          <a:extLst>
            <a:ext uri="{FF2B5EF4-FFF2-40B4-BE49-F238E27FC236}">
              <a16:creationId xmlns:a16="http://schemas.microsoft.com/office/drawing/2014/main" id="{00000000-0008-0000-0600-000002000000}"/>
            </a:ext>
          </a:extLst>
        </xdr:cNvPr>
        <xdr:cNvSpPr txBox="1"/>
      </xdr:nvSpPr>
      <xdr:spPr>
        <a:xfrm>
          <a:off x="2638425" y="7776209"/>
          <a:ext cx="5105400" cy="23431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a:t>All tests performed with Fluke</a:t>
          </a:r>
          <a:r>
            <a:rPr lang="en-US" sz="1400" b="1" baseline="0"/>
            <a:t> 1555 10KV insulation tester.  Stack test current measured in uA.  Each individual device measured in mA with a 5 meg ohm, 5 watt, 1% resistor in parallel with the device.</a:t>
          </a:r>
          <a:endParaRPr lang="en-US" sz="1400" b="1"/>
        </a:p>
      </xdr:txBody>
    </xdr:sp>
    <xdr:clientData/>
  </xdr:oneCellAnchor>
</xdr:wsDr>
</file>

<file path=xl/drawings/drawing5.xml><?xml version="1.0" encoding="utf-8"?>
<xdr:wsDr xmlns:xdr="http://schemas.openxmlformats.org/drawingml/2006/spreadsheetDrawing" xmlns:a="http://schemas.openxmlformats.org/drawingml/2006/main">
  <xdr:twoCellAnchor>
    <xdr:from>
      <xdr:col>4</xdr:col>
      <xdr:colOff>605790</xdr:colOff>
      <xdr:row>1</xdr:row>
      <xdr:rowOff>179070</xdr:rowOff>
    </xdr:from>
    <xdr:to>
      <xdr:col>12</xdr:col>
      <xdr:colOff>300990</xdr:colOff>
      <xdr:row>16</xdr:row>
      <xdr:rowOff>179070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oneCellAnchor>
    <xdr:from>
      <xdr:col>0</xdr:col>
      <xdr:colOff>323851</xdr:colOff>
      <xdr:row>2</xdr:row>
      <xdr:rowOff>19051</xdr:rowOff>
    </xdr:from>
    <xdr:ext cx="5267324" cy="619124"/>
    <xdr:sp macro="" textlink="">
      <xdr:nvSpPr>
        <xdr:cNvPr id="2" name="TextBox 1">
          <a:extLst>
            <a:ext uri="{FF2B5EF4-FFF2-40B4-BE49-F238E27FC236}">
              <a16:creationId xmlns:a16="http://schemas.microsoft.com/office/drawing/2014/main" id="{00000000-0008-0000-0900-000002000000}"/>
            </a:ext>
          </a:extLst>
        </xdr:cNvPr>
        <xdr:cNvSpPr txBox="1"/>
      </xdr:nvSpPr>
      <xdr:spPr>
        <a:xfrm>
          <a:off x="323851" y="384811"/>
          <a:ext cx="5267324" cy="6191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1100"/>
        </a:p>
      </xdr:txBody>
    </xdr:sp>
    <xdr:clientData/>
  </xdr:oneCellAnchor>
  <xdr:twoCellAnchor>
    <xdr:from>
      <xdr:col>1</xdr:col>
      <xdr:colOff>28575</xdr:colOff>
      <xdr:row>2</xdr:row>
      <xdr:rowOff>38100</xdr:rowOff>
    </xdr:from>
    <xdr:to>
      <xdr:col>9</xdr:col>
      <xdr:colOff>9525</xdr:colOff>
      <xdr:row>7</xdr:row>
      <xdr:rowOff>0</xdr:rowOff>
    </xdr:to>
    <xdr:sp macro="" textlink="">
      <xdr:nvSpPr>
        <xdr:cNvPr id="3" name="TextBox 2">
          <a:extLst>
            <a:ext uri="{FF2B5EF4-FFF2-40B4-BE49-F238E27FC236}">
              <a16:creationId xmlns:a16="http://schemas.microsoft.com/office/drawing/2014/main" id="{00000000-0008-0000-0900-000003000000}"/>
            </a:ext>
          </a:extLst>
        </xdr:cNvPr>
        <xdr:cNvSpPr txBox="1"/>
      </xdr:nvSpPr>
      <xdr:spPr>
        <a:xfrm>
          <a:off x="638175" y="403860"/>
          <a:ext cx="4857750" cy="876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Supply hipot testing performed with crowbar stacks and crowbar</a:t>
          </a:r>
          <a:r>
            <a:rPr lang="en-US" sz="1100" baseline="0"/>
            <a:t> snubber resistors removed.</a:t>
          </a:r>
        </a:p>
        <a:p>
          <a:r>
            <a:rPr lang="en-US" sz="1100" baseline="0"/>
            <a:t>Hipot test set used (High Voltage Inc. 130 KVDC, 10 mA) has analog volt and current meters.</a:t>
          </a:r>
          <a:endParaRPr lang="en-US" sz="1100"/>
        </a:p>
      </xdr:txBody>
    </xdr:sp>
    <xdr:clientData/>
  </xdr:twoCellAnchor>
  <xdr:oneCellAnchor>
    <xdr:from>
      <xdr:col>13</xdr:col>
      <xdr:colOff>323851</xdr:colOff>
      <xdr:row>2</xdr:row>
      <xdr:rowOff>19051</xdr:rowOff>
    </xdr:from>
    <xdr:ext cx="5267324" cy="619124"/>
    <xdr:sp macro="" textlink="">
      <xdr:nvSpPr>
        <xdr:cNvPr id="4" name="TextBox 3">
          <a:extLst>
            <a:ext uri="{FF2B5EF4-FFF2-40B4-BE49-F238E27FC236}">
              <a16:creationId xmlns:a16="http://schemas.microsoft.com/office/drawing/2014/main" id="{00000000-0008-0000-0900-000004000000}"/>
            </a:ext>
          </a:extLst>
        </xdr:cNvPr>
        <xdr:cNvSpPr txBox="1"/>
      </xdr:nvSpPr>
      <xdr:spPr>
        <a:xfrm>
          <a:off x="8248651" y="384811"/>
          <a:ext cx="5267324" cy="6191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1100"/>
        </a:p>
      </xdr:txBody>
    </xdr:sp>
    <xdr:clientData/>
  </xdr:oneCellAnchor>
  <xdr:twoCellAnchor>
    <xdr:from>
      <xdr:col>14</xdr:col>
      <xdr:colOff>28575</xdr:colOff>
      <xdr:row>2</xdr:row>
      <xdr:rowOff>38100</xdr:rowOff>
    </xdr:from>
    <xdr:to>
      <xdr:col>22</xdr:col>
      <xdr:colOff>9525</xdr:colOff>
      <xdr:row>8</xdr:row>
      <xdr:rowOff>152400</xdr:rowOff>
    </xdr:to>
    <xdr:sp macro="" textlink="">
      <xdr:nvSpPr>
        <xdr:cNvPr id="5" name="TextBox 4">
          <a:extLst>
            <a:ext uri="{FF2B5EF4-FFF2-40B4-BE49-F238E27FC236}">
              <a16:creationId xmlns:a16="http://schemas.microsoft.com/office/drawing/2014/main" id="{00000000-0008-0000-0900-000005000000}"/>
            </a:ext>
          </a:extLst>
        </xdr:cNvPr>
        <xdr:cNvSpPr txBox="1"/>
      </xdr:nvSpPr>
      <xdr:spPr>
        <a:xfrm>
          <a:off x="8562975" y="403860"/>
          <a:ext cx="4857750" cy="12115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Supply hipot testing performed after newly</a:t>
          </a:r>
          <a:r>
            <a:rPr lang="en-US" sz="1100" baseline="0"/>
            <a:t> rebuilt crowbar stacks installed and 13 main tank rectifier  filter/current limiting resistors changed out (32 resistors total in tank).  Crowbar snubber resistors installed.  The 500 ohm filter resistors were out of tolerance band (450-550 ohms) either high or low (mostly low).  Stage 3 rectifier swapped with spare from building 725.  Hipot set for individual stages = Phenix Technologies 40 KVDC, 20 mA with digital voltage and current meters.   Overall and stage 1-3 tests done with same hipotter as used on 24 Aug 2018.</a:t>
          </a:r>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190500</xdr:colOff>
      <xdr:row>32</xdr:row>
      <xdr:rowOff>104775</xdr:rowOff>
    </xdr:from>
    <xdr:to>
      <xdr:col>17</xdr:col>
      <xdr:colOff>371475</xdr:colOff>
      <xdr:row>42</xdr:row>
      <xdr:rowOff>180975</xdr:rowOff>
    </xdr:to>
    <xdr:sp macro="" textlink="">
      <xdr:nvSpPr>
        <xdr:cNvPr id="2" name="TextBox 1">
          <a:extLst>
            <a:ext uri="{FF2B5EF4-FFF2-40B4-BE49-F238E27FC236}">
              <a16:creationId xmlns:a16="http://schemas.microsoft.com/office/drawing/2014/main" id="{00000000-0008-0000-0A00-000002000000}"/>
            </a:ext>
          </a:extLst>
        </xdr:cNvPr>
        <xdr:cNvSpPr txBox="1"/>
      </xdr:nvSpPr>
      <xdr:spPr>
        <a:xfrm>
          <a:off x="190500" y="6200775"/>
          <a:ext cx="9934575" cy="1981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Conclusions:</a:t>
          </a:r>
          <a:r>
            <a:rPr lang="en-US" sz="1200" baseline="0"/>
            <a:t>  Keep in mind, main rectifier stack 3 from Spear 2 suffered a fully shorted stack during the failure of the return bushing in 2016.  We also replaced the filter cap across stack 3 as a precaution.  The other 5 main rectifier stacks and the filter box stacks in #3 were basically ohmed and diode checked at low volts/amps--not checked at HV except during the thru-wall test at 25 KV.  The stage test does not check each stack individually--but, as you can see from the left hand chart, stack 3 shows leakage current well above the 1st two identical stages (26 KV each).  As you can see from the right-most chart, all 6 diode stacks are weak with high leakage compared both to the spare stack (middle chart) and the overall leakages seen for stacks 1 + 2 during the stage to stage hipots.</a:t>
          </a:r>
        </a:p>
        <a:p>
          <a:endParaRPr lang="en-US" sz="1200" baseline="0"/>
        </a:p>
        <a:p>
          <a:r>
            <a:rPr lang="en-US" sz="1200" baseline="0"/>
            <a:t>We have a smoking gun explanation now as to why we see higher leakage current on stack 3 overall and why the leakage current with new stack installed in the #3 main rectifier location in the main tank is much lower now (approx. 2 mA less).  In the future, if we see leakages above 6 mA on any stage (perhaps 4 mA on stage 4), we should replace that stack.  It maybe stack 3 would have functioned normally for a long time to come with higher reverse diode leakage, but it might be best to just change it out.  But that decision is "above my pay grade".</a:t>
          </a:r>
          <a:endParaRPr lang="en-US" sz="1200"/>
        </a:p>
      </xdr:txBody>
    </xdr:sp>
    <xdr:clientData/>
  </xdr:twoCellAnchor>
  <xdr:twoCellAnchor>
    <xdr:from>
      <xdr:col>14</xdr:col>
      <xdr:colOff>295275</xdr:colOff>
      <xdr:row>10</xdr:row>
      <xdr:rowOff>38101</xdr:rowOff>
    </xdr:from>
    <xdr:to>
      <xdr:col>17</xdr:col>
      <xdr:colOff>295275</xdr:colOff>
      <xdr:row>17</xdr:row>
      <xdr:rowOff>57151</xdr:rowOff>
    </xdr:to>
    <xdr:sp macro="" textlink="">
      <xdr:nvSpPr>
        <xdr:cNvPr id="3" name="TextBox 2">
          <a:extLst>
            <a:ext uri="{FF2B5EF4-FFF2-40B4-BE49-F238E27FC236}">
              <a16:creationId xmlns:a16="http://schemas.microsoft.com/office/drawing/2014/main" id="{00000000-0008-0000-0A00-000003000000}"/>
            </a:ext>
          </a:extLst>
        </xdr:cNvPr>
        <xdr:cNvSpPr txBox="1"/>
      </xdr:nvSpPr>
      <xdr:spPr>
        <a:xfrm>
          <a:off x="8220075" y="1943101"/>
          <a:ext cx="1828800" cy="1352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  hipot tests done on spare and #3 main</a:t>
          </a:r>
          <a:r>
            <a:rPr lang="en-US" sz="1100" baseline="0"/>
            <a:t> rectifier stacks performed with 500 ohm current limiting filter resistors removed to isolate filter box diode cards from main rectifier diode stacks.</a:t>
          </a:r>
          <a:endParaRPr lang="en-US" sz="1100"/>
        </a:p>
      </xdr:txBody>
    </xdr:sp>
    <xdr:clientData/>
  </xdr:twoCellAnchor>
  <xdr:twoCellAnchor>
    <xdr:from>
      <xdr:col>1</xdr:col>
      <xdr:colOff>47625</xdr:colOff>
      <xdr:row>21</xdr:row>
      <xdr:rowOff>142876</xdr:rowOff>
    </xdr:from>
    <xdr:to>
      <xdr:col>8</xdr:col>
      <xdr:colOff>352425</xdr:colOff>
      <xdr:row>31</xdr:row>
      <xdr:rowOff>171450</xdr:rowOff>
    </xdr:to>
    <xdr:sp macro="" textlink="">
      <xdr:nvSpPr>
        <xdr:cNvPr id="4" name="TextBox 3">
          <a:extLst>
            <a:ext uri="{FF2B5EF4-FFF2-40B4-BE49-F238E27FC236}">
              <a16:creationId xmlns:a16="http://schemas.microsoft.com/office/drawing/2014/main" id="{00000000-0008-0000-0A00-000004000000}"/>
            </a:ext>
          </a:extLst>
        </xdr:cNvPr>
        <xdr:cNvSpPr txBox="1"/>
      </xdr:nvSpPr>
      <xdr:spPr>
        <a:xfrm>
          <a:off x="657225" y="4143376"/>
          <a:ext cx="4572000" cy="19335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Note:  tested filter box</a:t>
          </a:r>
          <a:r>
            <a:rPr lang="en-US" sz="1100" baseline="0">
              <a:solidFill>
                <a:schemeClr val="dk1"/>
              </a:solidFill>
              <a:effectLst/>
              <a:latin typeface="+mn-lt"/>
              <a:ea typeface="+mn-ea"/>
              <a:cs typeface="+mn-cs"/>
            </a:rPr>
            <a:t> diodes @ 10 KV in free air.  Attempted 20 KV on the pos. side of spare box "C" phase:  current climbed and I could smell pretty rapid heating of oil sheen on components.  Tested this side again @ 10 KV and did low volts diode tests again to make sure no devices shorted.  It appears there are probably air gap standoff issues as well with the cards so close together.  The main rectifier stacks are rated @ 57 KVDC, but the standoff of the filter box diodes and RC's is unknown to me.  I felt it would be safest to the filter box components to test at 10 KV.  The comparison of  reverse leakage currents between spare stack filter boxes and #3's leakage currents are similar.  Keep in mind, these  components are OLD and we don't have a tolerance band except on the snubber resistors (5%).</a:t>
          </a:r>
          <a:endParaRPr lang="en-US">
            <a:effectLst/>
          </a:endParaRPr>
        </a:p>
        <a:p>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9</xdr:col>
      <xdr:colOff>9525</xdr:colOff>
      <xdr:row>2</xdr:row>
      <xdr:rowOff>180975</xdr:rowOff>
    </xdr:from>
    <xdr:to>
      <xdr:col>16</xdr:col>
      <xdr:colOff>314325</xdr:colOff>
      <xdr:row>17</xdr:row>
      <xdr:rowOff>66675</xdr:rowOff>
    </xdr:to>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14286</xdr:colOff>
      <xdr:row>17</xdr:row>
      <xdr:rowOff>190499</xdr:rowOff>
    </xdr:from>
    <xdr:to>
      <xdr:col>17</xdr:col>
      <xdr:colOff>561975</xdr:colOff>
      <xdr:row>37</xdr:row>
      <xdr:rowOff>9524</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00000000-0008-0000-0B00-000005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500686" y="3428999"/>
              <a:ext cx="5424489" cy="36290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14</xdr:col>
      <xdr:colOff>152400</xdr:colOff>
      <xdr:row>23</xdr:row>
      <xdr:rowOff>38100</xdr:rowOff>
    </xdr:from>
    <xdr:ext cx="918906" cy="468077"/>
    <xdr:sp macro="" textlink="">
      <xdr:nvSpPr>
        <xdr:cNvPr id="6" name="TextBox 5">
          <a:extLst>
            <a:ext uri="{FF2B5EF4-FFF2-40B4-BE49-F238E27FC236}">
              <a16:creationId xmlns:a16="http://schemas.microsoft.com/office/drawing/2014/main" id="{00000000-0008-0000-0B00-000006000000}"/>
            </a:ext>
          </a:extLst>
        </xdr:cNvPr>
        <xdr:cNvSpPr txBox="1"/>
      </xdr:nvSpPr>
      <xdr:spPr>
        <a:xfrm>
          <a:off x="8686800" y="4419600"/>
          <a:ext cx="918906" cy="468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200" b="0" i="0" baseline="0">
              <a:solidFill>
                <a:schemeClr val="tx1"/>
              </a:solidFill>
              <a:effectLst/>
              <a:latin typeface="+mn-lt"/>
              <a:ea typeface="+mn-ea"/>
              <a:cs typeface="+mn-cs"/>
            </a:rPr>
            <a:t>mean = 225</a:t>
          </a:r>
        </a:p>
        <a:p>
          <a:pPr marL="0" marR="0" lvl="0" indent="0" defTabSz="914400" eaLnBrk="1" fontAlgn="auto" latinLnBrk="0" hangingPunct="1">
            <a:lnSpc>
              <a:spcPct val="100000"/>
            </a:lnSpc>
            <a:spcBef>
              <a:spcPts val="0"/>
            </a:spcBef>
            <a:spcAft>
              <a:spcPts val="0"/>
            </a:spcAft>
            <a:buClrTx/>
            <a:buSzTx/>
            <a:buFontTx/>
            <a:buNone/>
            <a:tabLst/>
            <a:defRPr/>
          </a:pPr>
          <a:r>
            <a:rPr lang="en-US" sz="1200" b="0" i="0" baseline="0">
              <a:solidFill>
                <a:schemeClr val="tx1"/>
              </a:solidFill>
              <a:effectLst/>
              <a:latin typeface="+mn-lt"/>
              <a:ea typeface="+mn-ea"/>
              <a:cs typeface="+mn-cs"/>
            </a:rPr>
            <a:t>std = 62</a:t>
          </a:r>
          <a:endParaRPr lang="en-US" sz="1200">
            <a:effectLst/>
          </a:endParaRPr>
        </a:p>
      </xdr:txBody>
    </xdr:sp>
    <xdr:clientData/>
  </xdr:oneCellAnchor>
</xdr:wsDr>
</file>

<file path=xl/drawings/drawing9.xml><?xml version="1.0" encoding="utf-8"?>
<xdr:wsDr xmlns:xdr="http://schemas.openxmlformats.org/drawingml/2006/spreadsheetDrawing" xmlns:a="http://schemas.openxmlformats.org/drawingml/2006/main">
  <xdr:twoCellAnchor>
    <xdr:from>
      <xdr:col>30</xdr:col>
      <xdr:colOff>0</xdr:colOff>
      <xdr:row>5</xdr:row>
      <xdr:rowOff>0</xdr:rowOff>
    </xdr:from>
    <xdr:to>
      <xdr:col>37</xdr:col>
      <xdr:colOff>304800</xdr:colOff>
      <xdr:row>18</xdr:row>
      <xdr:rowOff>142875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00000000-0008-0000-0C00-000002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9097625" y="1114425"/>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30</xdr:col>
      <xdr:colOff>4762</xdr:colOff>
      <xdr:row>20</xdr:row>
      <xdr:rowOff>0</xdr:rowOff>
    </xdr:from>
    <xdr:to>
      <xdr:col>37</xdr:col>
      <xdr:colOff>309562</xdr:colOff>
      <xdr:row>33</xdr:row>
      <xdr:rowOff>142875</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00000000-0008-0000-0C00-000003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9102387" y="41148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38</xdr:col>
      <xdr:colOff>4762</xdr:colOff>
      <xdr:row>58</xdr:row>
      <xdr:rowOff>0</xdr:rowOff>
    </xdr:from>
    <xdr:to>
      <xdr:col>45</xdr:col>
      <xdr:colOff>309562</xdr:colOff>
      <xdr:row>71</xdr:row>
      <xdr:rowOff>142875</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00000000-0008-0000-0C00-000004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3979187" y="1175385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38</xdr:col>
      <xdr:colOff>4762</xdr:colOff>
      <xdr:row>73</xdr:row>
      <xdr:rowOff>0</xdr:rowOff>
    </xdr:from>
    <xdr:to>
      <xdr:col>45</xdr:col>
      <xdr:colOff>309562</xdr:colOff>
      <xdr:row>86</xdr:row>
      <xdr:rowOff>142875</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00000000-0008-0000-0C00-000005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3979187" y="14754225"/>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28</xdr:col>
      <xdr:colOff>0</xdr:colOff>
      <xdr:row>1</xdr:row>
      <xdr:rowOff>752475</xdr:rowOff>
    </xdr:from>
    <xdr:to>
      <xdr:col>35</xdr:col>
      <xdr:colOff>304800</xdr:colOff>
      <xdr:row>13</xdr:row>
      <xdr:rowOff>66675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367B175D-B559-4543-8B6B-69AAE2BA0FF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7068800" y="942975"/>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28</xdr:col>
      <xdr:colOff>14287</xdr:colOff>
      <xdr:row>14</xdr:row>
      <xdr:rowOff>9525</xdr:rowOff>
    </xdr:from>
    <xdr:to>
      <xdr:col>35</xdr:col>
      <xdr:colOff>319087</xdr:colOff>
      <xdr:row>27</xdr:row>
      <xdr:rowOff>85725</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8DB7EBAB-125B-4276-B2AB-EE4C3954D74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7083087" y="3819525"/>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36</xdr:col>
      <xdr:colOff>14287</xdr:colOff>
      <xdr:row>1</xdr:row>
      <xdr:rowOff>752475</xdr:rowOff>
    </xdr:from>
    <xdr:to>
      <xdr:col>43</xdr:col>
      <xdr:colOff>319087</xdr:colOff>
      <xdr:row>13</xdr:row>
      <xdr:rowOff>66675</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E44026E1-A4FD-4132-AF56-F1C6503A11D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1959887" y="942975"/>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36</xdr:col>
      <xdr:colOff>14287</xdr:colOff>
      <xdr:row>14</xdr:row>
      <xdr:rowOff>0</xdr:rowOff>
    </xdr:from>
    <xdr:to>
      <xdr:col>43</xdr:col>
      <xdr:colOff>319087</xdr:colOff>
      <xdr:row>27</xdr:row>
      <xdr:rowOff>76200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68043858-58F6-4A9D-AE22-38D265EA8C6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1959887" y="38100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3"/>
  <sheetViews>
    <sheetView workbookViewId="0">
      <selection activeCell="A20" sqref="A20"/>
    </sheetView>
  </sheetViews>
  <sheetFormatPr defaultRowHeight="15" x14ac:dyDescent="0.25"/>
  <cols>
    <col min="1" max="1" width="31.5703125" customWidth="1"/>
    <col min="2" max="2" width="11" customWidth="1"/>
    <col min="3" max="3" width="13.85546875" customWidth="1"/>
    <col min="4" max="4" width="11.28515625" style="1" customWidth="1"/>
  </cols>
  <sheetData>
    <row r="1" spans="1:12" ht="30" x14ac:dyDescent="0.25">
      <c r="A1" s="2" t="s">
        <v>0</v>
      </c>
      <c r="B1" s="1"/>
      <c r="C1" s="7" t="s">
        <v>27</v>
      </c>
      <c r="E1" s="6"/>
      <c r="F1" s="6"/>
      <c r="G1" s="6"/>
      <c r="H1" s="6"/>
      <c r="I1" s="6"/>
      <c r="J1" s="6"/>
      <c r="K1" s="1"/>
      <c r="L1" s="1"/>
    </row>
    <row r="2" spans="1:12" ht="15.75" x14ac:dyDescent="0.25">
      <c r="A2" s="2"/>
      <c r="B2" s="1"/>
      <c r="C2" s="3"/>
      <c r="E2" s="6"/>
      <c r="F2" s="6"/>
      <c r="G2" s="6"/>
      <c r="H2" s="6"/>
      <c r="I2" s="6"/>
      <c r="J2" s="6"/>
      <c r="K2" s="1"/>
      <c r="L2" s="1"/>
    </row>
    <row r="3" spans="1:12" x14ac:dyDescent="0.25">
      <c r="A3" s="6" t="s">
        <v>26</v>
      </c>
      <c r="B3" s="6"/>
      <c r="C3" s="6"/>
      <c r="E3" s="1"/>
      <c r="F3" s="1"/>
      <c r="G3" s="1"/>
      <c r="H3" s="1"/>
      <c r="I3" s="1"/>
      <c r="J3" s="1"/>
      <c r="K3" s="1"/>
      <c r="L3" s="1"/>
    </row>
    <row r="4" spans="1:12" ht="15.75" thickBot="1" x14ac:dyDescent="0.3">
      <c r="A4" s="6"/>
      <c r="B4" s="6"/>
      <c r="C4" s="6"/>
      <c r="E4" s="1"/>
      <c r="F4" s="1"/>
      <c r="G4" s="1"/>
      <c r="H4" s="1"/>
      <c r="I4" s="1"/>
      <c r="J4" s="1"/>
      <c r="K4" s="1"/>
      <c r="L4" s="1"/>
    </row>
    <row r="5" spans="1:12" x14ac:dyDescent="0.25">
      <c r="A5" s="11" t="s">
        <v>9</v>
      </c>
      <c r="B5" s="1" t="s">
        <v>5</v>
      </c>
      <c r="C5" s="3" t="s">
        <v>7</v>
      </c>
      <c r="D5" s="4" t="s">
        <v>13</v>
      </c>
      <c r="E5" s="1" t="s">
        <v>16</v>
      </c>
      <c r="F5" s="1"/>
      <c r="G5" s="1"/>
      <c r="H5" s="1"/>
      <c r="I5" s="1"/>
      <c r="J5" s="1"/>
      <c r="K5" s="1"/>
      <c r="L5" s="1"/>
    </row>
    <row r="6" spans="1:12" ht="15.75" thickBot="1" x14ac:dyDescent="0.3">
      <c r="A6" s="12" t="s">
        <v>10</v>
      </c>
      <c r="B6" s="1" t="s">
        <v>6</v>
      </c>
      <c r="C6" s="3" t="s">
        <v>8</v>
      </c>
      <c r="D6" s="1" t="s">
        <v>14</v>
      </c>
      <c r="E6" s="1" t="s">
        <v>17</v>
      </c>
      <c r="F6" s="1"/>
      <c r="G6" s="1"/>
      <c r="H6" s="1"/>
      <c r="I6" s="1"/>
      <c r="J6" s="1"/>
      <c r="K6" s="1"/>
      <c r="L6" s="1"/>
    </row>
    <row r="7" spans="1:12" x14ac:dyDescent="0.25">
      <c r="A7" s="1"/>
      <c r="B7" s="1"/>
      <c r="C7" s="3" t="s">
        <v>19</v>
      </c>
      <c r="D7" s="1" t="s">
        <v>15</v>
      </c>
      <c r="E7" s="1" t="s">
        <v>15</v>
      </c>
      <c r="F7" s="1"/>
      <c r="G7" s="1"/>
      <c r="H7" s="1"/>
      <c r="I7" s="1"/>
      <c r="J7" s="1"/>
      <c r="K7" s="1"/>
      <c r="L7" s="1"/>
    </row>
    <row r="8" spans="1:12" x14ac:dyDescent="0.25">
      <c r="A8" s="1"/>
      <c r="B8" s="1"/>
      <c r="C8" s="3"/>
      <c r="E8" s="1"/>
      <c r="F8" s="1"/>
      <c r="G8" s="1"/>
      <c r="H8" s="1"/>
      <c r="I8" s="1"/>
      <c r="J8" s="1"/>
      <c r="K8" s="1"/>
      <c r="L8" s="1"/>
    </row>
    <row r="9" spans="1:12" x14ac:dyDescent="0.25">
      <c r="A9" s="1" t="s">
        <v>1</v>
      </c>
      <c r="B9" s="9" t="s">
        <v>25</v>
      </c>
      <c r="C9" s="4" t="s">
        <v>24</v>
      </c>
      <c r="D9" s="4" t="s">
        <v>22</v>
      </c>
      <c r="E9" s="4" t="s">
        <v>18</v>
      </c>
      <c r="F9" s="1"/>
      <c r="G9" s="1"/>
      <c r="H9" s="1"/>
      <c r="I9" s="1"/>
      <c r="J9" s="1"/>
      <c r="K9" s="1"/>
      <c r="L9" s="1"/>
    </row>
    <row r="10" spans="1:12" x14ac:dyDescent="0.25">
      <c r="A10" s="1"/>
      <c r="B10" s="1"/>
      <c r="C10" s="4"/>
      <c r="D10" s="4"/>
      <c r="E10" s="4"/>
      <c r="F10" s="1"/>
      <c r="G10" s="1"/>
      <c r="H10" s="1"/>
      <c r="I10" s="1"/>
      <c r="J10" s="1"/>
      <c r="K10" s="1"/>
      <c r="L10" s="1"/>
    </row>
    <row r="11" spans="1:12" x14ac:dyDescent="0.25">
      <c r="A11" s="1" t="s">
        <v>2</v>
      </c>
      <c r="B11" s="8">
        <v>0.86199999999999999</v>
      </c>
      <c r="C11" s="1" t="s">
        <v>12</v>
      </c>
      <c r="D11" s="1" t="s">
        <v>21</v>
      </c>
      <c r="E11" s="1" t="s">
        <v>18</v>
      </c>
      <c r="F11" s="1"/>
      <c r="G11" s="1"/>
      <c r="H11" s="1"/>
      <c r="I11" s="1"/>
      <c r="J11" s="1"/>
      <c r="K11" s="1"/>
      <c r="L11" s="1"/>
    </row>
    <row r="12" spans="1:12" x14ac:dyDescent="0.25">
      <c r="A12" s="1"/>
      <c r="B12" s="1"/>
      <c r="C12" s="1"/>
      <c r="E12" s="1"/>
      <c r="F12" s="1"/>
      <c r="G12" s="1"/>
      <c r="H12" s="1"/>
      <c r="I12" s="1"/>
      <c r="J12" s="1"/>
      <c r="K12" s="1"/>
      <c r="L12" s="1"/>
    </row>
    <row r="13" spans="1:12" x14ac:dyDescent="0.25">
      <c r="A13" s="1" t="s">
        <v>3</v>
      </c>
      <c r="B13" s="8">
        <v>0.88800000000000001</v>
      </c>
      <c r="C13" s="1" t="s">
        <v>31</v>
      </c>
      <c r="D13" s="1" t="s">
        <v>28</v>
      </c>
      <c r="E13" s="1" t="s">
        <v>18</v>
      </c>
      <c r="F13" s="1"/>
      <c r="G13" s="1"/>
      <c r="H13" s="1"/>
      <c r="I13" s="1"/>
      <c r="J13" s="1"/>
      <c r="K13" s="1"/>
      <c r="L13" s="1"/>
    </row>
    <row r="14" spans="1:12" x14ac:dyDescent="0.25">
      <c r="A14" s="1"/>
      <c r="B14" s="1"/>
      <c r="C14" s="1"/>
      <c r="E14" s="1"/>
      <c r="F14" s="1"/>
      <c r="G14" s="1"/>
      <c r="H14" s="1"/>
      <c r="I14" s="1"/>
      <c r="J14" s="1"/>
      <c r="K14" s="1"/>
      <c r="L14" s="1"/>
    </row>
    <row r="15" spans="1:12" x14ac:dyDescent="0.25">
      <c r="A15" s="1" t="s">
        <v>4</v>
      </c>
      <c r="B15" s="5" t="s">
        <v>29</v>
      </c>
      <c r="C15" s="1" t="s">
        <v>20</v>
      </c>
      <c r="D15" s="1" t="s">
        <v>23</v>
      </c>
      <c r="E15" s="1" t="s">
        <v>18</v>
      </c>
      <c r="F15" s="1"/>
      <c r="G15" s="1"/>
      <c r="H15" s="1"/>
      <c r="I15" s="1"/>
      <c r="J15" s="1"/>
      <c r="K15" s="1"/>
      <c r="L15" s="1"/>
    </row>
    <row r="16" spans="1:12" x14ac:dyDescent="0.25">
      <c r="A16" s="1"/>
      <c r="B16" s="1"/>
      <c r="C16" s="1"/>
      <c r="E16" s="1"/>
      <c r="F16" s="1"/>
      <c r="G16" s="1"/>
      <c r="H16" s="1"/>
      <c r="I16" s="1"/>
      <c r="J16" s="1"/>
      <c r="K16" s="1"/>
      <c r="L16" s="1"/>
    </row>
    <row r="17" spans="1:12" ht="30" x14ac:dyDescent="0.25">
      <c r="A17" s="4" t="s">
        <v>11</v>
      </c>
      <c r="B17" s="4"/>
      <c r="C17" s="1"/>
      <c r="E17" s="1"/>
      <c r="F17" s="1"/>
      <c r="G17" s="1"/>
      <c r="H17" s="1"/>
      <c r="I17" s="1"/>
      <c r="J17" s="1"/>
      <c r="K17" s="1"/>
      <c r="L17" s="1"/>
    </row>
    <row r="18" spans="1:12" x14ac:dyDescent="0.25">
      <c r="A18" s="1"/>
      <c r="B18" s="1"/>
      <c r="C18" s="1"/>
      <c r="E18" s="1"/>
      <c r="F18" s="1"/>
      <c r="G18" s="1"/>
      <c r="H18" s="1"/>
      <c r="I18" s="1"/>
      <c r="J18" s="1"/>
      <c r="K18" s="1"/>
      <c r="L18" s="1"/>
    </row>
    <row r="19" spans="1:12" ht="15.75" thickBot="1" x14ac:dyDescent="0.3">
      <c r="A19" s="1"/>
      <c r="B19" s="1"/>
      <c r="C19" s="1"/>
      <c r="E19" s="1"/>
      <c r="F19" s="1"/>
      <c r="G19" s="1"/>
      <c r="H19" s="1"/>
      <c r="I19" s="1"/>
      <c r="J19" s="1"/>
      <c r="K19" s="1"/>
      <c r="L19" s="1"/>
    </row>
    <row r="20" spans="1:12" ht="135.75" thickBot="1" x14ac:dyDescent="0.3">
      <c r="A20" s="10" t="s">
        <v>30</v>
      </c>
      <c r="B20" s="1"/>
      <c r="C20" s="1"/>
      <c r="E20" s="1"/>
      <c r="F20" s="1"/>
      <c r="G20" s="1"/>
      <c r="H20" s="1"/>
      <c r="I20" s="1"/>
      <c r="J20" s="1"/>
      <c r="K20" s="1"/>
      <c r="L20" s="1"/>
    </row>
    <row r="21" spans="1:12" x14ac:dyDescent="0.25">
      <c r="A21" s="1"/>
      <c r="B21" s="1"/>
      <c r="C21" s="1"/>
      <c r="E21" s="1"/>
      <c r="F21" s="1"/>
      <c r="G21" s="1"/>
      <c r="H21" s="1"/>
      <c r="I21" s="1"/>
      <c r="J21" s="1"/>
      <c r="K21" s="1"/>
      <c r="L21" s="1"/>
    </row>
    <row r="22" spans="1:12" x14ac:dyDescent="0.25">
      <c r="A22" s="1"/>
      <c r="B22" s="1"/>
      <c r="C22" s="1"/>
      <c r="E22" s="1"/>
      <c r="F22" s="1"/>
      <c r="G22" s="1"/>
      <c r="H22" s="1"/>
      <c r="I22" s="1"/>
      <c r="J22" s="1"/>
      <c r="K22" s="1"/>
      <c r="L22" s="1"/>
    </row>
    <row r="23" spans="1:12" x14ac:dyDescent="0.25">
      <c r="A23" s="1"/>
      <c r="B23" s="1"/>
      <c r="C23" s="1"/>
      <c r="E23" s="1"/>
      <c r="F23" s="1"/>
      <c r="G23" s="1"/>
      <c r="H23" s="1"/>
      <c r="I23" s="1"/>
      <c r="J23" s="1"/>
      <c r="K23" s="1"/>
      <c r="L23" s="1"/>
    </row>
    <row r="24" spans="1:12" x14ac:dyDescent="0.25">
      <c r="A24" s="1"/>
      <c r="B24" s="1"/>
      <c r="C24" s="1"/>
      <c r="E24" s="1"/>
      <c r="F24" s="1"/>
      <c r="G24" s="1"/>
      <c r="H24" s="1"/>
      <c r="I24" s="1"/>
      <c r="J24" s="1"/>
      <c r="K24" s="1"/>
      <c r="L24" s="1"/>
    </row>
    <row r="25" spans="1:12" x14ac:dyDescent="0.25">
      <c r="A25" s="1"/>
      <c r="B25" s="1"/>
      <c r="C25" s="1"/>
      <c r="E25" s="1"/>
      <c r="F25" s="1"/>
      <c r="G25" s="1"/>
      <c r="H25" s="1"/>
      <c r="I25" s="1"/>
      <c r="J25" s="1"/>
      <c r="K25" s="1"/>
      <c r="L25" s="1"/>
    </row>
    <row r="26" spans="1:12" x14ac:dyDescent="0.25">
      <c r="A26" s="1"/>
      <c r="B26" s="1"/>
      <c r="C26" s="1"/>
      <c r="E26" s="1"/>
      <c r="F26" s="1"/>
      <c r="G26" s="1"/>
      <c r="H26" s="1"/>
      <c r="I26" s="1"/>
      <c r="J26" s="1"/>
      <c r="K26" s="1"/>
      <c r="L26" s="1"/>
    </row>
    <row r="27" spans="1:12" x14ac:dyDescent="0.25">
      <c r="A27" s="1"/>
      <c r="B27" s="1"/>
      <c r="C27" s="1"/>
      <c r="E27" s="1"/>
      <c r="F27" s="1"/>
      <c r="G27" s="1"/>
      <c r="H27" s="1"/>
      <c r="I27" s="1"/>
      <c r="J27" s="1"/>
      <c r="K27" s="1"/>
      <c r="L27" s="1"/>
    </row>
    <row r="28" spans="1:12" x14ac:dyDescent="0.25">
      <c r="A28" s="1"/>
      <c r="B28" s="1"/>
      <c r="C28" s="1"/>
      <c r="E28" s="1"/>
      <c r="F28" s="1"/>
      <c r="G28" s="1"/>
      <c r="H28" s="1"/>
      <c r="I28" s="1"/>
      <c r="J28" s="1"/>
      <c r="K28" s="1"/>
      <c r="L28" s="1"/>
    </row>
    <row r="29" spans="1:12" x14ac:dyDescent="0.25">
      <c r="A29" s="1"/>
      <c r="B29" s="1"/>
      <c r="C29" s="1"/>
      <c r="E29" s="1"/>
      <c r="F29" s="1"/>
      <c r="G29" s="1"/>
      <c r="H29" s="1"/>
      <c r="I29" s="1"/>
      <c r="J29" s="1"/>
      <c r="K29" s="1"/>
      <c r="L29" s="1"/>
    </row>
    <row r="30" spans="1:12" x14ac:dyDescent="0.25">
      <c r="A30" s="1"/>
      <c r="B30" s="1"/>
      <c r="C30" s="1"/>
      <c r="E30" s="1"/>
      <c r="F30" s="1"/>
      <c r="G30" s="1"/>
      <c r="H30" s="1"/>
      <c r="I30" s="1"/>
      <c r="J30" s="1"/>
      <c r="K30" s="1"/>
      <c r="L30" s="1"/>
    </row>
    <row r="31" spans="1:12" x14ac:dyDescent="0.25">
      <c r="A31" s="1"/>
      <c r="B31" s="1"/>
      <c r="C31" s="1"/>
      <c r="E31" s="1"/>
      <c r="F31" s="1"/>
      <c r="G31" s="1"/>
      <c r="H31" s="1"/>
      <c r="I31" s="1"/>
      <c r="J31" s="1"/>
      <c r="K31" s="1"/>
      <c r="L31" s="1"/>
    </row>
    <row r="32" spans="1:12" x14ac:dyDescent="0.25">
      <c r="A32" s="1"/>
      <c r="B32" s="1"/>
      <c r="C32" s="1"/>
      <c r="E32" s="1"/>
      <c r="F32" s="1"/>
      <c r="G32" s="1"/>
      <c r="H32" s="1"/>
      <c r="I32" s="1"/>
      <c r="J32" s="1"/>
      <c r="K32" s="1"/>
      <c r="L32" s="1"/>
    </row>
    <row r="33" spans="1:12" x14ac:dyDescent="0.25">
      <c r="A33" s="1"/>
      <c r="B33" s="1"/>
      <c r="C33" s="1"/>
      <c r="E33" s="1"/>
      <c r="F33" s="1"/>
      <c r="G33" s="1"/>
      <c r="H33" s="1"/>
      <c r="I33" s="1"/>
      <c r="J33" s="1"/>
      <c r="K33" s="1"/>
      <c r="L33" s="1"/>
    </row>
    <row r="34" spans="1:12" x14ac:dyDescent="0.25">
      <c r="A34" s="1"/>
      <c r="B34" s="1"/>
      <c r="C34" s="1"/>
      <c r="E34" s="1"/>
      <c r="F34" s="1"/>
      <c r="G34" s="1"/>
      <c r="H34" s="1"/>
      <c r="I34" s="1"/>
      <c r="J34" s="1"/>
      <c r="K34" s="1"/>
      <c r="L34" s="1"/>
    </row>
    <row r="35" spans="1:12" x14ac:dyDescent="0.25">
      <c r="A35" s="1"/>
      <c r="B35" s="1"/>
      <c r="C35" s="1"/>
      <c r="E35" s="1"/>
      <c r="F35" s="1"/>
      <c r="G35" s="1"/>
      <c r="H35" s="1"/>
      <c r="I35" s="1"/>
      <c r="J35" s="1"/>
      <c r="K35" s="1"/>
      <c r="L35" s="1"/>
    </row>
    <row r="36" spans="1:12" x14ac:dyDescent="0.25">
      <c r="A36" s="1"/>
      <c r="B36" s="1"/>
      <c r="C36" s="1"/>
      <c r="E36" s="1"/>
      <c r="F36" s="1"/>
      <c r="G36" s="1"/>
      <c r="H36" s="1"/>
      <c r="I36" s="1"/>
      <c r="J36" s="1"/>
      <c r="K36" s="1"/>
      <c r="L36" s="1"/>
    </row>
    <row r="37" spans="1:12" x14ac:dyDescent="0.25">
      <c r="A37" s="1"/>
      <c r="B37" s="1"/>
      <c r="C37" s="1"/>
      <c r="E37" s="1"/>
      <c r="F37" s="1"/>
      <c r="G37" s="1"/>
      <c r="H37" s="1"/>
      <c r="I37" s="1"/>
      <c r="J37" s="1"/>
      <c r="K37" s="1"/>
      <c r="L37" s="1"/>
    </row>
    <row r="38" spans="1:12" x14ac:dyDescent="0.25">
      <c r="A38" s="1"/>
      <c r="B38" s="1"/>
      <c r="C38" s="1"/>
      <c r="E38" s="1"/>
      <c r="F38" s="1"/>
      <c r="G38" s="1"/>
      <c r="H38" s="1"/>
      <c r="I38" s="1"/>
      <c r="J38" s="1"/>
      <c r="K38" s="1"/>
      <c r="L38" s="1"/>
    </row>
    <row r="39" spans="1:12" x14ac:dyDescent="0.25">
      <c r="A39" s="1"/>
      <c r="B39" s="1"/>
      <c r="C39" s="1"/>
      <c r="E39" s="1"/>
      <c r="F39" s="1"/>
      <c r="G39" s="1"/>
      <c r="H39" s="1"/>
      <c r="I39" s="1"/>
      <c r="J39" s="1"/>
      <c r="K39" s="1"/>
      <c r="L39" s="1"/>
    </row>
    <row r="40" spans="1:12" x14ac:dyDescent="0.25">
      <c r="A40" s="1"/>
      <c r="B40" s="1"/>
      <c r="C40" s="1"/>
      <c r="E40" s="1"/>
      <c r="F40" s="1"/>
      <c r="G40" s="1"/>
      <c r="H40" s="1"/>
      <c r="I40" s="1"/>
      <c r="J40" s="1"/>
      <c r="K40" s="1"/>
      <c r="L40" s="1"/>
    </row>
    <row r="41" spans="1:12" x14ac:dyDescent="0.25">
      <c r="A41" s="1"/>
      <c r="B41" s="1"/>
      <c r="C41" s="1"/>
      <c r="E41" s="1"/>
      <c r="F41" s="1"/>
      <c r="G41" s="1"/>
      <c r="H41" s="1"/>
      <c r="I41" s="1"/>
      <c r="J41" s="1"/>
      <c r="K41" s="1"/>
      <c r="L41" s="1"/>
    </row>
    <row r="42" spans="1:12" x14ac:dyDescent="0.25">
      <c r="A42" s="1"/>
      <c r="B42" s="1"/>
      <c r="C42" s="1"/>
      <c r="E42" s="1"/>
      <c r="F42" s="1"/>
      <c r="G42" s="1"/>
      <c r="H42" s="1"/>
      <c r="I42" s="1"/>
      <c r="J42" s="1"/>
      <c r="K42" s="1"/>
      <c r="L42" s="1"/>
    </row>
    <row r="43" spans="1:12" x14ac:dyDescent="0.25">
      <c r="A43" s="1"/>
      <c r="B43" s="1"/>
      <c r="C43" s="1"/>
      <c r="E43" s="1"/>
      <c r="F43" s="1"/>
      <c r="G43" s="1"/>
      <c r="H43" s="1"/>
      <c r="I43" s="1"/>
      <c r="J43" s="1"/>
      <c r="K43" s="1"/>
      <c r="L43" s="1"/>
    </row>
    <row r="44" spans="1:12" x14ac:dyDescent="0.25">
      <c r="A44" s="1"/>
      <c r="B44" s="1"/>
      <c r="C44" s="1"/>
      <c r="E44" s="1"/>
      <c r="F44" s="1"/>
      <c r="G44" s="1"/>
      <c r="H44" s="1"/>
      <c r="I44" s="1"/>
      <c r="J44" s="1"/>
      <c r="K44" s="1"/>
      <c r="L44" s="1"/>
    </row>
    <row r="45" spans="1:12" x14ac:dyDescent="0.25">
      <c r="A45" s="1"/>
      <c r="B45" s="1"/>
      <c r="C45" s="1"/>
      <c r="E45" s="1"/>
      <c r="F45" s="1"/>
      <c r="G45" s="1"/>
      <c r="H45" s="1"/>
      <c r="I45" s="1"/>
      <c r="J45" s="1"/>
      <c r="K45" s="1"/>
      <c r="L45" s="1"/>
    </row>
    <row r="46" spans="1:12" x14ac:dyDescent="0.25">
      <c r="A46" s="1"/>
      <c r="B46" s="1"/>
      <c r="C46" s="1"/>
      <c r="E46" s="1"/>
      <c r="F46" s="1"/>
      <c r="G46" s="1"/>
      <c r="H46" s="1"/>
      <c r="I46" s="1"/>
      <c r="J46" s="1"/>
      <c r="K46" s="1"/>
      <c r="L46" s="1"/>
    </row>
    <row r="47" spans="1:12" x14ac:dyDescent="0.25">
      <c r="A47" s="1"/>
      <c r="B47" s="1"/>
      <c r="C47" s="1"/>
      <c r="E47" s="1"/>
      <c r="F47" s="1"/>
      <c r="G47" s="1"/>
      <c r="H47" s="1"/>
      <c r="I47" s="1"/>
      <c r="J47" s="1"/>
      <c r="K47" s="1"/>
      <c r="L47" s="1"/>
    </row>
    <row r="48" spans="1:12" x14ac:dyDescent="0.25">
      <c r="A48" s="1"/>
      <c r="B48" s="1"/>
      <c r="C48" s="1"/>
      <c r="E48" s="1"/>
      <c r="F48" s="1"/>
      <c r="G48" s="1"/>
      <c r="H48" s="1"/>
      <c r="I48" s="1"/>
      <c r="J48" s="1"/>
      <c r="K48" s="1"/>
      <c r="L48" s="1"/>
    </row>
    <row r="49" spans="1:12" x14ac:dyDescent="0.25">
      <c r="A49" s="1"/>
      <c r="B49" s="1"/>
      <c r="C49" s="1"/>
      <c r="E49" s="1"/>
      <c r="F49" s="1"/>
      <c r="G49" s="1"/>
      <c r="H49" s="1"/>
      <c r="I49" s="1"/>
      <c r="J49" s="1"/>
      <c r="K49" s="1"/>
      <c r="L49" s="1"/>
    </row>
    <row r="50" spans="1:12" x14ac:dyDescent="0.25">
      <c r="A50" s="1"/>
      <c r="B50" s="1"/>
      <c r="C50" s="1"/>
      <c r="E50" s="1"/>
      <c r="F50" s="1"/>
      <c r="G50" s="1"/>
      <c r="H50" s="1"/>
      <c r="I50" s="1"/>
      <c r="J50" s="1"/>
      <c r="K50" s="1"/>
      <c r="L50" s="1"/>
    </row>
    <row r="51" spans="1:12" x14ac:dyDescent="0.25">
      <c r="A51" s="1"/>
      <c r="B51" s="1"/>
      <c r="C51" s="1"/>
      <c r="E51" s="1"/>
      <c r="F51" s="1"/>
      <c r="G51" s="1"/>
      <c r="H51" s="1"/>
      <c r="I51" s="1"/>
      <c r="J51" s="1"/>
      <c r="K51" s="1"/>
      <c r="L51" s="1"/>
    </row>
    <row r="52" spans="1:12" x14ac:dyDescent="0.25">
      <c r="A52" s="1"/>
      <c r="B52" s="1"/>
      <c r="C52" s="1"/>
      <c r="E52" s="1"/>
      <c r="F52" s="1"/>
      <c r="G52" s="1"/>
      <c r="H52" s="1"/>
      <c r="I52" s="1"/>
      <c r="J52" s="1"/>
      <c r="K52" s="1"/>
      <c r="L52" s="1"/>
    </row>
    <row r="53" spans="1:12" x14ac:dyDescent="0.25">
      <c r="A53" s="1"/>
      <c r="B53" s="1"/>
      <c r="C53" s="1"/>
      <c r="E53" s="1"/>
      <c r="F53" s="1"/>
      <c r="G53" s="1"/>
      <c r="H53" s="1"/>
      <c r="I53" s="1"/>
      <c r="J53" s="1"/>
      <c r="K53" s="1"/>
      <c r="L53" s="1"/>
    </row>
    <row r="54" spans="1:12" x14ac:dyDescent="0.25">
      <c r="A54" s="1"/>
      <c r="B54" s="1"/>
      <c r="C54" s="1"/>
      <c r="E54" s="1"/>
      <c r="F54" s="1"/>
      <c r="G54" s="1"/>
      <c r="H54" s="1"/>
      <c r="I54" s="1"/>
      <c r="J54" s="1"/>
      <c r="K54" s="1"/>
      <c r="L54" s="1"/>
    </row>
    <row r="55" spans="1:12" x14ac:dyDescent="0.25">
      <c r="A55" s="1"/>
      <c r="B55" s="1"/>
      <c r="C55" s="1"/>
      <c r="E55" s="1"/>
      <c r="F55" s="1"/>
      <c r="G55" s="1"/>
      <c r="H55" s="1"/>
      <c r="I55" s="1"/>
      <c r="J55" s="1"/>
      <c r="K55" s="1"/>
      <c r="L55" s="1"/>
    </row>
    <row r="56" spans="1:12" x14ac:dyDescent="0.25">
      <c r="A56" s="1"/>
      <c r="B56" s="1"/>
      <c r="C56" s="1"/>
      <c r="E56" s="1"/>
      <c r="F56" s="1"/>
      <c r="G56" s="1"/>
      <c r="H56" s="1"/>
      <c r="I56" s="1"/>
      <c r="J56" s="1"/>
      <c r="K56" s="1"/>
      <c r="L56" s="1"/>
    </row>
    <row r="57" spans="1:12" x14ac:dyDescent="0.25">
      <c r="A57" s="1"/>
      <c r="B57" s="1"/>
      <c r="C57" s="1"/>
      <c r="E57" s="1"/>
      <c r="F57" s="1"/>
      <c r="G57" s="1"/>
      <c r="H57" s="1"/>
      <c r="I57" s="1"/>
      <c r="J57" s="1"/>
      <c r="K57" s="1"/>
      <c r="L57" s="1"/>
    </row>
    <row r="58" spans="1:12" x14ac:dyDescent="0.25">
      <c r="A58" s="1"/>
      <c r="B58" s="1"/>
      <c r="C58" s="1"/>
      <c r="E58" s="1"/>
      <c r="F58" s="1"/>
      <c r="G58" s="1"/>
      <c r="H58" s="1"/>
      <c r="I58" s="1"/>
      <c r="J58" s="1"/>
      <c r="K58" s="1"/>
      <c r="L58" s="1"/>
    </row>
    <row r="59" spans="1:12" x14ac:dyDescent="0.25">
      <c r="A59" s="1"/>
      <c r="B59" s="1"/>
      <c r="C59" s="1"/>
      <c r="E59" s="1"/>
      <c r="F59" s="1"/>
      <c r="G59" s="1"/>
      <c r="H59" s="1"/>
      <c r="I59" s="1"/>
      <c r="J59" s="1"/>
      <c r="K59" s="1"/>
      <c r="L59" s="1"/>
    </row>
    <row r="60" spans="1:12" x14ac:dyDescent="0.25">
      <c r="A60" s="1"/>
      <c r="B60" s="1"/>
      <c r="C60" s="1"/>
      <c r="E60" s="1"/>
      <c r="F60" s="1"/>
      <c r="G60" s="1"/>
      <c r="H60" s="1"/>
      <c r="I60" s="1"/>
      <c r="J60" s="1"/>
      <c r="K60" s="1"/>
      <c r="L60" s="1"/>
    </row>
    <row r="61" spans="1:12" x14ac:dyDescent="0.25">
      <c r="A61" s="1"/>
      <c r="B61" s="1"/>
      <c r="C61" s="1"/>
      <c r="E61" s="1"/>
      <c r="F61" s="1"/>
      <c r="G61" s="1"/>
      <c r="H61" s="1"/>
      <c r="I61" s="1"/>
      <c r="J61" s="1"/>
      <c r="K61" s="1"/>
      <c r="L61" s="1"/>
    </row>
    <row r="62" spans="1:12" x14ac:dyDescent="0.25">
      <c r="A62" s="1"/>
      <c r="B62" s="1"/>
      <c r="C62" s="1"/>
      <c r="E62" s="1"/>
      <c r="F62" s="1"/>
      <c r="G62" s="1"/>
      <c r="H62" s="1"/>
      <c r="I62" s="1"/>
      <c r="J62" s="1"/>
      <c r="K62" s="1"/>
      <c r="L62" s="1"/>
    </row>
    <row r="63" spans="1:12" x14ac:dyDescent="0.25">
      <c r="A63" s="1"/>
      <c r="B63" s="1"/>
      <c r="C63" s="1"/>
      <c r="E63" s="1"/>
      <c r="F63" s="1"/>
      <c r="G63" s="1"/>
      <c r="H63" s="1"/>
      <c r="I63" s="1"/>
      <c r="J63" s="1"/>
      <c r="K63" s="1"/>
      <c r="L63" s="1"/>
    </row>
    <row r="64" spans="1:12" x14ac:dyDescent="0.25">
      <c r="A64" s="1"/>
      <c r="B64" s="1"/>
      <c r="C64" s="1"/>
      <c r="E64" s="1"/>
      <c r="F64" s="1"/>
      <c r="G64" s="1"/>
      <c r="H64" s="1"/>
      <c r="I64" s="1"/>
      <c r="J64" s="1"/>
      <c r="K64" s="1"/>
      <c r="L64" s="1"/>
    </row>
    <row r="65" spans="1:12" x14ac:dyDescent="0.25">
      <c r="A65" s="1"/>
      <c r="B65" s="1"/>
      <c r="C65" s="1"/>
      <c r="E65" s="1"/>
      <c r="F65" s="1"/>
      <c r="G65" s="1"/>
      <c r="H65" s="1"/>
      <c r="I65" s="1"/>
      <c r="J65" s="1"/>
      <c r="K65" s="1"/>
      <c r="L65" s="1"/>
    </row>
    <row r="66" spans="1:12" x14ac:dyDescent="0.25">
      <c r="A66" s="1"/>
      <c r="B66" s="1"/>
      <c r="C66" s="1"/>
      <c r="E66" s="1"/>
      <c r="F66" s="1"/>
      <c r="G66" s="1"/>
      <c r="H66" s="1"/>
      <c r="I66" s="1"/>
      <c r="J66" s="1"/>
      <c r="K66" s="1"/>
      <c r="L66" s="1"/>
    </row>
    <row r="67" spans="1:12" x14ac:dyDescent="0.25">
      <c r="A67" s="1"/>
      <c r="B67" s="1"/>
      <c r="C67" s="1"/>
      <c r="E67" s="1"/>
      <c r="F67" s="1"/>
      <c r="G67" s="1"/>
      <c r="H67" s="1"/>
      <c r="I67" s="1"/>
      <c r="J67" s="1"/>
      <c r="K67" s="1"/>
      <c r="L67" s="1"/>
    </row>
    <row r="68" spans="1:12" x14ac:dyDescent="0.25">
      <c r="A68" s="1"/>
      <c r="B68" s="1"/>
      <c r="C68" s="1"/>
      <c r="E68" s="1"/>
      <c r="F68" s="1"/>
      <c r="G68" s="1"/>
      <c r="H68" s="1"/>
      <c r="I68" s="1"/>
      <c r="J68" s="1"/>
      <c r="K68" s="1"/>
      <c r="L68" s="1"/>
    </row>
    <row r="69" spans="1:12" x14ac:dyDescent="0.25">
      <c r="A69" s="1"/>
      <c r="B69" s="1"/>
      <c r="C69" s="1"/>
      <c r="E69" s="1"/>
      <c r="F69" s="1"/>
      <c r="G69" s="1"/>
      <c r="H69" s="1"/>
      <c r="I69" s="1"/>
      <c r="J69" s="1"/>
      <c r="K69" s="1"/>
      <c r="L69" s="1"/>
    </row>
    <row r="70" spans="1:12" x14ac:dyDescent="0.25">
      <c r="A70" s="1"/>
      <c r="B70" s="1"/>
      <c r="C70" s="1"/>
      <c r="E70" s="1"/>
      <c r="F70" s="1"/>
      <c r="G70" s="1"/>
      <c r="H70" s="1"/>
      <c r="I70" s="1"/>
      <c r="J70" s="1"/>
      <c r="K70" s="1"/>
      <c r="L70" s="1"/>
    </row>
    <row r="71" spans="1:12" x14ac:dyDescent="0.25">
      <c r="A71" s="1"/>
      <c r="B71" s="1"/>
      <c r="C71" s="1"/>
      <c r="E71" s="1"/>
      <c r="F71" s="1"/>
      <c r="G71" s="1"/>
      <c r="H71" s="1"/>
      <c r="I71" s="1"/>
      <c r="J71" s="1"/>
      <c r="K71" s="1"/>
      <c r="L71" s="1"/>
    </row>
    <row r="72" spans="1:12" x14ac:dyDescent="0.25">
      <c r="A72" s="1"/>
      <c r="B72" s="1"/>
      <c r="C72" s="1"/>
      <c r="E72" s="1"/>
      <c r="F72" s="1"/>
      <c r="G72" s="1"/>
      <c r="H72" s="1"/>
      <c r="I72" s="1"/>
      <c r="J72" s="1"/>
      <c r="K72" s="1"/>
      <c r="L72" s="1"/>
    </row>
    <row r="73" spans="1:12" x14ac:dyDescent="0.25">
      <c r="A73" s="1"/>
      <c r="B73" s="1"/>
      <c r="C73" s="1"/>
      <c r="E73" s="1"/>
      <c r="F73" s="1"/>
      <c r="G73" s="1"/>
      <c r="H73" s="1"/>
      <c r="I73" s="1"/>
      <c r="J73" s="1"/>
      <c r="K73" s="1"/>
      <c r="L73" s="1"/>
    </row>
    <row r="74" spans="1:12" x14ac:dyDescent="0.25">
      <c r="A74" s="1"/>
      <c r="B74" s="1"/>
      <c r="C74" s="1"/>
      <c r="E74" s="1"/>
      <c r="F74" s="1"/>
      <c r="G74" s="1"/>
      <c r="H74" s="1"/>
      <c r="I74" s="1"/>
      <c r="J74" s="1"/>
      <c r="K74" s="1"/>
      <c r="L74" s="1"/>
    </row>
    <row r="75" spans="1:12" x14ac:dyDescent="0.25">
      <c r="A75" s="1"/>
      <c r="B75" s="1"/>
      <c r="C75" s="1"/>
      <c r="E75" s="1"/>
      <c r="F75" s="1"/>
      <c r="G75" s="1"/>
      <c r="H75" s="1"/>
      <c r="I75" s="1"/>
      <c r="J75" s="1"/>
      <c r="K75" s="1"/>
      <c r="L75" s="1"/>
    </row>
    <row r="76" spans="1:12" x14ac:dyDescent="0.25">
      <c r="A76" s="1"/>
      <c r="B76" s="1"/>
      <c r="C76" s="1"/>
      <c r="E76" s="1"/>
      <c r="F76" s="1"/>
      <c r="G76" s="1"/>
      <c r="H76" s="1"/>
      <c r="I76" s="1"/>
      <c r="J76" s="1"/>
      <c r="K76" s="1"/>
      <c r="L76" s="1"/>
    </row>
    <row r="77" spans="1:12" x14ac:dyDescent="0.25">
      <c r="A77" s="1"/>
      <c r="B77" s="1"/>
      <c r="C77" s="1"/>
      <c r="E77" s="1"/>
      <c r="F77" s="1"/>
      <c r="G77" s="1"/>
      <c r="H77" s="1"/>
      <c r="I77" s="1"/>
      <c r="J77" s="1"/>
      <c r="K77" s="1"/>
      <c r="L77" s="1"/>
    </row>
    <row r="78" spans="1:12" x14ac:dyDescent="0.25">
      <c r="A78" s="1"/>
      <c r="B78" s="1"/>
      <c r="C78" s="1"/>
      <c r="E78" s="1"/>
      <c r="F78" s="1"/>
      <c r="G78" s="1"/>
      <c r="H78" s="1"/>
      <c r="I78" s="1"/>
      <c r="J78" s="1"/>
      <c r="K78" s="1"/>
      <c r="L78" s="1"/>
    </row>
    <row r="79" spans="1:12" x14ac:dyDescent="0.25">
      <c r="A79" s="1"/>
      <c r="B79" s="1"/>
      <c r="C79" s="1"/>
      <c r="E79" s="1"/>
      <c r="F79" s="1"/>
      <c r="G79" s="1"/>
      <c r="H79" s="1"/>
      <c r="I79" s="1"/>
      <c r="J79" s="1"/>
      <c r="K79" s="1"/>
      <c r="L79" s="1"/>
    </row>
    <row r="80" spans="1:12" x14ac:dyDescent="0.25">
      <c r="A80" s="1"/>
      <c r="B80" s="1"/>
      <c r="C80" s="1"/>
      <c r="E80" s="1"/>
      <c r="F80" s="1"/>
      <c r="G80" s="1"/>
      <c r="H80" s="1"/>
      <c r="I80" s="1"/>
      <c r="J80" s="1"/>
      <c r="K80" s="1"/>
      <c r="L80" s="1"/>
    </row>
    <row r="81" spans="1:12" x14ac:dyDescent="0.25">
      <c r="A81" s="1"/>
      <c r="B81" s="1"/>
      <c r="C81" s="1"/>
      <c r="E81" s="1"/>
      <c r="F81" s="1"/>
      <c r="G81" s="1"/>
      <c r="H81" s="1"/>
      <c r="I81" s="1"/>
      <c r="J81" s="1"/>
      <c r="K81" s="1"/>
      <c r="L81" s="1"/>
    </row>
    <row r="82" spans="1:12" x14ac:dyDescent="0.25">
      <c r="A82" s="1"/>
      <c r="B82" s="1"/>
      <c r="C82" s="1"/>
      <c r="E82" s="1"/>
      <c r="F82" s="1"/>
      <c r="G82" s="1"/>
      <c r="H82" s="1"/>
      <c r="I82" s="1"/>
      <c r="J82" s="1"/>
      <c r="K82" s="1"/>
      <c r="L82" s="1"/>
    </row>
    <row r="83" spans="1:12" x14ac:dyDescent="0.25">
      <c r="A83" s="1"/>
      <c r="B83" s="1"/>
      <c r="C83" s="1"/>
      <c r="E83" s="1"/>
      <c r="F83" s="1"/>
      <c r="G83" s="1"/>
      <c r="H83" s="1"/>
      <c r="I83" s="1"/>
      <c r="J83" s="1"/>
      <c r="K83" s="1"/>
      <c r="L83" s="1"/>
    </row>
  </sheetData>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8"/>
  <sheetViews>
    <sheetView workbookViewId="0">
      <selection activeCell="A18" sqref="A18"/>
    </sheetView>
  </sheetViews>
  <sheetFormatPr defaultRowHeight="15" x14ac:dyDescent="0.25"/>
  <cols>
    <col min="1" max="1" width="34.85546875" customWidth="1"/>
    <col min="2" max="3" width="11.5703125" customWidth="1"/>
    <col min="4" max="4" width="17.28515625" customWidth="1"/>
    <col min="5" max="5" width="11.7109375" customWidth="1"/>
  </cols>
  <sheetData>
    <row r="1" spans="1:6" ht="30" x14ac:dyDescent="0.25">
      <c r="A1" s="2" t="s">
        <v>0</v>
      </c>
      <c r="B1" s="1"/>
      <c r="C1" s="7" t="s">
        <v>37</v>
      </c>
      <c r="D1" s="1"/>
      <c r="E1" s="6"/>
      <c r="F1" s="6"/>
    </row>
    <row r="2" spans="1:6" ht="15.75" x14ac:dyDescent="0.25">
      <c r="A2" s="2"/>
      <c r="B2" s="1"/>
      <c r="C2" s="3"/>
      <c r="D2" s="1"/>
      <c r="E2" s="6"/>
      <c r="F2" s="6"/>
    </row>
    <row r="3" spans="1:6" x14ac:dyDescent="0.25">
      <c r="A3" s="6" t="s">
        <v>38</v>
      </c>
      <c r="B3" s="6"/>
      <c r="C3" s="6"/>
      <c r="D3" s="1"/>
      <c r="E3" s="1"/>
      <c r="F3" s="1"/>
    </row>
    <row r="4" spans="1:6" x14ac:dyDescent="0.25">
      <c r="A4" s="6"/>
      <c r="B4" s="6"/>
      <c r="C4" s="6"/>
      <c r="D4" s="1"/>
      <c r="E4" s="1"/>
      <c r="F4" s="1"/>
    </row>
    <row r="5" spans="1:6" x14ac:dyDescent="0.25">
      <c r="A5" s="13" t="s">
        <v>9</v>
      </c>
      <c r="B5" s="1" t="s">
        <v>5</v>
      </c>
      <c r="C5" s="3"/>
      <c r="D5" s="4" t="s">
        <v>13</v>
      </c>
      <c r="E5" s="1" t="s">
        <v>16</v>
      </c>
      <c r="F5" s="1"/>
    </row>
    <row r="6" spans="1:6" x14ac:dyDescent="0.25">
      <c r="A6" s="14" t="s">
        <v>10</v>
      </c>
      <c r="B6" s="1" t="s">
        <v>6</v>
      </c>
      <c r="C6" s="3"/>
      <c r="D6" s="1" t="s">
        <v>14</v>
      </c>
      <c r="E6" s="1" t="s">
        <v>17</v>
      </c>
      <c r="F6" s="1"/>
    </row>
    <row r="7" spans="1:6" x14ac:dyDescent="0.25">
      <c r="A7" s="1"/>
      <c r="B7" s="1"/>
      <c r="C7" s="3"/>
      <c r="D7" s="1" t="s">
        <v>15</v>
      </c>
      <c r="E7" s="1" t="s">
        <v>15</v>
      </c>
      <c r="F7" s="1"/>
    </row>
    <row r="8" spans="1:6" x14ac:dyDescent="0.25">
      <c r="A8" s="1"/>
      <c r="B8" s="1"/>
      <c r="C8" s="3"/>
      <c r="D8" s="1"/>
      <c r="E8" s="1"/>
      <c r="F8" s="1"/>
    </row>
    <row r="9" spans="1:6" x14ac:dyDescent="0.25">
      <c r="A9" s="1" t="s">
        <v>1</v>
      </c>
      <c r="B9" s="8">
        <v>0.85699999999999998</v>
      </c>
      <c r="C9" s="16" t="s">
        <v>35</v>
      </c>
      <c r="D9" s="17" t="s">
        <v>32</v>
      </c>
      <c r="E9" s="4" t="s">
        <v>18</v>
      </c>
      <c r="F9" s="1"/>
    </row>
    <row r="10" spans="1:6" x14ac:dyDescent="0.25">
      <c r="A10" s="1"/>
      <c r="B10" s="1"/>
      <c r="C10" s="4"/>
      <c r="D10" s="4"/>
      <c r="E10" s="4"/>
      <c r="F10" s="1"/>
    </row>
    <row r="11" spans="1:6" x14ac:dyDescent="0.25">
      <c r="A11" s="1" t="s">
        <v>2</v>
      </c>
      <c r="B11" s="9">
        <v>0.89100000000000001</v>
      </c>
      <c r="C11" s="1"/>
      <c r="D11" s="1" t="s">
        <v>33</v>
      </c>
      <c r="E11" s="1" t="s">
        <v>18</v>
      </c>
      <c r="F11" s="1"/>
    </row>
    <row r="12" spans="1:6" x14ac:dyDescent="0.25">
      <c r="A12" s="1"/>
      <c r="B12" s="1"/>
      <c r="C12" s="1"/>
      <c r="D12" s="1"/>
      <c r="E12" s="1"/>
      <c r="F12" s="1"/>
    </row>
    <row r="13" spans="1:6" x14ac:dyDescent="0.25">
      <c r="A13" s="1" t="s">
        <v>3</v>
      </c>
      <c r="B13" s="8">
        <v>0.86099999999999999</v>
      </c>
      <c r="C13" s="1"/>
      <c r="D13" s="1" t="s">
        <v>34</v>
      </c>
      <c r="E13" s="1" t="s">
        <v>18</v>
      </c>
      <c r="F13" s="1"/>
    </row>
    <row r="14" spans="1:6" x14ac:dyDescent="0.25">
      <c r="A14" s="1"/>
      <c r="B14" s="1"/>
      <c r="C14" s="1"/>
      <c r="D14" s="1"/>
      <c r="E14" s="15"/>
      <c r="F14" s="1"/>
    </row>
    <row r="15" spans="1:6" x14ac:dyDescent="0.25">
      <c r="A15" s="1" t="s">
        <v>4</v>
      </c>
      <c r="B15" s="8">
        <v>0.88700000000000001</v>
      </c>
      <c r="C15" s="1"/>
      <c r="D15" s="1" t="s">
        <v>36</v>
      </c>
      <c r="E15" s="1" t="s">
        <v>18</v>
      </c>
      <c r="F15" s="1"/>
    </row>
    <row r="16" spans="1:6" x14ac:dyDescent="0.25">
      <c r="A16" s="1"/>
      <c r="B16" s="1"/>
      <c r="C16" s="1"/>
      <c r="D16" s="1"/>
      <c r="E16" s="1"/>
      <c r="F16" s="1"/>
    </row>
    <row r="17" spans="1:6" ht="15.75" thickBot="1" x14ac:dyDescent="0.3">
      <c r="A17" s="1"/>
      <c r="B17" s="1"/>
      <c r="C17" s="1"/>
      <c r="D17" s="1"/>
      <c r="E17" s="1"/>
      <c r="F17" s="1"/>
    </row>
    <row r="18" spans="1:6" ht="401.25" customHeight="1" thickBot="1" x14ac:dyDescent="0.3">
      <c r="A18" s="18"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62"/>
  <sheetViews>
    <sheetView topLeftCell="C1" workbookViewId="0">
      <selection activeCell="C23" sqref="C23"/>
    </sheetView>
  </sheetViews>
  <sheetFormatPr defaultRowHeight="15" x14ac:dyDescent="0.25"/>
  <cols>
    <col min="3" max="3" width="11.28515625" customWidth="1"/>
    <col min="4" max="4" width="12.42578125" customWidth="1"/>
    <col min="5" max="5" width="11.42578125" customWidth="1"/>
    <col min="6" max="6" width="10.7109375" style="19" customWidth="1"/>
    <col min="7" max="8" width="12.42578125" customWidth="1"/>
    <col min="9" max="9" width="10.28515625" customWidth="1"/>
    <col min="13" max="13" width="10.28515625" customWidth="1"/>
    <col min="14" max="14" width="10.7109375" customWidth="1"/>
    <col min="15" max="15" width="12" customWidth="1"/>
    <col min="16" max="16" width="11.42578125" customWidth="1"/>
    <col min="17" max="17" width="10.85546875" customWidth="1"/>
    <col min="18" max="19" width="12.28515625" customWidth="1"/>
  </cols>
  <sheetData>
    <row r="1" spans="1:34" x14ac:dyDescent="0.25">
      <c r="A1" s="20" t="s">
        <v>40</v>
      </c>
      <c r="B1" s="20"/>
      <c r="C1" s="20"/>
      <c r="D1" s="20"/>
      <c r="E1" s="20"/>
      <c r="F1" s="23">
        <v>43320</v>
      </c>
      <c r="L1" s="20" t="s">
        <v>40</v>
      </c>
      <c r="M1" s="20"/>
      <c r="N1" s="20"/>
      <c r="O1" s="20"/>
      <c r="P1" s="20"/>
      <c r="Q1" s="23">
        <v>43327</v>
      </c>
    </row>
    <row r="2" spans="1:34" x14ac:dyDescent="0.25">
      <c r="Q2" s="19"/>
    </row>
    <row r="3" spans="1:34" x14ac:dyDescent="0.25">
      <c r="A3" s="20" t="s">
        <v>93</v>
      </c>
      <c r="B3" s="20"/>
      <c r="C3" s="20"/>
      <c r="D3" s="20"/>
      <c r="E3" s="20"/>
      <c r="F3" s="21"/>
      <c r="L3" s="20" t="s">
        <v>92</v>
      </c>
      <c r="M3" s="20"/>
      <c r="N3" s="20"/>
      <c r="O3" s="20"/>
      <c r="P3" s="20"/>
      <c r="Q3" s="21"/>
    </row>
    <row r="5" spans="1:34" x14ac:dyDescent="0.25">
      <c r="A5" s="19"/>
      <c r="B5" s="19"/>
      <c r="C5" s="19"/>
      <c r="D5" s="19"/>
      <c r="E5" s="19"/>
      <c r="G5" s="19"/>
      <c r="H5" s="19"/>
    </row>
    <row r="6" spans="1:34" x14ac:dyDescent="0.25">
      <c r="B6" s="25" t="s">
        <v>42</v>
      </c>
      <c r="C6" s="25" t="s">
        <v>50</v>
      </c>
      <c r="D6" s="25" t="s">
        <v>43</v>
      </c>
      <c r="E6" s="25" t="s">
        <v>44</v>
      </c>
      <c r="F6" s="25" t="s">
        <v>45</v>
      </c>
      <c r="G6" s="25" t="s">
        <v>46</v>
      </c>
      <c r="H6" s="25" t="s">
        <v>82</v>
      </c>
      <c r="I6" s="25" t="s">
        <v>52</v>
      </c>
      <c r="M6" s="25" t="s">
        <v>42</v>
      </c>
      <c r="N6" s="25" t="s">
        <v>50</v>
      </c>
      <c r="O6" s="25" t="s">
        <v>43</v>
      </c>
      <c r="P6" s="25" t="s">
        <v>44</v>
      </c>
      <c r="Q6" s="25" t="s">
        <v>45</v>
      </c>
      <c r="R6" s="25" t="s">
        <v>46</v>
      </c>
      <c r="S6" s="25" t="s">
        <v>82</v>
      </c>
      <c r="T6" s="25" t="s">
        <v>52</v>
      </c>
      <c r="AF6" t="s">
        <v>91</v>
      </c>
    </row>
    <row r="7" spans="1:34" ht="15.75" thickBot="1" x14ac:dyDescent="0.3">
      <c r="B7" s="57"/>
      <c r="C7" s="57"/>
      <c r="D7" s="57"/>
      <c r="E7" s="57"/>
      <c r="F7" s="53"/>
      <c r="G7" s="57"/>
      <c r="H7" s="57"/>
      <c r="I7" s="57"/>
      <c r="M7" s="57"/>
      <c r="N7" s="57"/>
      <c r="O7" s="57"/>
      <c r="P7" s="57"/>
      <c r="Q7" s="53"/>
      <c r="R7" s="57"/>
      <c r="S7" s="57"/>
      <c r="T7" s="57"/>
      <c r="AF7" t="s">
        <v>88</v>
      </c>
      <c r="AG7" t="s">
        <v>89</v>
      </c>
      <c r="AH7" t="s">
        <v>90</v>
      </c>
    </row>
    <row r="8" spans="1:34" ht="15.75" x14ac:dyDescent="0.25">
      <c r="A8" s="21" t="s">
        <v>41</v>
      </c>
      <c r="B8" s="54">
        <v>1</v>
      </c>
      <c r="C8" s="54">
        <v>2436</v>
      </c>
      <c r="D8" s="54">
        <v>10.1</v>
      </c>
      <c r="E8" s="54">
        <v>17.7</v>
      </c>
      <c r="F8" s="54" t="s">
        <v>51</v>
      </c>
      <c r="G8" s="54">
        <v>7.7</v>
      </c>
      <c r="H8" s="54" t="s">
        <v>83</v>
      </c>
      <c r="I8" s="54" t="s">
        <v>54</v>
      </c>
      <c r="L8" s="21" t="s">
        <v>41</v>
      </c>
      <c r="M8" s="54">
        <v>1</v>
      </c>
      <c r="N8" s="54">
        <v>2326</v>
      </c>
      <c r="O8" s="54">
        <v>154.19999999999999</v>
      </c>
      <c r="P8" s="54">
        <v>495</v>
      </c>
      <c r="Q8" s="54" t="s">
        <v>51</v>
      </c>
      <c r="R8" s="54">
        <v>7.35</v>
      </c>
      <c r="S8" s="54" t="s">
        <v>84</v>
      </c>
      <c r="T8" s="56" t="s">
        <v>53</v>
      </c>
      <c r="U8" s="19"/>
      <c r="AF8">
        <f>D8</f>
        <v>10.1</v>
      </c>
      <c r="AG8">
        <f>E8</f>
        <v>17.7</v>
      </c>
      <c r="AH8">
        <f>G8</f>
        <v>7.7</v>
      </c>
    </row>
    <row r="9" spans="1:34" ht="15.75" x14ac:dyDescent="0.25">
      <c r="A9" s="22"/>
      <c r="B9" s="24">
        <v>2</v>
      </c>
      <c r="C9" s="24">
        <v>2364</v>
      </c>
      <c r="D9" s="24">
        <v>28.8</v>
      </c>
      <c r="E9" s="24">
        <v>49.2</v>
      </c>
      <c r="F9" s="24" t="s">
        <v>51</v>
      </c>
      <c r="G9" s="24">
        <v>7.3</v>
      </c>
      <c r="H9" s="24" t="s">
        <v>83</v>
      </c>
      <c r="I9" s="24" t="s">
        <v>54</v>
      </c>
      <c r="L9" s="22"/>
      <c r="M9" s="24">
        <v>2</v>
      </c>
      <c r="N9" s="24">
        <v>2322</v>
      </c>
      <c r="O9" s="24">
        <v>34.6</v>
      </c>
      <c r="P9" s="24">
        <v>71</v>
      </c>
      <c r="Q9" s="24" t="s">
        <v>51</v>
      </c>
      <c r="R9" s="24">
        <v>7.8</v>
      </c>
      <c r="S9" s="24" t="s">
        <v>83</v>
      </c>
      <c r="T9" s="24" t="s">
        <v>54</v>
      </c>
      <c r="U9" s="19"/>
      <c r="AF9">
        <f t="shared" ref="AF9:AF31" si="0">D9</f>
        <v>28.8</v>
      </c>
      <c r="AG9">
        <f t="shared" ref="AG9:AG31" si="1">E9</f>
        <v>49.2</v>
      </c>
      <c r="AH9">
        <f t="shared" ref="AH9:AH31" si="2">G9</f>
        <v>7.3</v>
      </c>
    </row>
    <row r="10" spans="1:34" ht="15.75" x14ac:dyDescent="0.25">
      <c r="A10" s="22"/>
      <c r="B10" s="24">
        <v>3</v>
      </c>
      <c r="C10" s="24">
        <v>2362</v>
      </c>
      <c r="D10" s="24">
        <v>23.4</v>
      </c>
      <c r="E10" s="24">
        <v>64.2</v>
      </c>
      <c r="F10" s="24" t="s">
        <v>51</v>
      </c>
      <c r="G10" s="28">
        <v>0</v>
      </c>
      <c r="H10" s="28" t="s">
        <v>83</v>
      </c>
      <c r="I10" s="28" t="s">
        <v>53</v>
      </c>
      <c r="L10" s="22"/>
      <c r="M10" s="24">
        <v>3</v>
      </c>
      <c r="N10" s="24">
        <v>2319</v>
      </c>
      <c r="O10" s="24">
        <v>20.5</v>
      </c>
      <c r="P10" s="24">
        <v>43</v>
      </c>
      <c r="Q10" s="24" t="s">
        <v>51</v>
      </c>
      <c r="R10" s="28">
        <v>0</v>
      </c>
      <c r="S10" s="28" t="s">
        <v>83</v>
      </c>
      <c r="T10" s="28" t="s">
        <v>53</v>
      </c>
      <c r="U10" s="19"/>
      <c r="AF10">
        <f t="shared" si="0"/>
        <v>23.4</v>
      </c>
      <c r="AG10">
        <f t="shared" si="1"/>
        <v>64.2</v>
      </c>
      <c r="AH10">
        <f t="shared" si="2"/>
        <v>0</v>
      </c>
    </row>
    <row r="11" spans="1:34" ht="15.75" x14ac:dyDescent="0.25">
      <c r="A11" s="22"/>
      <c r="B11" s="24">
        <v>4</v>
      </c>
      <c r="C11" s="24">
        <v>2357</v>
      </c>
      <c r="D11" s="24">
        <v>25.5</v>
      </c>
      <c r="E11" s="24">
        <v>42.4</v>
      </c>
      <c r="F11" s="24" t="s">
        <v>51</v>
      </c>
      <c r="G11" s="24">
        <v>7.3</v>
      </c>
      <c r="H11" s="24" t="s">
        <v>83</v>
      </c>
      <c r="I11" s="24" t="s">
        <v>54</v>
      </c>
      <c r="L11" s="22"/>
      <c r="M11" s="24">
        <v>4</v>
      </c>
      <c r="N11" s="24">
        <v>2428</v>
      </c>
      <c r="O11" s="24">
        <v>81.599999999999994</v>
      </c>
      <c r="P11" s="24">
        <v>143.5</v>
      </c>
      <c r="Q11" s="24" t="s">
        <v>51</v>
      </c>
      <c r="R11" s="24">
        <v>7.8</v>
      </c>
      <c r="S11" s="24" t="s">
        <v>84</v>
      </c>
      <c r="T11" s="28" t="s">
        <v>53</v>
      </c>
      <c r="U11" s="19"/>
      <c r="AF11">
        <f t="shared" si="0"/>
        <v>25.5</v>
      </c>
      <c r="AG11">
        <f t="shared" si="1"/>
        <v>42.4</v>
      </c>
      <c r="AH11">
        <f t="shared" si="2"/>
        <v>7.3</v>
      </c>
    </row>
    <row r="12" spans="1:34" ht="15.75" x14ac:dyDescent="0.25">
      <c r="A12" s="22"/>
      <c r="B12" s="24">
        <v>5</v>
      </c>
      <c r="C12" s="24">
        <v>2361</v>
      </c>
      <c r="D12" s="24">
        <v>11.6</v>
      </c>
      <c r="E12" s="24">
        <v>21.5</v>
      </c>
      <c r="F12" s="24" t="s">
        <v>51</v>
      </c>
      <c r="G12" s="24">
        <v>7.2</v>
      </c>
      <c r="H12" s="24" t="s">
        <v>83</v>
      </c>
      <c r="I12" s="24" t="s">
        <v>54</v>
      </c>
      <c r="L12" s="22"/>
      <c r="M12" s="24">
        <v>5</v>
      </c>
      <c r="N12" s="24">
        <v>2429</v>
      </c>
      <c r="O12" s="24">
        <v>99.3</v>
      </c>
      <c r="P12" s="24">
        <v>276.5</v>
      </c>
      <c r="Q12" s="24" t="s">
        <v>51</v>
      </c>
      <c r="R12" s="24">
        <v>7.4</v>
      </c>
      <c r="S12" s="24" t="s">
        <v>84</v>
      </c>
      <c r="T12" s="28" t="s">
        <v>53</v>
      </c>
      <c r="U12" s="19"/>
      <c r="AF12">
        <f t="shared" si="0"/>
        <v>11.6</v>
      </c>
      <c r="AG12">
        <f t="shared" si="1"/>
        <v>21.5</v>
      </c>
      <c r="AH12">
        <f t="shared" si="2"/>
        <v>7.2</v>
      </c>
    </row>
    <row r="13" spans="1:34" ht="16.5" thickBot="1" x14ac:dyDescent="0.3">
      <c r="A13" s="22"/>
      <c r="B13" s="51">
        <v>6</v>
      </c>
      <c r="C13" s="51">
        <v>5636</v>
      </c>
      <c r="D13" s="51">
        <v>57.4</v>
      </c>
      <c r="E13" s="51">
        <v>94.2</v>
      </c>
      <c r="F13" s="51" t="s">
        <v>51</v>
      </c>
      <c r="G13" s="51">
        <v>7.5</v>
      </c>
      <c r="H13" s="51" t="s">
        <v>84</v>
      </c>
      <c r="I13" s="52" t="s">
        <v>53</v>
      </c>
      <c r="L13" s="22"/>
      <c r="M13" s="47">
        <v>6</v>
      </c>
      <c r="N13" s="47">
        <v>2350</v>
      </c>
      <c r="O13" s="47">
        <v>9.3000000000000007</v>
      </c>
      <c r="P13" s="47">
        <v>24.7</v>
      </c>
      <c r="Q13" s="47" t="s">
        <v>51</v>
      </c>
      <c r="R13" s="47">
        <v>7.5</v>
      </c>
      <c r="S13" s="47" t="s">
        <v>83</v>
      </c>
      <c r="T13" s="53" t="s">
        <v>54</v>
      </c>
      <c r="U13" s="19"/>
      <c r="AF13">
        <f t="shared" si="0"/>
        <v>57.4</v>
      </c>
      <c r="AG13">
        <f t="shared" si="1"/>
        <v>94.2</v>
      </c>
      <c r="AH13">
        <f t="shared" si="2"/>
        <v>7.5</v>
      </c>
    </row>
    <row r="14" spans="1:34" ht="15.75" x14ac:dyDescent="0.25">
      <c r="A14" s="21" t="s">
        <v>47</v>
      </c>
      <c r="B14" s="45">
        <v>1</v>
      </c>
      <c r="C14" s="45">
        <v>6219</v>
      </c>
      <c r="D14" s="45">
        <v>51</v>
      </c>
      <c r="E14" s="45">
        <v>416</v>
      </c>
      <c r="F14" s="45" t="s">
        <v>51</v>
      </c>
      <c r="G14" s="46">
        <v>0</v>
      </c>
      <c r="H14" s="46" t="s">
        <v>83</v>
      </c>
      <c r="I14" s="46" t="s">
        <v>53</v>
      </c>
      <c r="L14" s="21" t="s">
        <v>47</v>
      </c>
      <c r="M14" s="54">
        <v>1</v>
      </c>
      <c r="N14" s="54">
        <v>3174</v>
      </c>
      <c r="O14" s="54">
        <v>24.6</v>
      </c>
      <c r="P14" s="54">
        <v>39.700000000000003</v>
      </c>
      <c r="Q14" s="54" t="s">
        <v>51</v>
      </c>
      <c r="R14" s="55">
        <v>7</v>
      </c>
      <c r="S14" s="55" t="s">
        <v>83</v>
      </c>
      <c r="T14" s="55" t="s">
        <v>54</v>
      </c>
      <c r="U14" s="19"/>
      <c r="AF14">
        <f t="shared" si="0"/>
        <v>51</v>
      </c>
      <c r="AG14">
        <f t="shared" si="1"/>
        <v>416</v>
      </c>
      <c r="AH14">
        <f t="shared" si="2"/>
        <v>0</v>
      </c>
    </row>
    <row r="15" spans="1:34" ht="15.75" x14ac:dyDescent="0.25">
      <c r="B15" s="24">
        <v>2</v>
      </c>
      <c r="C15" s="24">
        <v>6272</v>
      </c>
      <c r="D15" s="24">
        <v>92</v>
      </c>
      <c r="E15" s="24">
        <v>279</v>
      </c>
      <c r="F15" s="24" t="s">
        <v>51</v>
      </c>
      <c r="G15" s="24">
        <v>7.72</v>
      </c>
      <c r="H15" s="24" t="s">
        <v>84</v>
      </c>
      <c r="I15" s="28" t="s">
        <v>53</v>
      </c>
      <c r="M15" s="24">
        <v>2</v>
      </c>
      <c r="N15" s="24">
        <v>6230</v>
      </c>
      <c r="O15" s="24">
        <v>45</v>
      </c>
      <c r="P15" s="24">
        <v>85.7</v>
      </c>
      <c r="Q15" s="24" t="s">
        <v>51</v>
      </c>
      <c r="R15" s="24">
        <v>7.8</v>
      </c>
      <c r="S15" s="24" t="s">
        <v>84</v>
      </c>
      <c r="T15" s="28" t="s">
        <v>53</v>
      </c>
      <c r="U15" s="19"/>
      <c r="AF15">
        <f t="shared" si="0"/>
        <v>92</v>
      </c>
      <c r="AG15">
        <f t="shared" si="1"/>
        <v>279</v>
      </c>
      <c r="AH15">
        <f t="shared" si="2"/>
        <v>7.72</v>
      </c>
    </row>
    <row r="16" spans="1:34" ht="15.75" x14ac:dyDescent="0.25">
      <c r="A16" s="22"/>
      <c r="B16" s="24">
        <v>3</v>
      </c>
      <c r="C16" s="24">
        <v>6114</v>
      </c>
      <c r="D16" s="24">
        <v>80</v>
      </c>
      <c r="E16" s="24">
        <v>220</v>
      </c>
      <c r="F16" s="24" t="s">
        <v>51</v>
      </c>
      <c r="G16" s="24">
        <v>7.75</v>
      </c>
      <c r="H16" s="24" t="s">
        <v>84</v>
      </c>
      <c r="I16" s="28" t="s">
        <v>53</v>
      </c>
      <c r="L16" s="22"/>
      <c r="M16" s="24">
        <v>3</v>
      </c>
      <c r="N16" s="24">
        <v>6234</v>
      </c>
      <c r="O16" s="24">
        <v>11.3</v>
      </c>
      <c r="P16" s="24">
        <v>26.7</v>
      </c>
      <c r="Q16" s="24" t="s">
        <v>51</v>
      </c>
      <c r="R16" s="24">
        <v>7.7</v>
      </c>
      <c r="S16" s="24" t="s">
        <v>83</v>
      </c>
      <c r="T16" s="27" t="s">
        <v>54</v>
      </c>
      <c r="U16" s="19"/>
      <c r="AF16">
        <f t="shared" si="0"/>
        <v>80</v>
      </c>
      <c r="AG16">
        <f t="shared" si="1"/>
        <v>220</v>
      </c>
      <c r="AH16">
        <f t="shared" si="2"/>
        <v>7.75</v>
      </c>
    </row>
    <row r="17" spans="1:34" ht="15.75" x14ac:dyDescent="0.25">
      <c r="A17" s="22"/>
      <c r="B17" s="24">
        <v>4</v>
      </c>
      <c r="C17" s="24">
        <v>6217</v>
      </c>
      <c r="D17" s="24">
        <v>41.8</v>
      </c>
      <c r="E17" s="24">
        <v>181</v>
      </c>
      <c r="F17" s="24" t="s">
        <v>51</v>
      </c>
      <c r="G17" s="24">
        <v>7.8</v>
      </c>
      <c r="H17" s="24" t="s">
        <v>83</v>
      </c>
      <c r="I17" s="24" t="s">
        <v>54</v>
      </c>
      <c r="L17" s="22"/>
      <c r="M17" s="24">
        <v>4</v>
      </c>
      <c r="N17" s="24">
        <v>5000</v>
      </c>
      <c r="O17" s="24">
        <v>29.9</v>
      </c>
      <c r="P17" s="24">
        <v>97.7</v>
      </c>
      <c r="Q17" s="24" t="s">
        <v>51</v>
      </c>
      <c r="R17" s="24">
        <v>7.5</v>
      </c>
      <c r="S17" s="24" t="s">
        <v>83</v>
      </c>
      <c r="T17" s="27" t="s">
        <v>54</v>
      </c>
      <c r="U17" s="19"/>
      <c r="AF17">
        <f t="shared" si="0"/>
        <v>41.8</v>
      </c>
      <c r="AG17">
        <f t="shared" si="1"/>
        <v>181</v>
      </c>
      <c r="AH17">
        <f t="shared" si="2"/>
        <v>7.8</v>
      </c>
    </row>
    <row r="18" spans="1:34" ht="15.75" x14ac:dyDescent="0.25">
      <c r="A18" s="22"/>
      <c r="B18" s="24">
        <v>5</v>
      </c>
      <c r="C18" s="24">
        <v>6171</v>
      </c>
      <c r="D18" s="24">
        <v>26.4</v>
      </c>
      <c r="E18" s="24">
        <v>61.8</v>
      </c>
      <c r="F18" s="24" t="s">
        <v>51</v>
      </c>
      <c r="G18" s="24">
        <v>7.8250000000000002</v>
      </c>
      <c r="H18" s="24" t="s">
        <v>83</v>
      </c>
      <c r="I18" s="24" t="s">
        <v>54</v>
      </c>
      <c r="L18" s="22"/>
      <c r="M18" s="24">
        <v>5</v>
      </c>
      <c r="N18" s="24">
        <v>6235</v>
      </c>
      <c r="O18" s="24">
        <v>18</v>
      </c>
      <c r="P18" s="24">
        <v>32.299999999999997</v>
      </c>
      <c r="Q18" s="24" t="s">
        <v>51</v>
      </c>
      <c r="R18" s="24">
        <v>7.8</v>
      </c>
      <c r="S18" s="24" t="s">
        <v>83</v>
      </c>
      <c r="T18" s="27" t="s">
        <v>54</v>
      </c>
      <c r="U18" s="19"/>
      <c r="AF18">
        <f t="shared" si="0"/>
        <v>26.4</v>
      </c>
      <c r="AG18">
        <f t="shared" si="1"/>
        <v>61.8</v>
      </c>
      <c r="AH18">
        <f t="shared" si="2"/>
        <v>7.8250000000000002</v>
      </c>
    </row>
    <row r="19" spans="1:34" ht="16.5" thickBot="1" x14ac:dyDescent="0.3">
      <c r="A19" s="22"/>
      <c r="B19" s="51">
        <v>6</v>
      </c>
      <c r="C19" s="51">
        <v>6227</v>
      </c>
      <c r="D19" s="51">
        <v>11.8</v>
      </c>
      <c r="E19" s="51">
        <v>28.8</v>
      </c>
      <c r="F19" s="51" t="s">
        <v>51</v>
      </c>
      <c r="G19" s="51">
        <v>7.85</v>
      </c>
      <c r="H19" s="51" t="s">
        <v>83</v>
      </c>
      <c r="I19" s="51" t="s">
        <v>54</v>
      </c>
      <c r="L19" s="22"/>
      <c r="M19" s="47">
        <v>6</v>
      </c>
      <c r="N19" s="47">
        <v>6228</v>
      </c>
      <c r="O19" s="47">
        <v>21.9</v>
      </c>
      <c r="P19" s="47">
        <v>46.2</v>
      </c>
      <c r="Q19" s="47" t="s">
        <v>51</v>
      </c>
      <c r="R19" s="47">
        <v>7.8</v>
      </c>
      <c r="S19" s="47" t="s">
        <v>83</v>
      </c>
      <c r="T19" s="53" t="s">
        <v>54</v>
      </c>
      <c r="U19" s="19"/>
      <c r="AF19">
        <f t="shared" si="0"/>
        <v>11.8</v>
      </c>
      <c r="AG19">
        <f t="shared" si="1"/>
        <v>28.8</v>
      </c>
      <c r="AH19">
        <f t="shared" si="2"/>
        <v>7.85</v>
      </c>
    </row>
    <row r="20" spans="1:34" ht="15.75" x14ac:dyDescent="0.25">
      <c r="A20" s="21" t="s">
        <v>48</v>
      </c>
      <c r="B20" s="45">
        <v>1</v>
      </c>
      <c r="C20" s="45">
        <v>6285</v>
      </c>
      <c r="D20" s="45">
        <v>97</v>
      </c>
      <c r="E20" s="45">
        <v>195</v>
      </c>
      <c r="F20" s="45" t="s">
        <v>51</v>
      </c>
      <c r="G20" s="45">
        <v>7.75</v>
      </c>
      <c r="H20" s="45" t="s">
        <v>83</v>
      </c>
      <c r="I20" s="45" t="s">
        <v>54</v>
      </c>
      <c r="L20" s="21" t="s">
        <v>48</v>
      </c>
      <c r="M20" s="54">
        <v>1</v>
      </c>
      <c r="N20" s="54">
        <v>6000</v>
      </c>
      <c r="O20" s="54">
        <v>27.2</v>
      </c>
      <c r="P20" s="54">
        <v>150</v>
      </c>
      <c r="Q20" s="54" t="s">
        <v>51</v>
      </c>
      <c r="R20" s="54">
        <v>7.7</v>
      </c>
      <c r="S20" s="54" t="s">
        <v>84</v>
      </c>
      <c r="T20" s="56" t="s">
        <v>53</v>
      </c>
      <c r="U20" s="19"/>
      <c r="AF20">
        <f t="shared" si="0"/>
        <v>97</v>
      </c>
      <c r="AG20">
        <f t="shared" si="1"/>
        <v>195</v>
      </c>
      <c r="AH20">
        <f t="shared" si="2"/>
        <v>7.75</v>
      </c>
    </row>
    <row r="21" spans="1:34" ht="15.75" x14ac:dyDescent="0.25">
      <c r="A21" s="22"/>
      <c r="B21" s="24">
        <v>2</v>
      </c>
      <c r="C21" s="24">
        <v>6222</v>
      </c>
      <c r="D21" s="24">
        <v>42</v>
      </c>
      <c r="E21" s="24">
        <v>140</v>
      </c>
      <c r="F21" s="24" t="s">
        <v>51</v>
      </c>
      <c r="G21" s="24">
        <v>7.8</v>
      </c>
      <c r="H21" s="24" t="s">
        <v>84</v>
      </c>
      <c r="I21" s="28" t="s">
        <v>53</v>
      </c>
      <c r="L21" s="22"/>
      <c r="M21" s="24">
        <v>2</v>
      </c>
      <c r="N21" s="24">
        <v>6461</v>
      </c>
      <c r="O21" s="24">
        <v>15</v>
      </c>
      <c r="P21" s="24">
        <v>58.5</v>
      </c>
      <c r="Q21" s="24" t="s">
        <v>51</v>
      </c>
      <c r="R21" s="24">
        <v>7.6</v>
      </c>
      <c r="S21" s="24" t="s">
        <v>83</v>
      </c>
      <c r="T21" s="27" t="s">
        <v>54</v>
      </c>
      <c r="U21" s="19"/>
      <c r="AF21">
        <f t="shared" si="0"/>
        <v>42</v>
      </c>
      <c r="AG21">
        <f t="shared" si="1"/>
        <v>140</v>
      </c>
      <c r="AH21">
        <f t="shared" si="2"/>
        <v>7.8</v>
      </c>
    </row>
    <row r="22" spans="1:34" ht="15.75" x14ac:dyDescent="0.25">
      <c r="A22" s="22"/>
      <c r="B22" s="24">
        <v>3</v>
      </c>
      <c r="C22" s="24">
        <v>6284</v>
      </c>
      <c r="D22" s="24">
        <v>10.5</v>
      </c>
      <c r="E22" s="24">
        <v>31.7</v>
      </c>
      <c r="F22" s="24" t="s">
        <v>51</v>
      </c>
      <c r="G22" s="24">
        <v>7.75</v>
      </c>
      <c r="H22" s="24" t="s">
        <v>83</v>
      </c>
      <c r="I22" s="24" t="s">
        <v>54</v>
      </c>
      <c r="L22" s="22"/>
      <c r="M22" s="24">
        <v>3</v>
      </c>
      <c r="N22" s="24">
        <v>6001</v>
      </c>
      <c r="O22" s="24">
        <v>88.7</v>
      </c>
      <c r="P22" s="24">
        <v>521</v>
      </c>
      <c r="Q22" s="24" t="s">
        <v>51</v>
      </c>
      <c r="R22" s="24">
        <v>7.7</v>
      </c>
      <c r="S22" s="24" t="s">
        <v>84</v>
      </c>
      <c r="T22" s="28" t="s">
        <v>53</v>
      </c>
      <c r="U22" s="19"/>
      <c r="AF22">
        <f t="shared" si="0"/>
        <v>10.5</v>
      </c>
      <c r="AG22">
        <f t="shared" si="1"/>
        <v>31.7</v>
      </c>
      <c r="AH22">
        <f t="shared" si="2"/>
        <v>7.75</v>
      </c>
    </row>
    <row r="23" spans="1:34" ht="15.75" x14ac:dyDescent="0.25">
      <c r="B23" s="24">
        <v>4</v>
      </c>
      <c r="C23" s="24">
        <v>6287</v>
      </c>
      <c r="D23" s="24">
        <v>13.2</v>
      </c>
      <c r="E23" s="24">
        <v>34.5</v>
      </c>
      <c r="F23" s="24" t="s">
        <v>51</v>
      </c>
      <c r="G23" s="24">
        <v>7.68</v>
      </c>
      <c r="H23" s="24" t="s">
        <v>83</v>
      </c>
      <c r="I23" s="24" t="s">
        <v>54</v>
      </c>
      <c r="M23" s="24">
        <v>4</v>
      </c>
      <c r="N23" s="24">
        <v>6002</v>
      </c>
      <c r="O23" s="24">
        <v>16.100000000000001</v>
      </c>
      <c r="P23" s="24">
        <v>72.599999999999994</v>
      </c>
      <c r="Q23" s="24" t="s">
        <v>51</v>
      </c>
      <c r="R23" s="24">
        <v>7.4</v>
      </c>
      <c r="S23" s="24" t="s">
        <v>83</v>
      </c>
      <c r="T23" s="27" t="s">
        <v>54</v>
      </c>
      <c r="U23" s="19"/>
      <c r="AF23">
        <f t="shared" si="0"/>
        <v>13.2</v>
      </c>
      <c r="AG23">
        <f t="shared" si="1"/>
        <v>34.5</v>
      </c>
      <c r="AH23">
        <f t="shared" si="2"/>
        <v>7.68</v>
      </c>
    </row>
    <row r="24" spans="1:34" ht="15.75" x14ac:dyDescent="0.25">
      <c r="B24" s="24">
        <v>5</v>
      </c>
      <c r="C24" s="24">
        <v>6286</v>
      </c>
      <c r="D24" s="24">
        <v>29.2</v>
      </c>
      <c r="E24" s="24">
        <v>162</v>
      </c>
      <c r="F24" s="24" t="s">
        <v>51</v>
      </c>
      <c r="G24" s="24">
        <v>7.8</v>
      </c>
      <c r="H24" s="24" t="s">
        <v>83</v>
      </c>
      <c r="I24" s="24" t="s">
        <v>54</v>
      </c>
      <c r="M24" s="24">
        <v>5</v>
      </c>
      <c r="N24" s="24">
        <v>3292</v>
      </c>
      <c r="O24" s="24">
        <v>32</v>
      </c>
      <c r="P24" s="24">
        <v>79.5</v>
      </c>
      <c r="Q24" s="24" t="s">
        <v>51</v>
      </c>
      <c r="R24" s="24">
        <v>7.8</v>
      </c>
      <c r="S24" s="24" t="s">
        <v>83</v>
      </c>
      <c r="T24" s="27" t="s">
        <v>54</v>
      </c>
      <c r="U24" s="19"/>
      <c r="AF24">
        <f t="shared" si="0"/>
        <v>29.2</v>
      </c>
      <c r="AG24">
        <f t="shared" si="1"/>
        <v>162</v>
      </c>
      <c r="AH24">
        <f t="shared" si="2"/>
        <v>7.8</v>
      </c>
    </row>
    <row r="25" spans="1:34" ht="16.5" thickBot="1" x14ac:dyDescent="0.3">
      <c r="A25" s="22"/>
      <c r="B25" s="51">
        <v>6</v>
      </c>
      <c r="C25" s="51">
        <v>6220</v>
      </c>
      <c r="D25" s="51">
        <v>15.7</v>
      </c>
      <c r="E25" s="51">
        <v>31.5</v>
      </c>
      <c r="F25" s="51" t="s">
        <v>51</v>
      </c>
      <c r="G25" s="51">
        <v>7.8</v>
      </c>
      <c r="H25" s="51" t="s">
        <v>83</v>
      </c>
      <c r="I25" s="51" t="s">
        <v>54</v>
      </c>
      <c r="L25" s="22"/>
      <c r="M25" s="47">
        <v>6</v>
      </c>
      <c r="N25" s="47">
        <v>6003</v>
      </c>
      <c r="O25" s="47">
        <v>63.4</v>
      </c>
      <c r="P25" s="47">
        <v>127.8</v>
      </c>
      <c r="Q25" s="47" t="s">
        <v>51</v>
      </c>
      <c r="R25" s="47">
        <v>7.5</v>
      </c>
      <c r="S25" s="47" t="s">
        <v>84</v>
      </c>
      <c r="T25" s="48" t="s">
        <v>53</v>
      </c>
      <c r="U25" s="19"/>
      <c r="AF25">
        <f t="shared" si="0"/>
        <v>15.7</v>
      </c>
      <c r="AG25">
        <f t="shared" si="1"/>
        <v>31.5</v>
      </c>
      <c r="AH25">
        <f t="shared" si="2"/>
        <v>7.8</v>
      </c>
    </row>
    <row r="26" spans="1:34" ht="15.75" x14ac:dyDescent="0.25">
      <c r="A26" s="21" t="s">
        <v>49</v>
      </c>
      <c r="B26" s="45">
        <v>1</v>
      </c>
      <c r="C26" s="45">
        <v>6260</v>
      </c>
      <c r="D26" s="45">
        <v>18.399999999999999</v>
      </c>
      <c r="E26" s="45">
        <v>45</v>
      </c>
      <c r="F26" s="45" t="s">
        <v>51</v>
      </c>
      <c r="G26" s="45">
        <v>7.75</v>
      </c>
      <c r="H26" s="45" t="s">
        <v>83</v>
      </c>
      <c r="I26" s="45" t="s">
        <v>54</v>
      </c>
      <c r="L26" s="21" t="s">
        <v>49</v>
      </c>
      <c r="M26" s="54">
        <v>1</v>
      </c>
      <c r="N26" s="54">
        <v>2731</v>
      </c>
      <c r="O26" s="54">
        <v>18.5</v>
      </c>
      <c r="P26" s="54">
        <v>62.6</v>
      </c>
      <c r="Q26" s="54" t="s">
        <v>51</v>
      </c>
      <c r="R26" s="54">
        <v>7.2</v>
      </c>
      <c r="S26" s="54" t="s">
        <v>83</v>
      </c>
      <c r="T26" s="55" t="s">
        <v>54</v>
      </c>
      <c r="U26" s="19"/>
      <c r="AF26">
        <f t="shared" si="0"/>
        <v>18.399999999999999</v>
      </c>
      <c r="AG26">
        <f t="shared" si="1"/>
        <v>45</v>
      </c>
      <c r="AH26">
        <f t="shared" si="2"/>
        <v>7.75</v>
      </c>
    </row>
    <row r="27" spans="1:34" ht="15.75" x14ac:dyDescent="0.25">
      <c r="A27" s="22"/>
      <c r="B27" s="24">
        <v>2</v>
      </c>
      <c r="C27" s="24">
        <v>6264</v>
      </c>
      <c r="D27" s="24">
        <v>101</v>
      </c>
      <c r="E27" s="24">
        <v>286</v>
      </c>
      <c r="F27" s="24" t="s">
        <v>51</v>
      </c>
      <c r="G27" s="24">
        <v>7.72</v>
      </c>
      <c r="H27" s="24" t="s">
        <v>84</v>
      </c>
      <c r="I27" s="28" t="s">
        <v>53</v>
      </c>
      <c r="L27" s="22"/>
      <c r="M27" s="24">
        <v>2</v>
      </c>
      <c r="N27" s="24">
        <v>3502</v>
      </c>
      <c r="O27" s="24">
        <v>22.9</v>
      </c>
      <c r="P27" s="24">
        <v>35.799999999999997</v>
      </c>
      <c r="Q27" s="24" t="s">
        <v>51</v>
      </c>
      <c r="R27" s="24">
        <v>7.2</v>
      </c>
      <c r="S27" s="24" t="s">
        <v>83</v>
      </c>
      <c r="T27" s="27" t="s">
        <v>54</v>
      </c>
      <c r="U27" s="19"/>
      <c r="AF27">
        <f t="shared" si="0"/>
        <v>101</v>
      </c>
      <c r="AG27">
        <f t="shared" si="1"/>
        <v>286</v>
      </c>
      <c r="AH27">
        <f t="shared" si="2"/>
        <v>7.72</v>
      </c>
    </row>
    <row r="28" spans="1:34" ht="15.75" x14ac:dyDescent="0.25">
      <c r="A28" s="22"/>
      <c r="B28" s="24">
        <v>3</v>
      </c>
      <c r="C28" s="24">
        <v>6263</v>
      </c>
      <c r="D28" s="24">
        <v>26.9</v>
      </c>
      <c r="E28" s="24">
        <v>45.2</v>
      </c>
      <c r="F28" s="24" t="s">
        <v>51</v>
      </c>
      <c r="G28" s="24">
        <v>7.7</v>
      </c>
      <c r="H28" s="24" t="s">
        <v>83</v>
      </c>
      <c r="I28" s="24" t="s">
        <v>54</v>
      </c>
      <c r="L28" s="22"/>
      <c r="M28" s="24">
        <v>3</v>
      </c>
      <c r="N28" s="24">
        <v>3356</v>
      </c>
      <c r="O28" s="24">
        <v>22.5</v>
      </c>
      <c r="P28" s="24">
        <v>38.799999999999997</v>
      </c>
      <c r="Q28" s="24" t="s">
        <v>51</v>
      </c>
      <c r="R28" s="24">
        <v>7.6</v>
      </c>
      <c r="S28" s="24" t="s">
        <v>83</v>
      </c>
      <c r="T28" s="27" t="s">
        <v>54</v>
      </c>
      <c r="U28" s="19"/>
      <c r="AF28">
        <f t="shared" si="0"/>
        <v>26.9</v>
      </c>
      <c r="AG28">
        <f t="shared" si="1"/>
        <v>45.2</v>
      </c>
      <c r="AH28">
        <f t="shared" si="2"/>
        <v>7.7</v>
      </c>
    </row>
    <row r="29" spans="1:34" ht="15.75" x14ac:dyDescent="0.25">
      <c r="A29" s="22"/>
      <c r="B29" s="24">
        <v>4</v>
      </c>
      <c r="C29" s="24">
        <v>6262</v>
      </c>
      <c r="D29" s="24">
        <v>84.7</v>
      </c>
      <c r="E29" s="24">
        <v>413</v>
      </c>
      <c r="F29" s="24" t="s">
        <v>51</v>
      </c>
      <c r="G29" s="24">
        <v>7.7</v>
      </c>
      <c r="H29" s="24" t="s">
        <v>84</v>
      </c>
      <c r="I29" s="28" t="s">
        <v>53</v>
      </c>
      <c r="L29" s="22"/>
      <c r="M29" s="24">
        <v>4</v>
      </c>
      <c r="N29" s="24">
        <v>2874</v>
      </c>
      <c r="O29" s="24">
        <v>20.399999999999999</v>
      </c>
      <c r="P29" s="24">
        <v>51</v>
      </c>
      <c r="Q29" s="24" t="s">
        <v>51</v>
      </c>
      <c r="R29" s="24">
        <v>7</v>
      </c>
      <c r="S29" s="24" t="s">
        <v>83</v>
      </c>
      <c r="T29" s="27" t="s">
        <v>54</v>
      </c>
      <c r="U29" s="19"/>
      <c r="AF29">
        <f t="shared" si="0"/>
        <v>84.7</v>
      </c>
      <c r="AG29">
        <f t="shared" si="1"/>
        <v>413</v>
      </c>
      <c r="AH29">
        <f t="shared" si="2"/>
        <v>7.7</v>
      </c>
    </row>
    <row r="30" spans="1:34" ht="15.75" x14ac:dyDescent="0.25">
      <c r="A30" s="22"/>
      <c r="B30" s="24">
        <v>5</v>
      </c>
      <c r="C30" s="24">
        <v>6294</v>
      </c>
      <c r="D30" s="24">
        <v>29.3</v>
      </c>
      <c r="E30" s="24">
        <v>162</v>
      </c>
      <c r="F30" s="24" t="s">
        <v>51</v>
      </c>
      <c r="G30" s="28">
        <v>0</v>
      </c>
      <c r="H30" s="28" t="s">
        <v>83</v>
      </c>
      <c r="I30" s="28" t="s">
        <v>53</v>
      </c>
      <c r="L30" s="22"/>
      <c r="M30" s="24">
        <v>5</v>
      </c>
      <c r="N30" s="24">
        <v>2969</v>
      </c>
      <c r="O30" s="24">
        <v>366</v>
      </c>
      <c r="P30" s="24">
        <v>633.20000000000005</v>
      </c>
      <c r="Q30" s="24" t="s">
        <v>51</v>
      </c>
      <c r="R30" s="24">
        <v>7.7</v>
      </c>
      <c r="S30" s="24" t="s">
        <v>84</v>
      </c>
      <c r="T30" s="28" t="s">
        <v>53</v>
      </c>
      <c r="U30" s="19"/>
      <c r="AF30">
        <f t="shared" si="0"/>
        <v>29.3</v>
      </c>
      <c r="AG30">
        <f t="shared" si="1"/>
        <v>162</v>
      </c>
      <c r="AH30">
        <f t="shared" si="2"/>
        <v>0</v>
      </c>
    </row>
    <row r="31" spans="1:34" ht="16.5" thickBot="1" x14ac:dyDescent="0.3">
      <c r="A31" s="22"/>
      <c r="B31" s="47">
        <v>6</v>
      </c>
      <c r="C31" s="47">
        <v>3501</v>
      </c>
      <c r="D31" s="47">
        <v>15.7</v>
      </c>
      <c r="E31" s="47">
        <v>31.5</v>
      </c>
      <c r="F31" s="47" t="s">
        <v>51</v>
      </c>
      <c r="G31" s="48">
        <v>0</v>
      </c>
      <c r="H31" s="48" t="s">
        <v>83</v>
      </c>
      <c r="I31" s="48" t="s">
        <v>53</v>
      </c>
      <c r="L31" s="22"/>
      <c r="M31" s="47">
        <v>6</v>
      </c>
      <c r="N31" s="47">
        <v>2928</v>
      </c>
      <c r="O31" s="47">
        <v>27.8</v>
      </c>
      <c r="P31" s="47">
        <v>43.8</v>
      </c>
      <c r="Q31" s="47" t="s">
        <v>51</v>
      </c>
      <c r="R31" s="47">
        <v>7.6</v>
      </c>
      <c r="S31" s="47" t="s">
        <v>83</v>
      </c>
      <c r="T31" s="53" t="s">
        <v>54</v>
      </c>
      <c r="U31" s="19"/>
      <c r="AF31">
        <f t="shared" si="0"/>
        <v>15.7</v>
      </c>
      <c r="AG31">
        <f t="shared" si="1"/>
        <v>31.5</v>
      </c>
      <c r="AH31">
        <f t="shared" si="2"/>
        <v>0</v>
      </c>
    </row>
    <row r="32" spans="1:34" ht="15.75" x14ac:dyDescent="0.25">
      <c r="B32" s="49"/>
      <c r="C32" s="49"/>
      <c r="D32" s="49"/>
      <c r="E32" s="49"/>
      <c r="F32" s="29"/>
      <c r="G32" s="49"/>
      <c r="H32" s="50" t="s">
        <v>86</v>
      </c>
      <c r="I32" s="49">
        <f>COUNTIF(I6:I31,"Yes")</f>
        <v>14</v>
      </c>
      <c r="M32" s="49"/>
      <c r="N32" s="49"/>
      <c r="O32" s="49"/>
      <c r="P32" s="49"/>
      <c r="Q32" s="29"/>
      <c r="R32" s="49"/>
      <c r="S32" s="50" t="s">
        <v>86</v>
      </c>
      <c r="T32" s="49">
        <f>COUNTIF(T6:T31,"Yes")</f>
        <v>15</v>
      </c>
      <c r="U32" s="19"/>
      <c r="AF32">
        <f>O8</f>
        <v>154.19999999999999</v>
      </c>
      <c r="AG32">
        <f>P8</f>
        <v>495</v>
      </c>
      <c r="AH32">
        <f>R8</f>
        <v>7.35</v>
      </c>
    </row>
    <row r="33" spans="1:34" x14ac:dyDescent="0.25">
      <c r="Q33" s="19"/>
      <c r="U33" s="19"/>
      <c r="AF33">
        <f t="shared" ref="AF33:AG33" si="3">O9</f>
        <v>34.6</v>
      </c>
      <c r="AG33">
        <f t="shared" si="3"/>
        <v>71</v>
      </c>
      <c r="AH33">
        <f t="shared" ref="AH33:AH55" si="4">R9</f>
        <v>7.8</v>
      </c>
    </row>
    <row r="34" spans="1:34" x14ac:dyDescent="0.25">
      <c r="A34" t="s">
        <v>85</v>
      </c>
      <c r="L34" t="s">
        <v>85</v>
      </c>
      <c r="Q34" s="19"/>
      <c r="U34" s="19"/>
      <c r="AF34">
        <f t="shared" ref="AF34:AG34" si="5">O10</f>
        <v>20.5</v>
      </c>
      <c r="AG34">
        <f t="shared" si="5"/>
        <v>43</v>
      </c>
      <c r="AH34">
        <f t="shared" si="4"/>
        <v>0</v>
      </c>
    </row>
    <row r="35" spans="1:34" x14ac:dyDescent="0.25">
      <c r="A35" t="s">
        <v>55</v>
      </c>
      <c r="E35" t="s">
        <v>298</v>
      </c>
      <c r="L35" t="s">
        <v>55</v>
      </c>
      <c r="P35" s="196" t="s">
        <v>298</v>
      </c>
      <c r="Q35" s="19"/>
      <c r="U35" s="19"/>
      <c r="AF35">
        <f t="shared" ref="AF35:AG35" si="6">O11</f>
        <v>81.599999999999994</v>
      </c>
      <c r="AG35">
        <f t="shared" si="6"/>
        <v>143.5</v>
      </c>
      <c r="AH35">
        <f t="shared" si="4"/>
        <v>7.8</v>
      </c>
    </row>
    <row r="36" spans="1:34" ht="16.5" thickBot="1" x14ac:dyDescent="0.3">
      <c r="A36" s="22"/>
      <c r="L36" s="22"/>
      <c r="U36" s="19"/>
      <c r="AF36">
        <f t="shared" ref="AF36:AG36" si="7">O12</f>
        <v>99.3</v>
      </c>
      <c r="AG36">
        <f t="shared" si="7"/>
        <v>276.5</v>
      </c>
      <c r="AH36">
        <f t="shared" si="4"/>
        <v>7.4</v>
      </c>
    </row>
    <row r="37" spans="1:34" ht="15.75" x14ac:dyDescent="0.25">
      <c r="A37" s="39"/>
      <c r="B37" s="39"/>
      <c r="C37" s="39"/>
      <c r="D37" s="39" t="s">
        <v>56</v>
      </c>
      <c r="E37" s="29"/>
      <c r="F37" s="39"/>
      <c r="G37" s="39"/>
      <c r="H37" s="39"/>
      <c r="I37" s="40"/>
      <c r="K37" s="22"/>
      <c r="L37" s="38"/>
      <c r="M37" s="39"/>
      <c r="N37" s="39"/>
      <c r="O37" s="39"/>
      <c r="P37" s="39" t="s">
        <v>56</v>
      </c>
      <c r="Q37" s="29"/>
      <c r="R37" s="29"/>
      <c r="S37" s="39"/>
      <c r="T37" s="29"/>
      <c r="U37" s="59"/>
      <c r="AF37">
        <f>O13</f>
        <v>9.3000000000000007</v>
      </c>
      <c r="AG37">
        <f>P13</f>
        <v>24.7</v>
      </c>
      <c r="AH37">
        <f t="shared" ref="AH37:AH44" si="8">R13</f>
        <v>7.5</v>
      </c>
    </row>
    <row r="38" spans="1:34" ht="15.75" x14ac:dyDescent="0.25">
      <c r="A38" s="31"/>
      <c r="B38" s="31"/>
      <c r="C38" s="31"/>
      <c r="D38" s="31"/>
      <c r="E38" s="32"/>
      <c r="F38" s="31"/>
      <c r="G38" s="31"/>
      <c r="H38" s="31"/>
      <c r="I38" s="33"/>
      <c r="K38" s="22"/>
      <c r="L38" s="30"/>
      <c r="M38" s="31"/>
      <c r="N38" s="31"/>
      <c r="O38" s="31"/>
      <c r="P38" s="31"/>
      <c r="Q38" s="32"/>
      <c r="R38" s="32"/>
      <c r="S38" s="31"/>
      <c r="T38" s="19"/>
      <c r="U38" s="33"/>
      <c r="AF38">
        <f>O14</f>
        <v>24.6</v>
      </c>
      <c r="AG38">
        <f>P14</f>
        <v>39.700000000000003</v>
      </c>
      <c r="AH38">
        <f t="shared" si="8"/>
        <v>7</v>
      </c>
    </row>
    <row r="39" spans="1:34" x14ac:dyDescent="0.25">
      <c r="A39" s="30" t="s">
        <v>57</v>
      </c>
      <c r="B39" s="31"/>
      <c r="C39" s="31"/>
      <c r="D39" s="31"/>
      <c r="E39" s="31"/>
      <c r="F39" s="32"/>
      <c r="G39" s="31"/>
      <c r="H39" s="31"/>
      <c r="I39" s="33"/>
      <c r="L39" s="30" t="s">
        <v>75</v>
      </c>
      <c r="M39" s="31"/>
      <c r="N39" s="31"/>
      <c r="O39" s="31"/>
      <c r="P39" s="31"/>
      <c r="Q39" s="32"/>
      <c r="R39" s="32"/>
      <c r="S39" s="31"/>
      <c r="T39" s="19"/>
      <c r="U39" s="33"/>
      <c r="AF39">
        <f t="shared" ref="AF39:AG39" si="9">O15</f>
        <v>45</v>
      </c>
      <c r="AG39">
        <f t="shared" si="9"/>
        <v>85.7</v>
      </c>
      <c r="AH39">
        <f t="shared" si="8"/>
        <v>7.8</v>
      </c>
    </row>
    <row r="40" spans="1:34" x14ac:dyDescent="0.25">
      <c r="A40" s="30" t="s">
        <v>58</v>
      </c>
      <c r="B40" s="31"/>
      <c r="C40" s="31"/>
      <c r="D40" s="31"/>
      <c r="E40" s="31"/>
      <c r="F40" s="32"/>
      <c r="G40" s="31"/>
      <c r="H40" s="31"/>
      <c r="I40" s="33"/>
      <c r="L40" s="30" t="s">
        <v>76</v>
      </c>
      <c r="M40" s="31"/>
      <c r="N40" s="31"/>
      <c r="O40" s="31"/>
      <c r="P40" s="31"/>
      <c r="Q40" s="32"/>
      <c r="R40" s="32"/>
      <c r="S40" s="31"/>
      <c r="U40" s="33"/>
      <c r="AF40">
        <f t="shared" ref="AF40:AG40" si="10">O16</f>
        <v>11.3</v>
      </c>
      <c r="AG40">
        <f t="shared" si="10"/>
        <v>26.7</v>
      </c>
      <c r="AH40">
        <f t="shared" si="8"/>
        <v>7.7</v>
      </c>
    </row>
    <row r="41" spans="1:34" x14ac:dyDescent="0.25">
      <c r="A41" s="30"/>
      <c r="B41" s="31"/>
      <c r="C41" s="31"/>
      <c r="D41" s="31"/>
      <c r="E41" s="31"/>
      <c r="F41" s="32"/>
      <c r="G41" s="31"/>
      <c r="H41" s="31"/>
      <c r="I41" s="33"/>
      <c r="L41" s="30" t="s">
        <v>77</v>
      </c>
      <c r="M41" s="31"/>
      <c r="N41" s="31"/>
      <c r="O41" s="31"/>
      <c r="P41" s="31"/>
      <c r="Q41" s="32"/>
      <c r="R41" s="32"/>
      <c r="S41" s="31"/>
      <c r="U41" s="33"/>
      <c r="AF41">
        <f t="shared" ref="AF41:AG41" si="11">O17</f>
        <v>29.9</v>
      </c>
      <c r="AG41">
        <f t="shared" si="11"/>
        <v>97.7</v>
      </c>
      <c r="AH41">
        <f t="shared" si="8"/>
        <v>7.5</v>
      </c>
    </row>
    <row r="42" spans="1:34" x14ac:dyDescent="0.25">
      <c r="A42" s="30" t="s">
        <v>59</v>
      </c>
      <c r="B42" s="31"/>
      <c r="C42" s="31"/>
      <c r="D42" s="31"/>
      <c r="E42" s="31"/>
      <c r="F42" s="32"/>
      <c r="G42" s="31"/>
      <c r="H42" s="31"/>
      <c r="I42" s="33"/>
      <c r="L42" s="30"/>
      <c r="M42" s="31"/>
      <c r="N42" s="31"/>
      <c r="O42" s="31"/>
      <c r="P42" s="31"/>
      <c r="Q42" s="32"/>
      <c r="R42" s="32"/>
      <c r="S42" s="31"/>
      <c r="U42" s="33"/>
      <c r="AF42">
        <f t="shared" ref="AF42:AG42" si="12">O18</f>
        <v>18</v>
      </c>
      <c r="AG42">
        <f t="shared" si="12"/>
        <v>32.299999999999997</v>
      </c>
      <c r="AH42">
        <f t="shared" si="8"/>
        <v>7.8</v>
      </c>
    </row>
    <row r="43" spans="1:34" x14ac:dyDescent="0.25">
      <c r="A43" s="30"/>
      <c r="B43" s="31"/>
      <c r="C43" s="31"/>
      <c r="D43" s="31"/>
      <c r="E43" s="31"/>
      <c r="F43" s="32"/>
      <c r="G43" s="31"/>
      <c r="H43" s="31"/>
      <c r="I43" s="33"/>
      <c r="L43" s="30" t="s">
        <v>78</v>
      </c>
      <c r="M43" s="31"/>
      <c r="N43" s="31"/>
      <c r="O43" s="31"/>
      <c r="P43" s="31"/>
      <c r="Q43" s="32"/>
      <c r="R43" s="32"/>
      <c r="S43" s="31"/>
      <c r="U43" s="33"/>
      <c r="AF43">
        <f t="shared" ref="AF43:AG43" si="13">O19</f>
        <v>21.9</v>
      </c>
      <c r="AG43">
        <f t="shared" si="13"/>
        <v>46.2</v>
      </c>
      <c r="AH43">
        <f t="shared" si="8"/>
        <v>7.8</v>
      </c>
    </row>
    <row r="44" spans="1:34" x14ac:dyDescent="0.25">
      <c r="A44" s="30" t="s">
        <v>60</v>
      </c>
      <c r="B44" s="31"/>
      <c r="C44" s="31"/>
      <c r="D44" s="31"/>
      <c r="E44" s="31"/>
      <c r="F44" s="32"/>
      <c r="G44" s="31"/>
      <c r="H44" s="31"/>
      <c r="I44" s="33"/>
      <c r="L44" s="30"/>
      <c r="M44" s="31"/>
      <c r="N44" s="31"/>
      <c r="O44" s="31"/>
      <c r="P44" s="31"/>
      <c r="Q44" s="32"/>
      <c r="R44" s="32"/>
      <c r="S44" s="31"/>
      <c r="U44" s="33"/>
      <c r="AF44">
        <f t="shared" ref="AF44:AG44" si="14">O20</f>
        <v>27.2</v>
      </c>
      <c r="AG44">
        <f t="shared" si="14"/>
        <v>150</v>
      </c>
      <c r="AH44">
        <f t="shared" si="8"/>
        <v>7.7</v>
      </c>
    </row>
    <row r="45" spans="1:34" x14ac:dyDescent="0.25">
      <c r="A45" s="30" t="s">
        <v>61</v>
      </c>
      <c r="B45" s="31"/>
      <c r="C45" s="31"/>
      <c r="D45" s="31"/>
      <c r="E45" s="31"/>
      <c r="F45" s="32"/>
      <c r="G45" s="31"/>
      <c r="H45" s="31"/>
      <c r="I45" s="33"/>
      <c r="L45" s="30" t="s">
        <v>79</v>
      </c>
      <c r="M45" s="31"/>
      <c r="N45" s="31"/>
      <c r="O45" s="31"/>
      <c r="P45" s="31"/>
      <c r="Q45" s="32"/>
      <c r="R45" s="32"/>
      <c r="S45" s="31"/>
      <c r="T45" s="58"/>
      <c r="U45" s="60"/>
      <c r="AF45">
        <f t="shared" ref="AF45:AG45" si="15">O21</f>
        <v>15</v>
      </c>
      <c r="AG45">
        <f t="shared" si="15"/>
        <v>58.5</v>
      </c>
      <c r="AH45">
        <f t="shared" si="4"/>
        <v>7.6</v>
      </c>
    </row>
    <row r="46" spans="1:34" x14ac:dyDescent="0.25">
      <c r="A46" s="31" t="s">
        <v>62</v>
      </c>
      <c r="B46" s="31"/>
      <c r="C46" s="31"/>
      <c r="D46" s="31"/>
      <c r="E46" s="31"/>
      <c r="F46" s="32"/>
      <c r="G46" s="31"/>
      <c r="H46" s="31"/>
      <c r="I46" s="33"/>
      <c r="L46" s="30" t="s">
        <v>80</v>
      </c>
      <c r="M46" s="31"/>
      <c r="N46" s="31"/>
      <c r="O46" s="31"/>
      <c r="P46" s="31"/>
      <c r="Q46" s="32"/>
      <c r="R46" s="32"/>
      <c r="S46" s="31"/>
      <c r="T46" s="31"/>
      <c r="U46" s="33"/>
      <c r="AF46">
        <f t="shared" ref="AF46:AG46" si="16">O22</f>
        <v>88.7</v>
      </c>
      <c r="AG46">
        <f t="shared" si="16"/>
        <v>521</v>
      </c>
      <c r="AH46">
        <f t="shared" si="4"/>
        <v>7.7</v>
      </c>
    </row>
    <row r="47" spans="1:34" x14ac:dyDescent="0.25">
      <c r="A47" s="30" t="s">
        <v>63</v>
      </c>
      <c r="B47" s="31"/>
      <c r="C47" s="31"/>
      <c r="D47" s="31"/>
      <c r="E47" s="31"/>
      <c r="F47" s="32"/>
      <c r="G47" s="31"/>
      <c r="H47" s="31"/>
      <c r="I47" s="33"/>
      <c r="L47" s="30" t="s">
        <v>81</v>
      </c>
      <c r="M47" s="31"/>
      <c r="N47" s="31"/>
      <c r="O47" s="31"/>
      <c r="P47" s="31"/>
      <c r="Q47" s="32"/>
      <c r="R47" s="32"/>
      <c r="S47" s="31"/>
      <c r="T47" s="31"/>
      <c r="U47" s="33"/>
      <c r="AF47">
        <f t="shared" ref="AF47:AG47" si="17">O23</f>
        <v>16.100000000000001</v>
      </c>
      <c r="AG47">
        <f t="shared" si="17"/>
        <v>72.599999999999994</v>
      </c>
      <c r="AH47">
        <f t="shared" si="4"/>
        <v>7.4</v>
      </c>
    </row>
    <row r="48" spans="1:34" x14ac:dyDescent="0.25">
      <c r="A48" s="30" t="s">
        <v>64</v>
      </c>
      <c r="I48" s="33"/>
      <c r="L48" s="30"/>
      <c r="M48" s="31"/>
      <c r="N48" s="31"/>
      <c r="O48" s="31"/>
      <c r="P48" s="31"/>
      <c r="Q48" s="32"/>
      <c r="R48" s="32"/>
      <c r="S48" s="31"/>
      <c r="T48" s="31"/>
      <c r="U48" s="33"/>
      <c r="AF48">
        <f t="shared" ref="AF48:AG48" si="18">O24</f>
        <v>32</v>
      </c>
      <c r="AG48">
        <f t="shared" si="18"/>
        <v>79.5</v>
      </c>
      <c r="AH48">
        <f t="shared" si="4"/>
        <v>7.8</v>
      </c>
    </row>
    <row r="49" spans="1:34" x14ac:dyDescent="0.25">
      <c r="A49" s="30" t="s">
        <v>65</v>
      </c>
      <c r="I49" s="33"/>
      <c r="L49" s="30"/>
      <c r="M49" s="31"/>
      <c r="N49" s="31"/>
      <c r="O49" s="31"/>
      <c r="P49" s="31"/>
      <c r="Q49" s="32"/>
      <c r="R49" s="32"/>
      <c r="S49" s="31"/>
      <c r="T49" s="31"/>
      <c r="U49" s="33"/>
      <c r="AF49">
        <f t="shared" ref="AF49:AG49" si="19">O25</f>
        <v>63.4</v>
      </c>
      <c r="AG49">
        <f t="shared" si="19"/>
        <v>127.8</v>
      </c>
      <c r="AH49">
        <f t="shared" si="4"/>
        <v>7.5</v>
      </c>
    </row>
    <row r="50" spans="1:34" x14ac:dyDescent="0.25">
      <c r="A50" s="30"/>
      <c r="I50" s="33"/>
      <c r="L50" s="30"/>
      <c r="M50" s="31"/>
      <c r="N50" s="31"/>
      <c r="O50" s="31"/>
      <c r="P50" s="31"/>
      <c r="Q50" s="32"/>
      <c r="R50" s="32"/>
      <c r="S50" s="31"/>
      <c r="T50" s="31"/>
      <c r="U50" s="33"/>
      <c r="AF50">
        <f t="shared" ref="AF50:AG50" si="20">O26</f>
        <v>18.5</v>
      </c>
      <c r="AG50">
        <f t="shared" si="20"/>
        <v>62.6</v>
      </c>
      <c r="AH50">
        <f t="shared" si="4"/>
        <v>7.2</v>
      </c>
    </row>
    <row r="51" spans="1:34" x14ac:dyDescent="0.25">
      <c r="A51" s="30"/>
      <c r="I51" s="33"/>
      <c r="L51" s="30"/>
      <c r="M51" s="31"/>
      <c r="N51" s="31"/>
      <c r="O51" s="31"/>
      <c r="P51" s="31"/>
      <c r="Q51" s="32"/>
      <c r="R51" s="32"/>
      <c r="S51" s="31"/>
      <c r="T51" s="31"/>
      <c r="U51" s="33"/>
      <c r="AF51">
        <f t="shared" ref="AF51:AG51" si="21">O27</f>
        <v>22.9</v>
      </c>
      <c r="AG51">
        <f t="shared" si="21"/>
        <v>35.799999999999997</v>
      </c>
      <c r="AH51">
        <f t="shared" si="4"/>
        <v>7.2</v>
      </c>
    </row>
    <row r="52" spans="1:34" x14ac:dyDescent="0.25">
      <c r="A52" s="30"/>
      <c r="I52" s="33"/>
      <c r="L52" s="30"/>
      <c r="M52" s="31"/>
      <c r="N52" s="31"/>
      <c r="O52" s="31"/>
      <c r="P52" s="31"/>
      <c r="Q52" s="32"/>
      <c r="R52" s="32"/>
      <c r="S52" s="31"/>
      <c r="T52" s="31"/>
      <c r="U52" s="33"/>
      <c r="AF52">
        <f t="shared" ref="AF52:AG52" si="22">O28</f>
        <v>22.5</v>
      </c>
      <c r="AG52">
        <f t="shared" si="22"/>
        <v>38.799999999999997</v>
      </c>
      <c r="AH52">
        <f t="shared" si="4"/>
        <v>7.6</v>
      </c>
    </row>
    <row r="53" spans="1:34" x14ac:dyDescent="0.25">
      <c r="A53" s="30"/>
      <c r="I53" s="33"/>
      <c r="L53" s="30"/>
      <c r="M53" s="31"/>
      <c r="N53" s="31"/>
      <c r="O53" s="31"/>
      <c r="P53" s="31"/>
      <c r="Q53" s="32"/>
      <c r="R53" s="32"/>
      <c r="S53" s="31"/>
      <c r="T53" s="31"/>
      <c r="U53" s="33"/>
      <c r="AF53">
        <f t="shared" ref="AF53:AG53" si="23">O29</f>
        <v>20.399999999999999</v>
      </c>
      <c r="AG53">
        <f t="shared" si="23"/>
        <v>51</v>
      </c>
      <c r="AH53">
        <f t="shared" si="4"/>
        <v>7</v>
      </c>
    </row>
    <row r="54" spans="1:34" ht="15.75" thickBot="1" x14ac:dyDescent="0.3">
      <c r="A54" s="34"/>
      <c r="B54" s="35"/>
      <c r="C54" s="35"/>
      <c r="D54" s="35"/>
      <c r="E54" s="35"/>
      <c r="F54" s="36"/>
      <c r="G54" s="35"/>
      <c r="H54" s="35"/>
      <c r="I54" s="37"/>
      <c r="L54" s="34"/>
      <c r="M54" s="35"/>
      <c r="N54" s="35"/>
      <c r="O54" s="35"/>
      <c r="P54" s="35"/>
      <c r="Q54" s="36"/>
      <c r="R54" s="36"/>
      <c r="S54" s="35"/>
      <c r="T54" s="35"/>
      <c r="U54" s="37"/>
      <c r="AF54">
        <f t="shared" ref="AF54:AG54" si="24">O30</f>
        <v>366</v>
      </c>
      <c r="AG54">
        <f t="shared" si="24"/>
        <v>633.20000000000005</v>
      </c>
      <c r="AH54">
        <f t="shared" si="4"/>
        <v>7.7</v>
      </c>
    </row>
    <row r="55" spans="1:34" x14ac:dyDescent="0.25">
      <c r="U55" s="31"/>
      <c r="V55" s="31"/>
      <c r="AF55">
        <f t="shared" ref="AF55:AG55" si="25">O31</f>
        <v>27.8</v>
      </c>
      <c r="AG55">
        <f t="shared" si="25"/>
        <v>43.8</v>
      </c>
      <c r="AH55">
        <f t="shared" si="4"/>
        <v>7.6</v>
      </c>
    </row>
    <row r="56" spans="1:34" x14ac:dyDescent="0.25">
      <c r="U56" s="31"/>
      <c r="V56" s="31"/>
    </row>
    <row r="57" spans="1:34" x14ac:dyDescent="0.25">
      <c r="U57" s="31"/>
      <c r="V57" s="31"/>
    </row>
    <row r="58" spans="1:34" x14ac:dyDescent="0.25">
      <c r="U58" s="31"/>
      <c r="V58" s="31"/>
    </row>
    <row r="59" spans="1:34" x14ac:dyDescent="0.25">
      <c r="U59" s="31"/>
      <c r="V59" s="31"/>
    </row>
    <row r="60" spans="1:34" x14ac:dyDescent="0.25">
      <c r="U60" s="31"/>
      <c r="V60" s="31"/>
    </row>
    <row r="61" spans="1:34" x14ac:dyDescent="0.25">
      <c r="U61" s="31"/>
      <c r="V61" s="31"/>
    </row>
    <row r="62" spans="1:34" x14ac:dyDescent="0.25">
      <c r="U62" s="31"/>
      <c r="V62" s="31"/>
    </row>
  </sheetData>
  <pageMargins left="0.7" right="0.7" top="0.75" bottom="0.75" header="0.3" footer="0.3"/>
  <pageSetup orientation="portrait"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41"/>
  <sheetViews>
    <sheetView topLeftCell="A8" workbookViewId="0">
      <selection activeCell="B10" sqref="B10"/>
    </sheetView>
  </sheetViews>
  <sheetFormatPr defaultRowHeight="15" x14ac:dyDescent="0.25"/>
  <cols>
    <col min="3" max="4" width="13.140625" customWidth="1"/>
    <col min="5" max="5" width="12.28515625" customWidth="1"/>
    <col min="6" max="7" width="12.140625" customWidth="1"/>
    <col min="8" max="8" width="11.140625" customWidth="1"/>
  </cols>
  <sheetData>
    <row r="1" spans="1:8" ht="18.75" x14ac:dyDescent="0.3">
      <c r="A1" s="42" t="s">
        <v>66</v>
      </c>
      <c r="B1" s="42"/>
      <c r="C1" s="42"/>
      <c r="D1" s="42"/>
      <c r="E1" s="42"/>
    </row>
    <row r="2" spans="1:8" ht="18.75" x14ac:dyDescent="0.3">
      <c r="A2" s="42"/>
      <c r="B2" s="42"/>
      <c r="C2" s="42"/>
      <c r="D2" s="42"/>
      <c r="E2" s="42"/>
    </row>
    <row r="3" spans="1:8" ht="18.75" x14ac:dyDescent="0.3">
      <c r="A3" s="42"/>
      <c r="B3" s="42"/>
      <c r="C3" s="42"/>
      <c r="D3" s="43">
        <v>43323</v>
      </c>
      <c r="E3" s="42"/>
    </row>
    <row r="5" spans="1:8" ht="15.75" x14ac:dyDescent="0.25">
      <c r="A5" s="41" t="s">
        <v>67</v>
      </c>
      <c r="B5" s="41" t="s">
        <v>68</v>
      </c>
      <c r="C5" s="41" t="s">
        <v>43</v>
      </c>
      <c r="D5" s="41" t="s">
        <v>69</v>
      </c>
      <c r="E5" s="41" t="s">
        <v>70</v>
      </c>
      <c r="F5" s="41" t="s">
        <v>71</v>
      </c>
      <c r="G5" s="25" t="s">
        <v>82</v>
      </c>
      <c r="H5" s="41" t="s">
        <v>72</v>
      </c>
    </row>
    <row r="6" spans="1:8" x14ac:dyDescent="0.25">
      <c r="A6" s="26"/>
      <c r="B6" s="26"/>
      <c r="C6" s="26"/>
      <c r="D6" s="26"/>
      <c r="E6" s="26"/>
      <c r="F6" s="26"/>
      <c r="G6" s="26"/>
      <c r="H6" s="26"/>
    </row>
    <row r="7" spans="1:8" x14ac:dyDescent="0.25">
      <c r="A7" s="27">
        <v>1</v>
      </c>
      <c r="B7" s="27">
        <v>5654</v>
      </c>
      <c r="C7" s="27">
        <v>32.700000000000003</v>
      </c>
      <c r="D7" s="27">
        <v>66.400000000000006</v>
      </c>
      <c r="E7" s="27" t="s">
        <v>18</v>
      </c>
      <c r="F7" s="27">
        <v>7.8</v>
      </c>
      <c r="G7" s="27" t="s">
        <v>84</v>
      </c>
      <c r="H7" s="28" t="s">
        <v>73</v>
      </c>
    </row>
    <row r="8" spans="1:8" x14ac:dyDescent="0.25">
      <c r="A8" s="27">
        <v>2</v>
      </c>
      <c r="B8" s="27">
        <v>5640</v>
      </c>
      <c r="C8" s="27">
        <v>11.6</v>
      </c>
      <c r="D8" s="27">
        <v>40.200000000000003</v>
      </c>
      <c r="E8" s="27" t="s">
        <v>18</v>
      </c>
      <c r="F8" s="27">
        <v>7.75</v>
      </c>
      <c r="G8" s="27" t="s">
        <v>83</v>
      </c>
      <c r="H8" s="27" t="s">
        <v>51</v>
      </c>
    </row>
    <row r="9" spans="1:8" x14ac:dyDescent="0.25">
      <c r="A9" s="27">
        <v>3</v>
      </c>
      <c r="B9" s="27">
        <v>2363</v>
      </c>
      <c r="C9" s="27">
        <v>23.3</v>
      </c>
      <c r="D9" s="27">
        <v>37.799999999999997</v>
      </c>
      <c r="E9" s="27" t="s">
        <v>18</v>
      </c>
      <c r="F9" s="27">
        <v>7.1</v>
      </c>
      <c r="G9" s="27" t="s">
        <v>83</v>
      </c>
      <c r="H9" s="27" t="s">
        <v>51</v>
      </c>
    </row>
    <row r="10" spans="1:8" x14ac:dyDescent="0.25">
      <c r="A10" s="27">
        <v>4</v>
      </c>
      <c r="B10" s="27">
        <v>6224</v>
      </c>
      <c r="C10" s="27">
        <v>13.8</v>
      </c>
      <c r="D10" s="27">
        <v>30.1</v>
      </c>
      <c r="E10" s="27" t="s">
        <v>18</v>
      </c>
      <c r="F10" s="27">
        <v>7.7949999999999999</v>
      </c>
      <c r="G10" s="27" t="s">
        <v>83</v>
      </c>
      <c r="H10" s="27" t="s">
        <v>51</v>
      </c>
    </row>
    <row r="11" spans="1:8" x14ac:dyDescent="0.25">
      <c r="A11" s="27">
        <v>5</v>
      </c>
      <c r="B11" s="27">
        <v>3359</v>
      </c>
      <c r="C11" s="27">
        <v>10.6</v>
      </c>
      <c r="D11" s="27">
        <v>17.5</v>
      </c>
      <c r="E11" s="27" t="s">
        <v>18</v>
      </c>
      <c r="F11" s="27">
        <v>7.05</v>
      </c>
      <c r="G11" s="27" t="s">
        <v>83</v>
      </c>
      <c r="H11" s="27" t="s">
        <v>51</v>
      </c>
    </row>
    <row r="12" spans="1:8" x14ac:dyDescent="0.25">
      <c r="A12" s="27">
        <v>6</v>
      </c>
      <c r="B12" s="27">
        <v>3381</v>
      </c>
      <c r="C12" s="27">
        <v>15.4</v>
      </c>
      <c r="D12" s="27">
        <v>42.1</v>
      </c>
      <c r="E12" s="27" t="s">
        <v>18</v>
      </c>
      <c r="F12" s="27">
        <v>6.95</v>
      </c>
      <c r="G12" s="27" t="s">
        <v>84</v>
      </c>
      <c r="H12" s="44" t="s">
        <v>74</v>
      </c>
    </row>
    <row r="13" spans="1:8" x14ac:dyDescent="0.25">
      <c r="A13" s="27">
        <v>7</v>
      </c>
      <c r="B13" s="27">
        <v>3175</v>
      </c>
      <c r="C13" s="27">
        <v>9.8000000000000007</v>
      </c>
      <c r="D13" s="27">
        <v>16.600000000000001</v>
      </c>
      <c r="E13" s="27" t="s">
        <v>18</v>
      </c>
      <c r="F13" s="27">
        <v>7</v>
      </c>
      <c r="G13" s="27" t="s">
        <v>83</v>
      </c>
      <c r="H13" s="27" t="s">
        <v>51</v>
      </c>
    </row>
    <row r="14" spans="1:8" x14ac:dyDescent="0.25">
      <c r="A14" s="27">
        <v>8</v>
      </c>
      <c r="B14" s="27">
        <v>2998</v>
      </c>
      <c r="C14" s="27">
        <v>11.4</v>
      </c>
      <c r="D14" s="27">
        <v>45.6</v>
      </c>
      <c r="E14" s="27" t="s">
        <v>18</v>
      </c>
      <c r="F14" s="27">
        <v>7.1</v>
      </c>
      <c r="G14" s="27" t="s">
        <v>84</v>
      </c>
      <c r="H14" s="44" t="s">
        <v>74</v>
      </c>
    </row>
    <row r="15" spans="1:8" x14ac:dyDescent="0.25">
      <c r="A15" s="27">
        <v>9</v>
      </c>
      <c r="B15" s="27">
        <v>6279</v>
      </c>
      <c r="C15" s="27">
        <v>10.7</v>
      </c>
      <c r="D15" s="27">
        <v>20.5</v>
      </c>
      <c r="E15" s="27" t="s">
        <v>18</v>
      </c>
      <c r="F15" s="27">
        <v>7.8</v>
      </c>
      <c r="G15" s="27" t="s">
        <v>83</v>
      </c>
      <c r="H15" s="27" t="s">
        <v>51</v>
      </c>
    </row>
    <row r="16" spans="1:8" x14ac:dyDescent="0.25">
      <c r="A16" s="27">
        <v>10</v>
      </c>
      <c r="B16" s="27">
        <v>2360</v>
      </c>
      <c r="C16" s="27">
        <v>8.6999999999999993</v>
      </c>
      <c r="D16" s="27">
        <v>16.2</v>
      </c>
      <c r="E16" s="27" t="s">
        <v>18</v>
      </c>
      <c r="F16" s="27">
        <v>7</v>
      </c>
      <c r="G16" s="27" t="s">
        <v>83</v>
      </c>
      <c r="H16" s="27" t="s">
        <v>51</v>
      </c>
    </row>
    <row r="17" spans="1:8" x14ac:dyDescent="0.25">
      <c r="A17" s="27">
        <v>11</v>
      </c>
      <c r="B17" s="27">
        <v>3186</v>
      </c>
      <c r="C17" s="27">
        <v>25.2</v>
      </c>
      <c r="D17" s="27">
        <v>47.2</v>
      </c>
      <c r="E17" s="27" t="s">
        <v>18</v>
      </c>
      <c r="F17" s="27">
        <v>7</v>
      </c>
      <c r="G17" s="27" t="s">
        <v>83</v>
      </c>
      <c r="H17" s="27" t="s">
        <v>51</v>
      </c>
    </row>
    <row r="18" spans="1:8" x14ac:dyDescent="0.25">
      <c r="A18" s="27">
        <v>12</v>
      </c>
      <c r="B18" s="27">
        <v>3360</v>
      </c>
      <c r="C18" s="27">
        <v>4.5</v>
      </c>
      <c r="D18" s="27">
        <v>9.5</v>
      </c>
      <c r="E18" s="27" t="s">
        <v>18</v>
      </c>
      <c r="F18" s="27">
        <v>7</v>
      </c>
      <c r="G18" s="27" t="s">
        <v>83</v>
      </c>
      <c r="H18" s="27" t="s">
        <v>51</v>
      </c>
    </row>
    <row r="19" spans="1:8" x14ac:dyDescent="0.25">
      <c r="A19" s="27">
        <v>13</v>
      </c>
      <c r="B19" s="27">
        <v>3219</v>
      </c>
      <c r="C19" s="27">
        <v>20.5</v>
      </c>
      <c r="D19" s="27">
        <v>40.1</v>
      </c>
      <c r="E19" s="27" t="s">
        <v>18</v>
      </c>
      <c r="F19" s="27">
        <v>7.4</v>
      </c>
      <c r="G19" s="27" t="s">
        <v>84</v>
      </c>
      <c r="H19" s="44" t="s">
        <v>74</v>
      </c>
    </row>
    <row r="20" spans="1:8" x14ac:dyDescent="0.25">
      <c r="A20" s="27">
        <v>14</v>
      </c>
      <c r="B20" s="27">
        <v>3172</v>
      </c>
      <c r="C20" s="27">
        <v>84.3</v>
      </c>
      <c r="D20" s="27">
        <v>138.1</v>
      </c>
      <c r="E20" s="27" t="s">
        <v>18</v>
      </c>
      <c r="F20" s="27">
        <v>7.2</v>
      </c>
      <c r="G20" s="27" t="s">
        <v>84</v>
      </c>
      <c r="H20" s="44" t="s">
        <v>74</v>
      </c>
    </row>
    <row r="21" spans="1:8" x14ac:dyDescent="0.25">
      <c r="A21" s="27">
        <v>15</v>
      </c>
      <c r="B21" s="27">
        <v>5653</v>
      </c>
      <c r="C21" s="27">
        <v>6.2</v>
      </c>
      <c r="D21" s="27">
        <v>15</v>
      </c>
      <c r="E21" s="27" t="s">
        <v>18</v>
      </c>
      <c r="F21" s="27">
        <v>7.45</v>
      </c>
      <c r="G21" s="27" t="s">
        <v>83</v>
      </c>
      <c r="H21" s="27" t="s">
        <v>51</v>
      </c>
    </row>
    <row r="22" spans="1:8" x14ac:dyDescent="0.25">
      <c r="A22" s="27">
        <v>16</v>
      </c>
      <c r="B22" s="27">
        <v>6234</v>
      </c>
      <c r="C22" s="27">
        <v>11.1</v>
      </c>
      <c r="D22" s="27">
        <v>24.4</v>
      </c>
      <c r="E22" s="27" t="s">
        <v>18</v>
      </c>
      <c r="F22" s="27">
        <v>7.8</v>
      </c>
      <c r="G22" s="27" t="s">
        <v>83</v>
      </c>
      <c r="H22" s="27" t="s">
        <v>51</v>
      </c>
    </row>
    <row r="23" spans="1:8" x14ac:dyDescent="0.25">
      <c r="A23" s="27">
        <v>17</v>
      </c>
      <c r="B23" s="27">
        <v>6239</v>
      </c>
      <c r="C23" s="27">
        <v>9.5</v>
      </c>
      <c r="D23" s="27">
        <v>18.8</v>
      </c>
      <c r="E23" s="27" t="s">
        <v>18</v>
      </c>
      <c r="F23" s="27">
        <v>7.6</v>
      </c>
      <c r="G23" s="27" t="s">
        <v>83</v>
      </c>
      <c r="H23" s="27" t="s">
        <v>51</v>
      </c>
    </row>
    <row r="24" spans="1:8" x14ac:dyDescent="0.25">
      <c r="A24" s="27">
        <v>18</v>
      </c>
      <c r="B24" s="27">
        <v>6244</v>
      </c>
      <c r="C24" s="27">
        <v>6.7</v>
      </c>
      <c r="D24" s="27">
        <v>19.600000000000001</v>
      </c>
      <c r="E24" s="27" t="s">
        <v>18</v>
      </c>
      <c r="F24" s="27">
        <v>7.6</v>
      </c>
      <c r="G24" s="27" t="s">
        <v>83</v>
      </c>
      <c r="H24" s="27" t="s">
        <v>51</v>
      </c>
    </row>
    <row r="25" spans="1:8" x14ac:dyDescent="0.25">
      <c r="A25" s="27">
        <v>19</v>
      </c>
      <c r="B25" s="27"/>
      <c r="C25" s="27"/>
      <c r="D25" s="27"/>
      <c r="E25" s="27"/>
      <c r="F25" s="27"/>
      <c r="G25" s="27"/>
      <c r="H25" s="27"/>
    </row>
    <row r="26" spans="1:8" x14ac:dyDescent="0.25">
      <c r="A26" s="27">
        <v>20</v>
      </c>
      <c r="B26" s="27"/>
      <c r="C26" s="27"/>
      <c r="D26" s="27"/>
      <c r="E26" s="27"/>
      <c r="F26" s="27"/>
      <c r="G26" s="27"/>
      <c r="H26" s="27"/>
    </row>
    <row r="27" spans="1:8" x14ac:dyDescent="0.25">
      <c r="A27" s="27">
        <v>21</v>
      </c>
      <c r="B27" s="27"/>
      <c r="C27" s="27"/>
      <c r="D27" s="27"/>
      <c r="E27" s="27"/>
      <c r="F27" s="27"/>
      <c r="G27" s="27"/>
      <c r="H27" s="27"/>
    </row>
    <row r="28" spans="1:8" x14ac:dyDescent="0.25">
      <c r="A28" s="27">
        <v>22</v>
      </c>
      <c r="B28" s="27"/>
      <c r="C28" s="27"/>
      <c r="D28" s="27"/>
      <c r="E28" s="27"/>
      <c r="F28" s="27"/>
      <c r="G28" s="27"/>
      <c r="H28" s="27"/>
    </row>
    <row r="29" spans="1:8" x14ac:dyDescent="0.25">
      <c r="A29" s="27">
        <v>23</v>
      </c>
      <c r="B29" s="27"/>
      <c r="C29" s="27"/>
      <c r="D29" s="27"/>
      <c r="E29" s="27"/>
      <c r="F29" s="27"/>
      <c r="G29" s="27"/>
      <c r="H29" s="27"/>
    </row>
    <row r="30" spans="1:8" x14ac:dyDescent="0.25">
      <c r="A30" s="27">
        <v>24</v>
      </c>
      <c r="B30" s="27"/>
      <c r="C30" s="27"/>
      <c r="D30" s="27"/>
      <c r="E30" s="27"/>
      <c r="F30" s="27"/>
      <c r="G30" s="27"/>
      <c r="H30" s="27"/>
    </row>
    <row r="31" spans="1:8" x14ac:dyDescent="0.25">
      <c r="A31" s="27">
        <v>25</v>
      </c>
      <c r="B31" s="27"/>
      <c r="C31" s="27"/>
      <c r="D31" s="27"/>
      <c r="E31" s="27"/>
      <c r="F31" s="27"/>
      <c r="G31" s="27"/>
      <c r="H31" s="27"/>
    </row>
    <row r="32" spans="1:8" x14ac:dyDescent="0.25">
      <c r="A32" s="27">
        <v>26</v>
      </c>
      <c r="B32" s="27"/>
      <c r="C32" s="27"/>
      <c r="D32" s="27"/>
      <c r="E32" s="27"/>
      <c r="F32" s="27"/>
      <c r="G32" s="27"/>
      <c r="H32" s="27"/>
    </row>
    <row r="33" spans="1:8" x14ac:dyDescent="0.25">
      <c r="A33" s="27">
        <v>27</v>
      </c>
      <c r="B33" s="27"/>
      <c r="C33" s="27"/>
      <c r="D33" s="27"/>
      <c r="E33" s="27"/>
      <c r="F33" s="27"/>
      <c r="G33" s="27"/>
      <c r="H33" s="27"/>
    </row>
    <row r="34" spans="1:8" x14ac:dyDescent="0.25">
      <c r="A34" s="27">
        <v>28</v>
      </c>
      <c r="B34" s="27"/>
      <c r="C34" s="27"/>
      <c r="D34" s="27"/>
      <c r="E34" s="27"/>
      <c r="F34" s="27"/>
      <c r="G34" s="27"/>
      <c r="H34" s="27"/>
    </row>
    <row r="35" spans="1:8" x14ac:dyDescent="0.25">
      <c r="A35" s="27">
        <v>29</v>
      </c>
      <c r="B35" s="27"/>
      <c r="C35" s="27"/>
      <c r="D35" s="27"/>
      <c r="E35" s="27"/>
      <c r="F35" s="27"/>
      <c r="G35" s="27"/>
      <c r="H35" s="27"/>
    </row>
    <row r="36" spans="1:8" x14ac:dyDescent="0.25">
      <c r="A36" s="27">
        <v>30</v>
      </c>
      <c r="B36" s="27"/>
      <c r="C36" s="27"/>
      <c r="D36" s="27"/>
      <c r="E36" s="27"/>
      <c r="F36" s="27"/>
      <c r="G36" s="27"/>
      <c r="H36" s="27"/>
    </row>
    <row r="37" spans="1:8" x14ac:dyDescent="0.25">
      <c r="A37" s="27">
        <v>31</v>
      </c>
      <c r="B37" s="27"/>
      <c r="C37" s="27"/>
      <c r="D37" s="27"/>
      <c r="E37" s="27"/>
      <c r="F37" s="27"/>
      <c r="G37" s="27"/>
      <c r="H37" s="27"/>
    </row>
    <row r="38" spans="1:8" x14ac:dyDescent="0.25">
      <c r="A38" s="27">
        <v>32</v>
      </c>
      <c r="B38" s="27"/>
      <c r="C38" s="27"/>
      <c r="D38" s="27"/>
      <c r="E38" s="27"/>
      <c r="F38" s="27"/>
      <c r="G38" s="27"/>
      <c r="H38" s="27"/>
    </row>
    <row r="39" spans="1:8" x14ac:dyDescent="0.25">
      <c r="A39" s="27">
        <v>33</v>
      </c>
      <c r="B39" s="27"/>
      <c r="C39" s="27"/>
      <c r="D39" s="27"/>
      <c r="E39" s="27"/>
      <c r="F39" s="27"/>
      <c r="G39" s="27"/>
      <c r="H39" s="27"/>
    </row>
    <row r="40" spans="1:8" x14ac:dyDescent="0.25">
      <c r="A40" s="27">
        <v>34</v>
      </c>
      <c r="B40" s="27"/>
      <c r="C40" s="27"/>
      <c r="D40" s="27"/>
      <c r="E40" s="27"/>
      <c r="F40" s="27"/>
      <c r="G40" s="27"/>
      <c r="H40" s="27"/>
    </row>
    <row r="41" spans="1:8" x14ac:dyDescent="0.25">
      <c r="G41" t="s">
        <v>87</v>
      </c>
      <c r="H41">
        <f>COUNTIF(H6:H40,"Good")</f>
        <v>13</v>
      </c>
    </row>
  </sheetData>
  <pageMargins left="0.7" right="0.7" top="0.75" bottom="0.75" header="0.3" footer="0.3"/>
  <pageSetup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M75"/>
  <sheetViews>
    <sheetView topLeftCell="A40" zoomScale="90" zoomScaleNormal="90" workbookViewId="0">
      <selection activeCell="C26" sqref="C26"/>
    </sheetView>
  </sheetViews>
  <sheetFormatPr defaultRowHeight="15" x14ac:dyDescent="0.25"/>
  <cols>
    <col min="4" max="4" width="13" customWidth="1"/>
    <col min="5" max="5" width="11.140625" customWidth="1"/>
    <col min="6" max="6" width="10.5703125" customWidth="1"/>
    <col min="7" max="7" width="12.42578125" customWidth="1"/>
    <col min="8" max="8" width="12" customWidth="1"/>
    <col min="11" max="11" width="10.7109375" customWidth="1"/>
    <col min="12" max="12" width="10.28515625" customWidth="1"/>
    <col min="13" max="13" width="10.85546875" customWidth="1"/>
  </cols>
  <sheetData>
    <row r="3" spans="1:13" x14ac:dyDescent="0.25">
      <c r="C3" s="25" t="s">
        <v>50</v>
      </c>
      <c r="D3" s="25" t="s">
        <v>43</v>
      </c>
      <c r="E3" s="25" t="s">
        <v>44</v>
      </c>
      <c r="F3" s="25" t="s">
        <v>45</v>
      </c>
      <c r="G3" s="25" t="s">
        <v>46</v>
      </c>
      <c r="H3" s="25" t="s">
        <v>82</v>
      </c>
      <c r="I3" s="25" t="s">
        <v>52</v>
      </c>
      <c r="K3" s="61" t="s">
        <v>97</v>
      </c>
      <c r="L3" s="61" t="s">
        <v>98</v>
      </c>
      <c r="M3" s="61" t="s">
        <v>99</v>
      </c>
    </row>
    <row r="4" spans="1:13" x14ac:dyDescent="0.25">
      <c r="A4" t="s">
        <v>94</v>
      </c>
      <c r="B4" t="s">
        <v>41</v>
      </c>
      <c r="C4">
        <f>'Operational Data'!C8</f>
        <v>2436</v>
      </c>
      <c r="D4">
        <f>'Operational Data'!D8</f>
        <v>10.1</v>
      </c>
      <c r="E4">
        <f>'Operational Data'!E8</f>
        <v>17.7</v>
      </c>
      <c r="F4" t="str">
        <f>'Operational Data'!F8</f>
        <v>Good</v>
      </c>
      <c r="G4">
        <f>'Operational Data'!G8</f>
        <v>7.7</v>
      </c>
      <c r="H4" t="str">
        <f>'Operational Data'!H8</f>
        <v>N</v>
      </c>
      <c r="I4" t="str">
        <f>'Operational Data'!I8</f>
        <v>Yes</v>
      </c>
      <c r="K4">
        <f>COUNTIF(I4:I69, "Yes") + COUNTIF(I4:I69,"Good")</f>
        <v>42</v>
      </c>
      <c r="L4">
        <f>COUNTIF(I4:I69, "No") + COUNTIF(I4:I69,"Bad")</f>
        <v>20</v>
      </c>
      <c r="M4">
        <f>COUNTIF(I4:I69, "Marginal")</f>
        <v>4</v>
      </c>
    </row>
    <row r="5" spans="1:13" x14ac:dyDescent="0.25">
      <c r="C5">
        <f>'Operational Data'!C9</f>
        <v>2364</v>
      </c>
      <c r="D5">
        <f>'Operational Data'!D9</f>
        <v>28.8</v>
      </c>
      <c r="E5">
        <f>'Operational Data'!E9</f>
        <v>49.2</v>
      </c>
      <c r="F5" t="str">
        <f>'Operational Data'!F9</f>
        <v>Good</v>
      </c>
      <c r="G5">
        <f>'Operational Data'!G9</f>
        <v>7.3</v>
      </c>
      <c r="H5" t="str">
        <f>'Operational Data'!H9</f>
        <v>N</v>
      </c>
      <c r="I5" t="str">
        <f>'Operational Data'!I9</f>
        <v>Yes</v>
      </c>
    </row>
    <row r="6" spans="1:13" x14ac:dyDescent="0.25">
      <c r="C6">
        <f>'Operational Data'!C10</f>
        <v>2362</v>
      </c>
      <c r="D6">
        <f>'Operational Data'!D10</f>
        <v>23.4</v>
      </c>
      <c r="E6">
        <f>'Operational Data'!E10</f>
        <v>64.2</v>
      </c>
      <c r="F6" t="str">
        <f>'Operational Data'!F10</f>
        <v>Good</v>
      </c>
      <c r="G6">
        <f>'Operational Data'!G10</f>
        <v>0</v>
      </c>
      <c r="H6" t="str">
        <f>'Operational Data'!H10</f>
        <v>N</v>
      </c>
      <c r="I6" t="str">
        <f>'Operational Data'!I10</f>
        <v>No</v>
      </c>
    </row>
    <row r="7" spans="1:13" x14ac:dyDescent="0.25">
      <c r="C7">
        <f>'Operational Data'!C11</f>
        <v>2357</v>
      </c>
      <c r="D7">
        <f>'Operational Data'!D11</f>
        <v>25.5</v>
      </c>
      <c r="E7">
        <f>'Operational Data'!E11</f>
        <v>42.4</v>
      </c>
      <c r="F7" t="str">
        <f>'Operational Data'!F11</f>
        <v>Good</v>
      </c>
      <c r="G7">
        <f>'Operational Data'!G11</f>
        <v>7.3</v>
      </c>
      <c r="H7" t="str">
        <f>'Operational Data'!H11</f>
        <v>N</v>
      </c>
      <c r="I7" t="str">
        <f>'Operational Data'!I11</f>
        <v>Yes</v>
      </c>
    </row>
    <row r="8" spans="1:13" x14ac:dyDescent="0.25">
      <c r="C8">
        <f>'Operational Data'!C12</f>
        <v>2361</v>
      </c>
      <c r="D8">
        <f>'Operational Data'!D12</f>
        <v>11.6</v>
      </c>
      <c r="E8">
        <f>'Operational Data'!E12</f>
        <v>21.5</v>
      </c>
      <c r="F8" t="str">
        <f>'Operational Data'!F12</f>
        <v>Good</v>
      </c>
      <c r="G8">
        <f>'Operational Data'!G12</f>
        <v>7.2</v>
      </c>
      <c r="H8" t="str">
        <f>'Operational Data'!H12</f>
        <v>N</v>
      </c>
      <c r="I8" t="str">
        <f>'Operational Data'!I12</f>
        <v>Yes</v>
      </c>
    </row>
    <row r="9" spans="1:13" x14ac:dyDescent="0.25">
      <c r="C9">
        <f>'Operational Data'!C13</f>
        <v>5636</v>
      </c>
      <c r="D9">
        <f>'Operational Data'!D13</f>
        <v>57.4</v>
      </c>
      <c r="E9">
        <f>'Operational Data'!E13</f>
        <v>94.2</v>
      </c>
      <c r="F9" t="str">
        <f>'Operational Data'!F13</f>
        <v>Good</v>
      </c>
      <c r="G9">
        <f>'Operational Data'!G13</f>
        <v>7.5</v>
      </c>
      <c r="H9" t="str">
        <f>'Operational Data'!H13</f>
        <v>Y</v>
      </c>
      <c r="I9" t="str">
        <f>'Operational Data'!I13</f>
        <v>No</v>
      </c>
    </row>
    <row r="10" spans="1:13" x14ac:dyDescent="0.25">
      <c r="B10" t="s">
        <v>47</v>
      </c>
      <c r="C10">
        <f>'Operational Data'!C14</f>
        <v>6219</v>
      </c>
      <c r="D10">
        <f>'Operational Data'!D14</f>
        <v>51</v>
      </c>
      <c r="E10">
        <f>'Operational Data'!E14</f>
        <v>416</v>
      </c>
      <c r="F10" t="str">
        <f>'Operational Data'!F14</f>
        <v>Good</v>
      </c>
      <c r="G10">
        <f>'Operational Data'!G14</f>
        <v>0</v>
      </c>
      <c r="H10" t="str">
        <f>'Operational Data'!H14</f>
        <v>N</v>
      </c>
      <c r="I10" t="str">
        <f>'Operational Data'!I14</f>
        <v>No</v>
      </c>
    </row>
    <row r="11" spans="1:13" x14ac:dyDescent="0.25">
      <c r="C11">
        <f>'Operational Data'!C15</f>
        <v>6272</v>
      </c>
      <c r="D11">
        <f>'Operational Data'!D15</f>
        <v>92</v>
      </c>
      <c r="E11">
        <f>'Operational Data'!E15</f>
        <v>279</v>
      </c>
      <c r="F11" t="str">
        <f>'Operational Data'!F15</f>
        <v>Good</v>
      </c>
      <c r="G11">
        <f>'Operational Data'!G15</f>
        <v>7.72</v>
      </c>
      <c r="H11" t="str">
        <f>'Operational Data'!H15</f>
        <v>Y</v>
      </c>
      <c r="I11" t="str">
        <f>'Operational Data'!I15</f>
        <v>No</v>
      </c>
    </row>
    <row r="12" spans="1:13" x14ac:dyDescent="0.25">
      <c r="C12">
        <f>'Operational Data'!C16</f>
        <v>6114</v>
      </c>
      <c r="D12">
        <f>'Operational Data'!D16</f>
        <v>80</v>
      </c>
      <c r="E12">
        <f>'Operational Data'!E16</f>
        <v>220</v>
      </c>
      <c r="F12" t="str">
        <f>'Operational Data'!F16</f>
        <v>Good</v>
      </c>
      <c r="G12">
        <f>'Operational Data'!G16</f>
        <v>7.75</v>
      </c>
      <c r="H12" t="str">
        <f>'Operational Data'!H16</f>
        <v>Y</v>
      </c>
      <c r="I12" t="str">
        <f>'Operational Data'!I16</f>
        <v>No</v>
      </c>
    </row>
    <row r="13" spans="1:13" x14ac:dyDescent="0.25">
      <c r="C13">
        <f>'Operational Data'!C17</f>
        <v>6217</v>
      </c>
      <c r="D13">
        <f>'Operational Data'!D17</f>
        <v>41.8</v>
      </c>
      <c r="E13">
        <f>'Operational Data'!E17</f>
        <v>181</v>
      </c>
      <c r="F13" t="str">
        <f>'Operational Data'!F17</f>
        <v>Good</v>
      </c>
      <c r="G13">
        <f>'Operational Data'!G17</f>
        <v>7.8</v>
      </c>
      <c r="H13" t="str">
        <f>'Operational Data'!H17</f>
        <v>N</v>
      </c>
      <c r="I13" t="str">
        <f>'Operational Data'!I17</f>
        <v>Yes</v>
      </c>
    </row>
    <row r="14" spans="1:13" x14ac:dyDescent="0.25">
      <c r="C14">
        <f>'Operational Data'!C18</f>
        <v>6171</v>
      </c>
      <c r="D14">
        <f>'Operational Data'!D18</f>
        <v>26.4</v>
      </c>
      <c r="E14">
        <f>'Operational Data'!E18</f>
        <v>61.8</v>
      </c>
      <c r="F14" t="str">
        <f>'Operational Data'!F18</f>
        <v>Good</v>
      </c>
      <c r="G14">
        <f>'Operational Data'!G18</f>
        <v>7.8250000000000002</v>
      </c>
      <c r="H14" t="str">
        <f>'Operational Data'!H18</f>
        <v>N</v>
      </c>
      <c r="I14" t="str">
        <f>'Operational Data'!I18</f>
        <v>Yes</v>
      </c>
    </row>
    <row r="15" spans="1:13" x14ac:dyDescent="0.25">
      <c r="C15">
        <f>'Operational Data'!C19</f>
        <v>6227</v>
      </c>
      <c r="D15">
        <f>'Operational Data'!D19</f>
        <v>11.8</v>
      </c>
      <c r="E15">
        <f>'Operational Data'!E19</f>
        <v>28.8</v>
      </c>
      <c r="F15" t="str">
        <f>'Operational Data'!F19</f>
        <v>Good</v>
      </c>
      <c r="G15">
        <f>'Operational Data'!G19</f>
        <v>7.85</v>
      </c>
      <c r="H15" t="str">
        <f>'Operational Data'!H19</f>
        <v>N</v>
      </c>
      <c r="I15" t="str">
        <f>'Operational Data'!I19</f>
        <v>Yes</v>
      </c>
    </row>
    <row r="16" spans="1:13" x14ac:dyDescent="0.25">
      <c r="B16" t="s">
        <v>48</v>
      </c>
      <c r="C16">
        <f>'Operational Data'!C20</f>
        <v>6285</v>
      </c>
      <c r="D16">
        <f>'Operational Data'!D20</f>
        <v>97</v>
      </c>
      <c r="E16">
        <f>'Operational Data'!E20</f>
        <v>195</v>
      </c>
      <c r="F16" t="str">
        <f>'Operational Data'!F20</f>
        <v>Good</v>
      </c>
      <c r="G16">
        <f>'Operational Data'!G20</f>
        <v>7.75</v>
      </c>
      <c r="H16" t="str">
        <f>'Operational Data'!H20</f>
        <v>N</v>
      </c>
      <c r="I16" t="str">
        <f>'Operational Data'!I20</f>
        <v>Yes</v>
      </c>
    </row>
    <row r="17" spans="1:9" x14ac:dyDescent="0.25">
      <c r="C17">
        <f>'Operational Data'!C21</f>
        <v>6222</v>
      </c>
      <c r="D17">
        <f>'Operational Data'!D21</f>
        <v>42</v>
      </c>
      <c r="E17">
        <f>'Operational Data'!E21</f>
        <v>140</v>
      </c>
      <c r="F17" t="str">
        <f>'Operational Data'!F21</f>
        <v>Good</v>
      </c>
      <c r="G17">
        <f>'Operational Data'!G21</f>
        <v>7.8</v>
      </c>
      <c r="H17" t="str">
        <f>'Operational Data'!H21</f>
        <v>Y</v>
      </c>
      <c r="I17" t="str">
        <f>'Operational Data'!I21</f>
        <v>No</v>
      </c>
    </row>
    <row r="18" spans="1:9" x14ac:dyDescent="0.25">
      <c r="C18">
        <f>'Operational Data'!C22</f>
        <v>6284</v>
      </c>
      <c r="D18">
        <f>'Operational Data'!D22</f>
        <v>10.5</v>
      </c>
      <c r="E18">
        <f>'Operational Data'!E22</f>
        <v>31.7</v>
      </c>
      <c r="F18" t="str">
        <f>'Operational Data'!F22</f>
        <v>Good</v>
      </c>
      <c r="G18">
        <f>'Operational Data'!G22</f>
        <v>7.75</v>
      </c>
      <c r="H18" t="str">
        <f>'Operational Data'!H22</f>
        <v>N</v>
      </c>
      <c r="I18" t="str">
        <f>'Operational Data'!I22</f>
        <v>Yes</v>
      </c>
    </row>
    <row r="19" spans="1:9" x14ac:dyDescent="0.25">
      <c r="C19">
        <f>'Operational Data'!C23</f>
        <v>6287</v>
      </c>
      <c r="D19">
        <f>'Operational Data'!D23</f>
        <v>13.2</v>
      </c>
      <c r="E19">
        <f>'Operational Data'!E23</f>
        <v>34.5</v>
      </c>
      <c r="F19" t="str">
        <f>'Operational Data'!F23</f>
        <v>Good</v>
      </c>
      <c r="G19">
        <f>'Operational Data'!G23</f>
        <v>7.68</v>
      </c>
      <c r="H19" t="str">
        <f>'Operational Data'!H23</f>
        <v>N</v>
      </c>
      <c r="I19" t="str">
        <f>'Operational Data'!I23</f>
        <v>Yes</v>
      </c>
    </row>
    <row r="20" spans="1:9" x14ac:dyDescent="0.25">
      <c r="C20">
        <f>'Operational Data'!C24</f>
        <v>6286</v>
      </c>
      <c r="D20">
        <f>'Operational Data'!D24</f>
        <v>29.2</v>
      </c>
      <c r="E20">
        <f>'Operational Data'!E24</f>
        <v>162</v>
      </c>
      <c r="F20" t="str">
        <f>'Operational Data'!F24</f>
        <v>Good</v>
      </c>
      <c r="G20">
        <f>'Operational Data'!G24</f>
        <v>7.8</v>
      </c>
      <c r="H20" t="str">
        <f>'Operational Data'!H24</f>
        <v>N</v>
      </c>
      <c r="I20" t="str">
        <f>'Operational Data'!I24</f>
        <v>Yes</v>
      </c>
    </row>
    <row r="21" spans="1:9" x14ac:dyDescent="0.25">
      <c r="C21">
        <f>'Operational Data'!C25</f>
        <v>6220</v>
      </c>
      <c r="D21">
        <f>'Operational Data'!D25</f>
        <v>15.7</v>
      </c>
      <c r="E21">
        <f>'Operational Data'!E25</f>
        <v>31.5</v>
      </c>
      <c r="F21" t="str">
        <f>'Operational Data'!F25</f>
        <v>Good</v>
      </c>
      <c r="G21">
        <f>'Operational Data'!G25</f>
        <v>7.8</v>
      </c>
      <c r="H21" t="str">
        <f>'Operational Data'!H25</f>
        <v>N</v>
      </c>
      <c r="I21" t="str">
        <f>'Operational Data'!I25</f>
        <v>Yes</v>
      </c>
    </row>
    <row r="22" spans="1:9" x14ac:dyDescent="0.25">
      <c r="B22" t="s">
        <v>49</v>
      </c>
      <c r="C22">
        <f>'Operational Data'!C26</f>
        <v>6260</v>
      </c>
      <c r="D22">
        <f>'Operational Data'!D26</f>
        <v>18.399999999999999</v>
      </c>
      <c r="E22">
        <f>'Operational Data'!E26</f>
        <v>45</v>
      </c>
      <c r="F22" t="str">
        <f>'Operational Data'!F26</f>
        <v>Good</v>
      </c>
      <c r="G22">
        <f>'Operational Data'!G26</f>
        <v>7.75</v>
      </c>
      <c r="H22" t="str">
        <f>'Operational Data'!H26</f>
        <v>N</v>
      </c>
      <c r="I22" t="str">
        <f>'Operational Data'!I26</f>
        <v>Yes</v>
      </c>
    </row>
    <row r="23" spans="1:9" x14ac:dyDescent="0.25">
      <c r="C23">
        <f>'Operational Data'!C27</f>
        <v>6264</v>
      </c>
      <c r="D23">
        <f>'Operational Data'!D27</f>
        <v>101</v>
      </c>
      <c r="E23">
        <f>'Operational Data'!E27</f>
        <v>286</v>
      </c>
      <c r="F23" t="str">
        <f>'Operational Data'!F27</f>
        <v>Good</v>
      </c>
      <c r="G23">
        <f>'Operational Data'!G27</f>
        <v>7.72</v>
      </c>
      <c r="H23" t="str">
        <f>'Operational Data'!H27</f>
        <v>Y</v>
      </c>
      <c r="I23" t="str">
        <f>'Operational Data'!I27</f>
        <v>No</v>
      </c>
    </row>
    <row r="24" spans="1:9" x14ac:dyDescent="0.25">
      <c r="C24">
        <f>'Operational Data'!C28</f>
        <v>6263</v>
      </c>
      <c r="D24">
        <f>'Operational Data'!D28</f>
        <v>26.9</v>
      </c>
      <c r="E24">
        <f>'Operational Data'!E28</f>
        <v>45.2</v>
      </c>
      <c r="F24" t="str">
        <f>'Operational Data'!F28</f>
        <v>Good</v>
      </c>
      <c r="G24">
        <f>'Operational Data'!G28</f>
        <v>7.7</v>
      </c>
      <c r="H24" t="str">
        <f>'Operational Data'!H28</f>
        <v>N</v>
      </c>
      <c r="I24" t="str">
        <f>'Operational Data'!I28</f>
        <v>Yes</v>
      </c>
    </row>
    <row r="25" spans="1:9" x14ac:dyDescent="0.25">
      <c r="C25">
        <f>'Operational Data'!C29</f>
        <v>6262</v>
      </c>
      <c r="D25">
        <f>'Operational Data'!D29</f>
        <v>84.7</v>
      </c>
      <c r="E25">
        <f>'Operational Data'!E29</f>
        <v>413</v>
      </c>
      <c r="F25" t="str">
        <f>'Operational Data'!F29</f>
        <v>Good</v>
      </c>
      <c r="G25">
        <f>'Operational Data'!G29</f>
        <v>7.7</v>
      </c>
      <c r="H25" t="str">
        <f>'Operational Data'!H29</f>
        <v>Y</v>
      </c>
      <c r="I25" t="str">
        <f>'Operational Data'!I29</f>
        <v>No</v>
      </c>
    </row>
    <row r="26" spans="1:9" x14ac:dyDescent="0.25">
      <c r="C26">
        <f>'Operational Data'!C30</f>
        <v>6294</v>
      </c>
      <c r="D26">
        <f>'Operational Data'!D30</f>
        <v>29.3</v>
      </c>
      <c r="E26">
        <f>'Operational Data'!E30</f>
        <v>162</v>
      </c>
      <c r="F26" t="str">
        <f>'Operational Data'!F30</f>
        <v>Good</v>
      </c>
      <c r="G26">
        <f>'Operational Data'!G30</f>
        <v>0</v>
      </c>
      <c r="H26" t="str">
        <f>'Operational Data'!H30</f>
        <v>N</v>
      </c>
      <c r="I26" t="str">
        <f>'Operational Data'!I30</f>
        <v>No</v>
      </c>
    </row>
    <row r="27" spans="1:9" x14ac:dyDescent="0.25">
      <c r="C27">
        <f>'Operational Data'!C31</f>
        <v>3501</v>
      </c>
      <c r="D27">
        <f>'Operational Data'!D31</f>
        <v>15.7</v>
      </c>
      <c r="E27">
        <f>'Operational Data'!E31</f>
        <v>31.5</v>
      </c>
      <c r="F27" t="str">
        <f>'Operational Data'!F31</f>
        <v>Good</v>
      </c>
      <c r="G27">
        <f>'Operational Data'!G31</f>
        <v>0</v>
      </c>
      <c r="H27" t="str">
        <f>'Operational Data'!H31</f>
        <v>N</v>
      </c>
      <c r="I27" t="str">
        <f>'Operational Data'!I31</f>
        <v>No</v>
      </c>
    </row>
    <row r="28" spans="1:9" x14ac:dyDescent="0.25">
      <c r="A28" t="s">
        <v>95</v>
      </c>
      <c r="B28" t="s">
        <v>41</v>
      </c>
      <c r="C28">
        <f>'Operational Data'!N8</f>
        <v>2326</v>
      </c>
      <c r="D28">
        <f>'Operational Data'!O8</f>
        <v>154.19999999999999</v>
      </c>
      <c r="E28">
        <f>'Operational Data'!P8</f>
        <v>495</v>
      </c>
      <c r="F28" t="str">
        <f>'Operational Data'!Q8</f>
        <v>Good</v>
      </c>
      <c r="G28">
        <f>'Operational Data'!R8</f>
        <v>7.35</v>
      </c>
      <c r="H28" t="str">
        <f>'Operational Data'!S8</f>
        <v>Y</v>
      </c>
      <c r="I28" t="str">
        <f>'Operational Data'!T8</f>
        <v>No</v>
      </c>
    </row>
    <row r="29" spans="1:9" x14ac:dyDescent="0.25">
      <c r="C29">
        <f>'Operational Data'!N9</f>
        <v>2322</v>
      </c>
      <c r="D29">
        <f>'Operational Data'!O9</f>
        <v>34.6</v>
      </c>
      <c r="E29">
        <f>'Operational Data'!P9</f>
        <v>71</v>
      </c>
      <c r="F29" t="str">
        <f>'Operational Data'!Q9</f>
        <v>Good</v>
      </c>
      <c r="G29">
        <f>'Operational Data'!R9</f>
        <v>7.8</v>
      </c>
      <c r="H29" t="str">
        <f>'Operational Data'!S9</f>
        <v>N</v>
      </c>
      <c r="I29" t="str">
        <f>'Operational Data'!T9</f>
        <v>Yes</v>
      </c>
    </row>
    <row r="30" spans="1:9" x14ac:dyDescent="0.25">
      <c r="C30">
        <f>'Operational Data'!N10</f>
        <v>2319</v>
      </c>
      <c r="D30">
        <f>'Operational Data'!O10</f>
        <v>20.5</v>
      </c>
      <c r="E30">
        <f>'Operational Data'!P10</f>
        <v>43</v>
      </c>
      <c r="F30" t="str">
        <f>'Operational Data'!Q10</f>
        <v>Good</v>
      </c>
      <c r="G30">
        <f>'Operational Data'!R10</f>
        <v>0</v>
      </c>
      <c r="H30" t="str">
        <f>'Operational Data'!S10</f>
        <v>N</v>
      </c>
      <c r="I30" t="str">
        <f>'Operational Data'!T10</f>
        <v>No</v>
      </c>
    </row>
    <row r="31" spans="1:9" x14ac:dyDescent="0.25">
      <c r="C31">
        <f>'Operational Data'!N11</f>
        <v>2428</v>
      </c>
      <c r="D31">
        <f>'Operational Data'!O11</f>
        <v>81.599999999999994</v>
      </c>
      <c r="E31">
        <f>'Operational Data'!P11</f>
        <v>143.5</v>
      </c>
      <c r="F31" t="str">
        <f>'Operational Data'!Q11</f>
        <v>Good</v>
      </c>
      <c r="G31">
        <f>'Operational Data'!R11</f>
        <v>7.8</v>
      </c>
      <c r="H31" t="str">
        <f>'Operational Data'!S11</f>
        <v>Y</v>
      </c>
      <c r="I31" t="str">
        <f>'Operational Data'!T11</f>
        <v>No</v>
      </c>
    </row>
    <row r="32" spans="1:9" x14ac:dyDescent="0.25">
      <c r="C32">
        <f>'Operational Data'!N12</f>
        <v>2429</v>
      </c>
      <c r="D32">
        <f>'Operational Data'!O12</f>
        <v>99.3</v>
      </c>
      <c r="E32">
        <f>'Operational Data'!P12</f>
        <v>276.5</v>
      </c>
      <c r="F32" t="str">
        <f>'Operational Data'!Q12</f>
        <v>Good</v>
      </c>
      <c r="G32">
        <f>'Operational Data'!R12</f>
        <v>7.4</v>
      </c>
      <c r="H32" t="str">
        <f>'Operational Data'!S12</f>
        <v>Y</v>
      </c>
      <c r="I32" t="str">
        <f>'Operational Data'!T12</f>
        <v>No</v>
      </c>
    </row>
    <row r="33" spans="2:9" x14ac:dyDescent="0.25">
      <c r="C33">
        <f>'Operational Data'!N13</f>
        <v>2350</v>
      </c>
      <c r="D33">
        <f>'Operational Data'!O13</f>
        <v>9.3000000000000007</v>
      </c>
      <c r="E33">
        <f>'Operational Data'!P13</f>
        <v>24.7</v>
      </c>
      <c r="F33" t="str">
        <f>'Operational Data'!Q13</f>
        <v>Good</v>
      </c>
      <c r="G33">
        <f>'Operational Data'!R13</f>
        <v>7.5</v>
      </c>
      <c r="H33" t="str">
        <f>'Operational Data'!S13</f>
        <v>N</v>
      </c>
      <c r="I33" t="str">
        <f>'Operational Data'!T13</f>
        <v>Yes</v>
      </c>
    </row>
    <row r="34" spans="2:9" x14ac:dyDescent="0.25">
      <c r="B34" t="s">
        <v>47</v>
      </c>
      <c r="C34">
        <f>'Operational Data'!N14</f>
        <v>3174</v>
      </c>
      <c r="D34">
        <f>'Operational Data'!O14</f>
        <v>24.6</v>
      </c>
      <c r="E34">
        <f>'Operational Data'!P14</f>
        <v>39.700000000000003</v>
      </c>
      <c r="F34" t="str">
        <f>'Operational Data'!Q14</f>
        <v>Good</v>
      </c>
      <c r="G34">
        <f>'Operational Data'!R14</f>
        <v>7</v>
      </c>
      <c r="H34" t="str">
        <f>'Operational Data'!S14</f>
        <v>N</v>
      </c>
      <c r="I34" t="str">
        <f>'Operational Data'!T14</f>
        <v>Yes</v>
      </c>
    </row>
    <row r="35" spans="2:9" x14ac:dyDescent="0.25">
      <c r="C35">
        <f>'Operational Data'!N15</f>
        <v>6230</v>
      </c>
      <c r="D35">
        <f>'Operational Data'!O15</f>
        <v>45</v>
      </c>
      <c r="E35">
        <f>'Operational Data'!P15</f>
        <v>85.7</v>
      </c>
      <c r="F35" t="str">
        <f>'Operational Data'!Q15</f>
        <v>Good</v>
      </c>
      <c r="G35">
        <f>'Operational Data'!R15</f>
        <v>7.8</v>
      </c>
      <c r="H35" t="str">
        <f>'Operational Data'!S15</f>
        <v>Y</v>
      </c>
      <c r="I35" t="str">
        <f>'Operational Data'!T15</f>
        <v>No</v>
      </c>
    </row>
    <row r="36" spans="2:9" x14ac:dyDescent="0.25">
      <c r="C36">
        <f>'Operational Data'!N16</f>
        <v>6234</v>
      </c>
      <c r="D36">
        <f>'Operational Data'!O16</f>
        <v>11.3</v>
      </c>
      <c r="E36">
        <f>'Operational Data'!P16</f>
        <v>26.7</v>
      </c>
      <c r="F36" t="str">
        <f>'Operational Data'!Q16</f>
        <v>Good</v>
      </c>
      <c r="G36">
        <f>'Operational Data'!R16</f>
        <v>7.7</v>
      </c>
      <c r="H36" t="str">
        <f>'Operational Data'!S16</f>
        <v>N</v>
      </c>
      <c r="I36" t="str">
        <f>'Operational Data'!T16</f>
        <v>Yes</v>
      </c>
    </row>
    <row r="37" spans="2:9" x14ac:dyDescent="0.25">
      <c r="C37">
        <f>'Operational Data'!N17</f>
        <v>5000</v>
      </c>
      <c r="D37">
        <f>'Operational Data'!O17</f>
        <v>29.9</v>
      </c>
      <c r="E37">
        <f>'Operational Data'!P17</f>
        <v>97.7</v>
      </c>
      <c r="F37" t="str">
        <f>'Operational Data'!Q17</f>
        <v>Good</v>
      </c>
      <c r="G37">
        <f>'Operational Data'!R17</f>
        <v>7.5</v>
      </c>
      <c r="H37" t="str">
        <f>'Operational Data'!S17</f>
        <v>N</v>
      </c>
      <c r="I37" t="str">
        <f>'Operational Data'!T17</f>
        <v>Yes</v>
      </c>
    </row>
    <row r="38" spans="2:9" x14ac:dyDescent="0.25">
      <c r="C38">
        <f>'Operational Data'!N18</f>
        <v>6235</v>
      </c>
      <c r="D38">
        <f>'Operational Data'!O18</f>
        <v>18</v>
      </c>
      <c r="E38">
        <f>'Operational Data'!P18</f>
        <v>32.299999999999997</v>
      </c>
      <c r="F38" t="str">
        <f>'Operational Data'!Q18</f>
        <v>Good</v>
      </c>
      <c r="G38">
        <f>'Operational Data'!R18</f>
        <v>7.8</v>
      </c>
      <c r="H38" t="str">
        <f>'Operational Data'!S18</f>
        <v>N</v>
      </c>
      <c r="I38" t="str">
        <f>'Operational Data'!T18</f>
        <v>Yes</v>
      </c>
    </row>
    <row r="39" spans="2:9" x14ac:dyDescent="0.25">
      <c r="C39">
        <f>'Operational Data'!N19</f>
        <v>6228</v>
      </c>
      <c r="D39">
        <f>'Operational Data'!O19</f>
        <v>21.9</v>
      </c>
      <c r="E39">
        <f>'Operational Data'!P19</f>
        <v>46.2</v>
      </c>
      <c r="F39" t="str">
        <f>'Operational Data'!Q19</f>
        <v>Good</v>
      </c>
      <c r="G39">
        <f>'Operational Data'!R19</f>
        <v>7.8</v>
      </c>
      <c r="H39" t="str">
        <f>'Operational Data'!S19</f>
        <v>N</v>
      </c>
      <c r="I39" t="str">
        <f>'Operational Data'!T19</f>
        <v>Yes</v>
      </c>
    </row>
    <row r="40" spans="2:9" x14ac:dyDescent="0.25">
      <c r="B40" t="s">
        <v>48</v>
      </c>
      <c r="C40">
        <f>'Operational Data'!N20</f>
        <v>6000</v>
      </c>
      <c r="D40">
        <f>'Operational Data'!O20</f>
        <v>27.2</v>
      </c>
      <c r="E40">
        <f>'Operational Data'!P20</f>
        <v>150</v>
      </c>
      <c r="F40" t="str">
        <f>'Operational Data'!Q20</f>
        <v>Good</v>
      </c>
      <c r="G40">
        <f>'Operational Data'!R20</f>
        <v>7.7</v>
      </c>
      <c r="H40" t="str">
        <f>'Operational Data'!S20</f>
        <v>Y</v>
      </c>
      <c r="I40" t="str">
        <f>'Operational Data'!T20</f>
        <v>No</v>
      </c>
    </row>
    <row r="41" spans="2:9" x14ac:dyDescent="0.25">
      <c r="C41">
        <f>'Operational Data'!N21</f>
        <v>6461</v>
      </c>
      <c r="D41">
        <f>'Operational Data'!O21</f>
        <v>15</v>
      </c>
      <c r="E41">
        <f>'Operational Data'!P21</f>
        <v>58.5</v>
      </c>
      <c r="F41" t="str">
        <f>'Operational Data'!Q21</f>
        <v>Good</v>
      </c>
      <c r="G41">
        <f>'Operational Data'!R21</f>
        <v>7.6</v>
      </c>
      <c r="H41" t="str">
        <f>'Operational Data'!S21</f>
        <v>N</v>
      </c>
      <c r="I41" t="str">
        <f>'Operational Data'!T21</f>
        <v>Yes</v>
      </c>
    </row>
    <row r="42" spans="2:9" x14ac:dyDescent="0.25">
      <c r="C42">
        <f>'Operational Data'!N22</f>
        <v>6001</v>
      </c>
      <c r="D42">
        <f>'Operational Data'!O22</f>
        <v>88.7</v>
      </c>
      <c r="E42">
        <f>'Operational Data'!P22</f>
        <v>521</v>
      </c>
      <c r="F42" t="str">
        <f>'Operational Data'!Q22</f>
        <v>Good</v>
      </c>
      <c r="G42">
        <f>'Operational Data'!R22</f>
        <v>7.7</v>
      </c>
      <c r="H42" t="str">
        <f>'Operational Data'!S22</f>
        <v>Y</v>
      </c>
      <c r="I42" t="str">
        <f>'Operational Data'!T22</f>
        <v>No</v>
      </c>
    </row>
    <row r="43" spans="2:9" x14ac:dyDescent="0.25">
      <c r="C43">
        <f>'Operational Data'!N23</f>
        <v>6002</v>
      </c>
      <c r="D43">
        <f>'Operational Data'!O23</f>
        <v>16.100000000000001</v>
      </c>
      <c r="E43">
        <f>'Operational Data'!P23</f>
        <v>72.599999999999994</v>
      </c>
      <c r="F43" t="str">
        <f>'Operational Data'!Q23</f>
        <v>Good</v>
      </c>
      <c r="G43">
        <f>'Operational Data'!R23</f>
        <v>7.4</v>
      </c>
      <c r="H43" t="str">
        <f>'Operational Data'!S23</f>
        <v>N</v>
      </c>
      <c r="I43" t="str">
        <f>'Operational Data'!T23</f>
        <v>Yes</v>
      </c>
    </row>
    <row r="44" spans="2:9" x14ac:dyDescent="0.25">
      <c r="C44">
        <f>'Operational Data'!N24</f>
        <v>3292</v>
      </c>
      <c r="D44">
        <f>'Operational Data'!O24</f>
        <v>32</v>
      </c>
      <c r="E44">
        <f>'Operational Data'!P24</f>
        <v>79.5</v>
      </c>
      <c r="F44" t="str">
        <f>'Operational Data'!Q24</f>
        <v>Good</v>
      </c>
      <c r="G44">
        <f>'Operational Data'!R24</f>
        <v>7.8</v>
      </c>
      <c r="H44" t="str">
        <f>'Operational Data'!S24</f>
        <v>N</v>
      </c>
      <c r="I44" t="str">
        <f>'Operational Data'!T24</f>
        <v>Yes</v>
      </c>
    </row>
    <row r="45" spans="2:9" x14ac:dyDescent="0.25">
      <c r="C45">
        <f>'Operational Data'!N25</f>
        <v>6003</v>
      </c>
      <c r="D45">
        <f>'Operational Data'!O25</f>
        <v>63.4</v>
      </c>
      <c r="E45">
        <f>'Operational Data'!P25</f>
        <v>127.8</v>
      </c>
      <c r="F45" t="str">
        <f>'Operational Data'!Q25</f>
        <v>Good</v>
      </c>
      <c r="G45">
        <f>'Operational Data'!R25</f>
        <v>7.5</v>
      </c>
      <c r="H45" t="str">
        <f>'Operational Data'!S25</f>
        <v>Y</v>
      </c>
      <c r="I45" t="str">
        <f>'Operational Data'!T25</f>
        <v>No</v>
      </c>
    </row>
    <row r="46" spans="2:9" x14ac:dyDescent="0.25">
      <c r="B46" t="s">
        <v>49</v>
      </c>
      <c r="C46">
        <f>'Operational Data'!N26</f>
        <v>2731</v>
      </c>
      <c r="D46">
        <f>'Operational Data'!O26</f>
        <v>18.5</v>
      </c>
      <c r="E46">
        <f>'Operational Data'!P26</f>
        <v>62.6</v>
      </c>
      <c r="F46" t="str">
        <f>'Operational Data'!Q26</f>
        <v>Good</v>
      </c>
      <c r="G46">
        <f>'Operational Data'!R26</f>
        <v>7.2</v>
      </c>
      <c r="H46" t="str">
        <f>'Operational Data'!S26</f>
        <v>N</v>
      </c>
      <c r="I46" t="str">
        <f>'Operational Data'!T26</f>
        <v>Yes</v>
      </c>
    </row>
    <row r="47" spans="2:9" x14ac:dyDescent="0.25">
      <c r="C47">
        <f>'Operational Data'!N27</f>
        <v>3502</v>
      </c>
      <c r="D47">
        <f>'Operational Data'!O27</f>
        <v>22.9</v>
      </c>
      <c r="E47">
        <f>'Operational Data'!P27</f>
        <v>35.799999999999997</v>
      </c>
      <c r="F47" t="str">
        <f>'Operational Data'!Q27</f>
        <v>Good</v>
      </c>
      <c r="G47">
        <f>'Operational Data'!R27</f>
        <v>7.2</v>
      </c>
      <c r="H47" t="str">
        <f>'Operational Data'!S27</f>
        <v>N</v>
      </c>
      <c r="I47" t="str">
        <f>'Operational Data'!T27</f>
        <v>Yes</v>
      </c>
    </row>
    <row r="48" spans="2:9" x14ac:dyDescent="0.25">
      <c r="C48">
        <f>'Operational Data'!N28</f>
        <v>3356</v>
      </c>
      <c r="D48">
        <f>'Operational Data'!O28</f>
        <v>22.5</v>
      </c>
      <c r="E48">
        <f>'Operational Data'!P28</f>
        <v>38.799999999999997</v>
      </c>
      <c r="F48" t="str">
        <f>'Operational Data'!Q28</f>
        <v>Good</v>
      </c>
      <c r="G48">
        <f>'Operational Data'!R28</f>
        <v>7.6</v>
      </c>
      <c r="H48" t="str">
        <f>'Operational Data'!S28</f>
        <v>N</v>
      </c>
      <c r="I48" t="str">
        <f>'Operational Data'!T28</f>
        <v>Yes</v>
      </c>
    </row>
    <row r="49" spans="1:9" x14ac:dyDescent="0.25">
      <c r="C49">
        <f>'Operational Data'!N29</f>
        <v>2874</v>
      </c>
      <c r="D49">
        <f>'Operational Data'!O29</f>
        <v>20.399999999999999</v>
      </c>
      <c r="E49">
        <f>'Operational Data'!P29</f>
        <v>51</v>
      </c>
      <c r="F49" t="str">
        <f>'Operational Data'!Q29</f>
        <v>Good</v>
      </c>
      <c r="G49">
        <f>'Operational Data'!R29</f>
        <v>7</v>
      </c>
      <c r="H49" t="str">
        <f>'Operational Data'!S29</f>
        <v>N</v>
      </c>
      <c r="I49" t="str">
        <f>'Operational Data'!T29</f>
        <v>Yes</v>
      </c>
    </row>
    <row r="50" spans="1:9" x14ac:dyDescent="0.25">
      <c r="C50">
        <f>'Operational Data'!N30</f>
        <v>2969</v>
      </c>
      <c r="D50">
        <f>'Operational Data'!O30</f>
        <v>366</v>
      </c>
      <c r="E50">
        <f>'Operational Data'!P30</f>
        <v>633.20000000000005</v>
      </c>
      <c r="F50" t="str">
        <f>'Operational Data'!Q30</f>
        <v>Good</v>
      </c>
      <c r="G50">
        <f>'Operational Data'!R30</f>
        <v>7.7</v>
      </c>
      <c r="H50" t="str">
        <f>'Operational Data'!S30</f>
        <v>Y</v>
      </c>
      <c r="I50" t="str">
        <f>'Operational Data'!T30</f>
        <v>No</v>
      </c>
    </row>
    <row r="51" spans="1:9" x14ac:dyDescent="0.25">
      <c r="C51">
        <f>'Operational Data'!N31</f>
        <v>2928</v>
      </c>
      <c r="D51">
        <f>'Operational Data'!O31</f>
        <v>27.8</v>
      </c>
      <c r="E51">
        <f>'Operational Data'!P31</f>
        <v>43.8</v>
      </c>
      <c r="F51" t="str">
        <f>'Operational Data'!Q31</f>
        <v>Good</v>
      </c>
      <c r="G51">
        <f>'Operational Data'!R31</f>
        <v>7.6</v>
      </c>
      <c r="H51" t="str">
        <f>'Operational Data'!S31</f>
        <v>N</v>
      </c>
      <c r="I51" t="str">
        <f>'Operational Data'!T31</f>
        <v>Yes</v>
      </c>
    </row>
    <row r="52" spans="1:9" x14ac:dyDescent="0.25">
      <c r="A52" t="s">
        <v>96</v>
      </c>
      <c r="C52">
        <f>'Spares Data'!B7</f>
        <v>5654</v>
      </c>
      <c r="D52">
        <f>'Spares Data'!C7</f>
        <v>32.700000000000003</v>
      </c>
      <c r="E52">
        <f>'Spares Data'!D7</f>
        <v>66.400000000000006</v>
      </c>
      <c r="F52" t="str">
        <f>'Spares Data'!E7</f>
        <v>Pass</v>
      </c>
      <c r="G52">
        <f>'Spares Data'!F7</f>
        <v>7.8</v>
      </c>
      <c r="H52" t="str">
        <f>'Spares Data'!G7</f>
        <v>Y</v>
      </c>
      <c r="I52" t="str">
        <f>'Spares Data'!H7</f>
        <v>Bad</v>
      </c>
    </row>
    <row r="53" spans="1:9" x14ac:dyDescent="0.25">
      <c r="C53">
        <f>'Spares Data'!B8</f>
        <v>5640</v>
      </c>
      <c r="D53">
        <f>'Spares Data'!C8</f>
        <v>11.6</v>
      </c>
      <c r="E53">
        <f>'Spares Data'!D8</f>
        <v>40.200000000000003</v>
      </c>
      <c r="F53" t="str">
        <f>'Spares Data'!E8</f>
        <v>Pass</v>
      </c>
      <c r="G53">
        <f>'Spares Data'!F8</f>
        <v>7.75</v>
      </c>
      <c r="H53" t="str">
        <f>'Spares Data'!G8</f>
        <v>N</v>
      </c>
      <c r="I53" t="str">
        <f>'Spares Data'!H8</f>
        <v>Good</v>
      </c>
    </row>
    <row r="54" spans="1:9" x14ac:dyDescent="0.25">
      <c r="C54">
        <f>'Spares Data'!B9</f>
        <v>2363</v>
      </c>
      <c r="D54">
        <f>'Spares Data'!C9</f>
        <v>23.3</v>
      </c>
      <c r="E54">
        <f>'Spares Data'!D9</f>
        <v>37.799999999999997</v>
      </c>
      <c r="F54" t="str">
        <f>'Spares Data'!E9</f>
        <v>Pass</v>
      </c>
      <c r="G54">
        <f>'Spares Data'!F9</f>
        <v>7.1</v>
      </c>
      <c r="H54" t="str">
        <f>'Spares Data'!G9</f>
        <v>N</v>
      </c>
      <c r="I54" t="str">
        <f>'Spares Data'!H9</f>
        <v>Good</v>
      </c>
    </row>
    <row r="55" spans="1:9" x14ac:dyDescent="0.25">
      <c r="C55">
        <f>'Spares Data'!B10</f>
        <v>6224</v>
      </c>
      <c r="D55">
        <f>'Spares Data'!C10</f>
        <v>13.8</v>
      </c>
      <c r="E55">
        <f>'Spares Data'!D10</f>
        <v>30.1</v>
      </c>
      <c r="F55" t="str">
        <f>'Spares Data'!E10</f>
        <v>Pass</v>
      </c>
      <c r="G55">
        <f>'Spares Data'!F10</f>
        <v>7.7949999999999999</v>
      </c>
      <c r="H55" t="str">
        <f>'Spares Data'!G10</f>
        <v>N</v>
      </c>
      <c r="I55" t="str">
        <f>'Spares Data'!H10</f>
        <v>Good</v>
      </c>
    </row>
    <row r="56" spans="1:9" x14ac:dyDescent="0.25">
      <c r="C56">
        <f>'Spares Data'!B11</f>
        <v>3359</v>
      </c>
      <c r="D56">
        <f>'Spares Data'!C11</f>
        <v>10.6</v>
      </c>
      <c r="E56">
        <f>'Spares Data'!D11</f>
        <v>17.5</v>
      </c>
      <c r="F56" t="str">
        <f>'Spares Data'!E11</f>
        <v>Pass</v>
      </c>
      <c r="G56">
        <f>'Spares Data'!F11</f>
        <v>7.05</v>
      </c>
      <c r="H56" t="str">
        <f>'Spares Data'!G11</f>
        <v>N</v>
      </c>
      <c r="I56" t="str">
        <f>'Spares Data'!H11</f>
        <v>Good</v>
      </c>
    </row>
    <row r="57" spans="1:9" x14ac:dyDescent="0.25">
      <c r="C57">
        <f>'Spares Data'!B12</f>
        <v>3381</v>
      </c>
      <c r="D57">
        <f>'Spares Data'!C12</f>
        <v>15.4</v>
      </c>
      <c r="E57">
        <f>'Spares Data'!D12</f>
        <v>42.1</v>
      </c>
      <c r="F57" t="str">
        <f>'Spares Data'!E12</f>
        <v>Pass</v>
      </c>
      <c r="G57">
        <f>'Spares Data'!F12</f>
        <v>6.95</v>
      </c>
      <c r="H57" t="str">
        <f>'Spares Data'!G12</f>
        <v>Y</v>
      </c>
      <c r="I57" t="str">
        <f>'Spares Data'!H12</f>
        <v>Marginal</v>
      </c>
    </row>
    <row r="58" spans="1:9" x14ac:dyDescent="0.25">
      <c r="C58">
        <f>'Spares Data'!B13</f>
        <v>3175</v>
      </c>
      <c r="D58">
        <f>'Spares Data'!C13</f>
        <v>9.8000000000000007</v>
      </c>
      <c r="E58">
        <f>'Spares Data'!D13</f>
        <v>16.600000000000001</v>
      </c>
      <c r="F58" t="str">
        <f>'Spares Data'!E13</f>
        <v>Pass</v>
      </c>
      <c r="G58">
        <f>'Spares Data'!F13</f>
        <v>7</v>
      </c>
      <c r="H58" t="str">
        <f>'Spares Data'!G13</f>
        <v>N</v>
      </c>
      <c r="I58" t="str">
        <f>'Spares Data'!H13</f>
        <v>Good</v>
      </c>
    </row>
    <row r="59" spans="1:9" x14ac:dyDescent="0.25">
      <c r="C59">
        <f>'Spares Data'!B14</f>
        <v>2998</v>
      </c>
      <c r="D59">
        <f>'Spares Data'!C14</f>
        <v>11.4</v>
      </c>
      <c r="E59">
        <f>'Spares Data'!D14</f>
        <v>45.6</v>
      </c>
      <c r="F59" t="str">
        <f>'Spares Data'!E14</f>
        <v>Pass</v>
      </c>
      <c r="G59">
        <f>'Spares Data'!F14</f>
        <v>7.1</v>
      </c>
      <c r="H59" t="str">
        <f>'Spares Data'!G14</f>
        <v>Y</v>
      </c>
      <c r="I59" t="str">
        <f>'Spares Data'!H14</f>
        <v>Marginal</v>
      </c>
    </row>
    <row r="60" spans="1:9" x14ac:dyDescent="0.25">
      <c r="C60">
        <f>'Spares Data'!B15</f>
        <v>6279</v>
      </c>
      <c r="D60">
        <f>'Spares Data'!C15</f>
        <v>10.7</v>
      </c>
      <c r="E60">
        <f>'Spares Data'!D15</f>
        <v>20.5</v>
      </c>
      <c r="F60" t="str">
        <f>'Spares Data'!E15</f>
        <v>Pass</v>
      </c>
      <c r="G60">
        <f>'Spares Data'!F15</f>
        <v>7.8</v>
      </c>
      <c r="H60" t="str">
        <f>'Spares Data'!G15</f>
        <v>N</v>
      </c>
      <c r="I60" t="str">
        <f>'Spares Data'!H15</f>
        <v>Good</v>
      </c>
    </row>
    <row r="61" spans="1:9" x14ac:dyDescent="0.25">
      <c r="C61">
        <f>'Spares Data'!B16</f>
        <v>2360</v>
      </c>
      <c r="D61">
        <f>'Spares Data'!C16</f>
        <v>8.6999999999999993</v>
      </c>
      <c r="E61">
        <f>'Spares Data'!D16</f>
        <v>16.2</v>
      </c>
      <c r="F61" t="str">
        <f>'Spares Data'!E16</f>
        <v>Pass</v>
      </c>
      <c r="G61">
        <f>'Spares Data'!F16</f>
        <v>7</v>
      </c>
      <c r="H61" t="str">
        <f>'Spares Data'!G16</f>
        <v>N</v>
      </c>
      <c r="I61" t="str">
        <f>'Spares Data'!H16</f>
        <v>Good</v>
      </c>
    </row>
    <row r="62" spans="1:9" x14ac:dyDescent="0.25">
      <c r="C62">
        <f>'Spares Data'!B17</f>
        <v>3186</v>
      </c>
      <c r="D62">
        <f>'Spares Data'!C17</f>
        <v>25.2</v>
      </c>
      <c r="E62">
        <f>'Spares Data'!D17</f>
        <v>47.2</v>
      </c>
      <c r="F62" t="str">
        <f>'Spares Data'!E17</f>
        <v>Pass</v>
      </c>
      <c r="G62">
        <f>'Spares Data'!F17</f>
        <v>7</v>
      </c>
      <c r="H62" t="str">
        <f>'Spares Data'!G17</f>
        <v>N</v>
      </c>
      <c r="I62" t="str">
        <f>'Spares Data'!H17</f>
        <v>Good</v>
      </c>
    </row>
    <row r="63" spans="1:9" x14ac:dyDescent="0.25">
      <c r="C63">
        <f>'Spares Data'!B18</f>
        <v>3360</v>
      </c>
      <c r="D63">
        <f>'Spares Data'!C18</f>
        <v>4.5</v>
      </c>
      <c r="E63">
        <f>'Spares Data'!D18</f>
        <v>9.5</v>
      </c>
      <c r="F63" t="str">
        <f>'Spares Data'!E18</f>
        <v>Pass</v>
      </c>
      <c r="G63">
        <f>'Spares Data'!F18</f>
        <v>7</v>
      </c>
      <c r="H63" t="str">
        <f>'Spares Data'!G18</f>
        <v>N</v>
      </c>
      <c r="I63" t="str">
        <f>'Spares Data'!H18</f>
        <v>Good</v>
      </c>
    </row>
    <row r="64" spans="1:9" x14ac:dyDescent="0.25">
      <c r="C64">
        <f>'Spares Data'!B19</f>
        <v>3219</v>
      </c>
      <c r="D64">
        <f>'Spares Data'!C19</f>
        <v>20.5</v>
      </c>
      <c r="E64">
        <f>'Spares Data'!D19</f>
        <v>40.1</v>
      </c>
      <c r="F64" t="str">
        <f>'Spares Data'!E19</f>
        <v>Pass</v>
      </c>
      <c r="G64">
        <f>'Spares Data'!F19</f>
        <v>7.4</v>
      </c>
      <c r="H64" t="str">
        <f>'Spares Data'!G19</f>
        <v>Y</v>
      </c>
      <c r="I64" t="str">
        <f>'Spares Data'!H19</f>
        <v>Marginal</v>
      </c>
    </row>
    <row r="65" spans="3:9" x14ac:dyDescent="0.25">
      <c r="C65">
        <f>'Spares Data'!B20</f>
        <v>3172</v>
      </c>
      <c r="D65">
        <f>'Spares Data'!C20</f>
        <v>84.3</v>
      </c>
      <c r="E65">
        <f>'Spares Data'!D20</f>
        <v>138.1</v>
      </c>
      <c r="F65" t="str">
        <f>'Spares Data'!E20</f>
        <v>Pass</v>
      </c>
      <c r="G65">
        <f>'Spares Data'!F20</f>
        <v>7.2</v>
      </c>
      <c r="H65" t="str">
        <f>'Spares Data'!G20</f>
        <v>Y</v>
      </c>
      <c r="I65" t="str">
        <f>'Spares Data'!H20</f>
        <v>Marginal</v>
      </c>
    </row>
    <row r="66" spans="3:9" x14ac:dyDescent="0.25">
      <c r="C66">
        <f>'Spares Data'!B21</f>
        <v>5653</v>
      </c>
      <c r="D66">
        <f>'Spares Data'!C21</f>
        <v>6.2</v>
      </c>
      <c r="E66">
        <f>'Spares Data'!D21</f>
        <v>15</v>
      </c>
      <c r="F66" t="str">
        <f>'Spares Data'!E21</f>
        <v>Pass</v>
      </c>
      <c r="G66">
        <f>'Spares Data'!F21</f>
        <v>7.45</v>
      </c>
      <c r="H66" t="str">
        <f>'Spares Data'!G21</f>
        <v>N</v>
      </c>
      <c r="I66" t="str">
        <f>'Spares Data'!H21</f>
        <v>Good</v>
      </c>
    </row>
    <row r="67" spans="3:9" x14ac:dyDescent="0.25">
      <c r="C67">
        <f>'Spares Data'!B22</f>
        <v>6234</v>
      </c>
      <c r="D67">
        <f>'Spares Data'!C22</f>
        <v>11.1</v>
      </c>
      <c r="E67">
        <f>'Spares Data'!D22</f>
        <v>24.4</v>
      </c>
      <c r="F67" t="str">
        <f>'Spares Data'!E22</f>
        <v>Pass</v>
      </c>
      <c r="G67">
        <f>'Spares Data'!F22</f>
        <v>7.8</v>
      </c>
      <c r="H67" t="str">
        <f>'Spares Data'!G22</f>
        <v>N</v>
      </c>
      <c r="I67" t="str">
        <f>'Spares Data'!H22</f>
        <v>Good</v>
      </c>
    </row>
    <row r="68" spans="3:9" x14ac:dyDescent="0.25">
      <c r="C68">
        <f>'Spares Data'!B23</f>
        <v>6239</v>
      </c>
      <c r="D68">
        <f>'Spares Data'!C23</f>
        <v>9.5</v>
      </c>
      <c r="E68">
        <f>'Spares Data'!D23</f>
        <v>18.8</v>
      </c>
      <c r="F68" t="str">
        <f>'Spares Data'!E23</f>
        <v>Pass</v>
      </c>
      <c r="G68">
        <f>'Spares Data'!F23</f>
        <v>7.6</v>
      </c>
      <c r="H68" t="str">
        <f>'Spares Data'!G23</f>
        <v>N</v>
      </c>
      <c r="I68" t="str">
        <f>'Spares Data'!H23</f>
        <v>Good</v>
      </c>
    </row>
    <row r="69" spans="3:9" x14ac:dyDescent="0.25">
      <c r="C69">
        <f>'Spares Data'!B24</f>
        <v>6244</v>
      </c>
      <c r="D69">
        <f>'Spares Data'!C24</f>
        <v>6.7</v>
      </c>
      <c r="E69">
        <f>'Spares Data'!D24</f>
        <v>19.600000000000001</v>
      </c>
      <c r="F69" t="str">
        <f>'Spares Data'!E24</f>
        <v>Pass</v>
      </c>
      <c r="G69">
        <f>'Spares Data'!F24</f>
        <v>7.6</v>
      </c>
      <c r="H69" t="str">
        <f>'Spares Data'!G24</f>
        <v>N</v>
      </c>
      <c r="I69" t="str">
        <f>'Spares Data'!H24</f>
        <v>Good</v>
      </c>
    </row>
    <row r="71" spans="3:9" x14ac:dyDescent="0.25">
      <c r="C71" t="s">
        <v>213</v>
      </c>
      <c r="D71">
        <f>AVERAGE($D$4:$D$69)</f>
        <v>38.334848484848486</v>
      </c>
      <c r="E71" s="94">
        <f>AVERAGE($E$4:$E$69)</f>
        <v>105.38636363636367</v>
      </c>
      <c r="G71">
        <f>AVERAGEIF($G$4:$G$69,"&gt;0")</f>
        <v>7.5285245901639355</v>
      </c>
    </row>
    <row r="72" spans="3:9" x14ac:dyDescent="0.25">
      <c r="C72" t="s">
        <v>214</v>
      </c>
      <c r="D72">
        <f>AVEDEV($D$4:$D$69)</f>
        <v>29.627502295684117</v>
      </c>
      <c r="E72" s="94">
        <f>AVEDEV($E$4:$E$69)</f>
        <v>92.186225895316824</v>
      </c>
    </row>
    <row r="74" spans="3:9" x14ac:dyDescent="0.25">
      <c r="C74" t="s">
        <v>215</v>
      </c>
      <c r="D74" t="s">
        <v>213</v>
      </c>
      <c r="E74">
        <f>E71/D71</f>
        <v>2.7491008260543071</v>
      </c>
    </row>
    <row r="75" spans="3:9" x14ac:dyDescent="0.25">
      <c r="D75" t="s">
        <v>214</v>
      </c>
      <c r="E75" s="94">
        <f>E72/D72</f>
        <v>3.1115085225643786</v>
      </c>
    </row>
  </sheetData>
  <pageMargins left="0.7" right="0.7" top="0.75" bottom="0.75" header="0.3" footer="0.3"/>
  <pageSetup orientation="portrait"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L34"/>
  <sheetViews>
    <sheetView workbookViewId="0">
      <selection activeCell="B5" sqref="B5"/>
    </sheetView>
  </sheetViews>
  <sheetFormatPr defaultRowHeight="15" x14ac:dyDescent="0.25"/>
  <cols>
    <col min="3" max="3" width="24.85546875" customWidth="1"/>
    <col min="4" max="4" width="19.28515625" customWidth="1"/>
    <col min="5" max="5" width="15" customWidth="1"/>
    <col min="7" max="7" width="8.85546875" style="62"/>
    <col min="8" max="8" width="8.85546875" style="6"/>
  </cols>
  <sheetData>
    <row r="2" spans="1:12" ht="23.25" x14ac:dyDescent="0.35">
      <c r="A2" s="66" t="s">
        <v>114</v>
      </c>
    </row>
    <row r="4" spans="1:12" x14ac:dyDescent="0.25">
      <c r="A4" s="21" t="s">
        <v>41</v>
      </c>
      <c r="B4" s="21" t="s">
        <v>113</v>
      </c>
      <c r="C4" s="21" t="s">
        <v>112</v>
      </c>
      <c r="D4" s="21" t="s">
        <v>111</v>
      </c>
      <c r="E4" s="21" t="s">
        <v>15</v>
      </c>
      <c r="G4" s="65" t="s">
        <v>110</v>
      </c>
      <c r="H4" s="63"/>
      <c r="I4" s="32"/>
      <c r="J4" s="32"/>
      <c r="K4" s="32"/>
      <c r="L4" s="32"/>
    </row>
    <row r="5" spans="1:12" x14ac:dyDescent="0.25">
      <c r="A5" s="19" t="s">
        <v>106</v>
      </c>
      <c r="B5" s="19">
        <v>6239</v>
      </c>
      <c r="C5" s="19"/>
      <c r="D5" s="19"/>
      <c r="E5" s="19"/>
      <c r="G5" s="64"/>
      <c r="H5" s="63"/>
      <c r="I5" s="32"/>
      <c r="J5" s="32"/>
      <c r="K5" s="32"/>
      <c r="L5" s="32"/>
    </row>
    <row r="6" spans="1:12" x14ac:dyDescent="0.25">
      <c r="A6" s="19" t="s">
        <v>105</v>
      </c>
      <c r="B6" s="27">
        <v>3359</v>
      </c>
      <c r="C6" s="19"/>
      <c r="D6" s="19"/>
      <c r="E6" s="19"/>
      <c r="F6" s="19"/>
      <c r="G6" s="64"/>
      <c r="H6" s="63"/>
      <c r="I6" s="32"/>
      <c r="J6" s="32"/>
      <c r="L6" s="32"/>
    </row>
    <row r="7" spans="1:12" x14ac:dyDescent="0.25">
      <c r="A7" s="19" t="s">
        <v>104</v>
      </c>
      <c r="B7" s="19">
        <v>6461</v>
      </c>
      <c r="C7" s="19" t="s">
        <v>109</v>
      </c>
      <c r="D7" s="19" t="s">
        <v>18</v>
      </c>
      <c r="E7" s="19" t="s">
        <v>18</v>
      </c>
      <c r="F7" s="19"/>
      <c r="G7" s="64">
        <v>0.85</v>
      </c>
      <c r="H7" s="63"/>
      <c r="I7" s="32"/>
      <c r="J7" s="32"/>
      <c r="K7" s="32"/>
      <c r="L7" s="32"/>
    </row>
    <row r="8" spans="1:12" x14ac:dyDescent="0.25">
      <c r="A8" s="19" t="s">
        <v>102</v>
      </c>
      <c r="B8" s="19">
        <v>6279</v>
      </c>
      <c r="C8" s="19"/>
      <c r="D8" s="19"/>
      <c r="E8" s="19"/>
      <c r="F8" s="19"/>
      <c r="G8" s="64"/>
      <c r="H8" s="63"/>
      <c r="I8" s="32"/>
      <c r="J8" s="32"/>
      <c r="L8" s="32"/>
    </row>
    <row r="9" spans="1:12" x14ac:dyDescent="0.25">
      <c r="A9" s="19" t="s">
        <v>101</v>
      </c>
      <c r="B9" s="19">
        <v>3175</v>
      </c>
      <c r="C9" s="19"/>
      <c r="D9" s="19"/>
      <c r="E9" s="19"/>
      <c r="F9" s="19"/>
      <c r="G9" s="64"/>
      <c r="H9" s="63"/>
      <c r="I9" s="32"/>
      <c r="J9" s="32"/>
      <c r="L9" s="32"/>
    </row>
    <row r="10" spans="1:12" x14ac:dyDescent="0.25">
      <c r="A10" s="19" t="s">
        <v>100</v>
      </c>
      <c r="B10" s="19">
        <v>2350</v>
      </c>
      <c r="C10" s="19"/>
      <c r="D10" s="19"/>
      <c r="E10" s="19"/>
      <c r="G10" s="64"/>
      <c r="H10" s="63"/>
      <c r="I10" s="32"/>
      <c r="J10" s="32"/>
      <c r="K10" s="32"/>
      <c r="L10" s="32"/>
    </row>
    <row r="11" spans="1:12" x14ac:dyDescent="0.25">
      <c r="A11" s="19"/>
      <c r="B11" s="19"/>
      <c r="C11" s="19"/>
      <c r="D11" s="19"/>
      <c r="E11" s="19"/>
      <c r="G11" s="64"/>
      <c r="H11" s="63"/>
      <c r="I11" s="32"/>
      <c r="J11" s="32"/>
      <c r="K11" s="32"/>
      <c r="L11" s="32"/>
    </row>
    <row r="12" spans="1:12" x14ac:dyDescent="0.25">
      <c r="A12" s="21" t="s">
        <v>47</v>
      </c>
      <c r="B12" s="19"/>
      <c r="C12" s="19"/>
      <c r="D12" s="19"/>
      <c r="E12" s="19"/>
      <c r="G12" s="64"/>
      <c r="H12" s="63"/>
      <c r="I12" s="31"/>
      <c r="J12" s="31"/>
      <c r="K12" s="31"/>
      <c r="L12" s="31"/>
    </row>
    <row r="13" spans="1:12" x14ac:dyDescent="0.25">
      <c r="A13" s="19" t="s">
        <v>106</v>
      </c>
      <c r="B13" s="19">
        <v>2360</v>
      </c>
      <c r="C13" s="19"/>
      <c r="D13" s="19"/>
      <c r="E13" s="19"/>
    </row>
    <row r="14" spans="1:12" x14ac:dyDescent="0.25">
      <c r="A14" s="19" t="s">
        <v>105</v>
      </c>
      <c r="B14" s="19">
        <v>2322</v>
      </c>
      <c r="C14" s="19"/>
      <c r="D14" s="19"/>
      <c r="E14" s="19"/>
    </row>
    <row r="15" spans="1:12" x14ac:dyDescent="0.25">
      <c r="A15" s="19" t="s">
        <v>104</v>
      </c>
      <c r="B15" s="19">
        <v>3502</v>
      </c>
      <c r="C15" s="19" t="s">
        <v>108</v>
      </c>
      <c r="D15" s="19" t="s">
        <v>18</v>
      </c>
      <c r="E15" s="19" t="s">
        <v>18</v>
      </c>
    </row>
    <row r="16" spans="1:12" x14ac:dyDescent="0.25">
      <c r="A16" s="19" t="s">
        <v>102</v>
      </c>
      <c r="B16" s="19">
        <v>2731</v>
      </c>
      <c r="C16" s="19"/>
      <c r="D16" s="19"/>
      <c r="E16" s="19"/>
    </row>
    <row r="17" spans="1:12" x14ac:dyDescent="0.25">
      <c r="A17" s="19" t="s">
        <v>101</v>
      </c>
      <c r="B17" s="19">
        <v>3186</v>
      </c>
      <c r="C17" s="19"/>
      <c r="D17" s="19"/>
      <c r="E17" s="19"/>
    </row>
    <row r="18" spans="1:12" x14ac:dyDescent="0.25">
      <c r="A18" s="19" t="s">
        <v>100</v>
      </c>
      <c r="B18" s="19">
        <v>5653</v>
      </c>
      <c r="C18" s="19"/>
      <c r="D18" s="19"/>
      <c r="E18" s="19"/>
    </row>
    <row r="19" spans="1:12" x14ac:dyDescent="0.25">
      <c r="A19" s="19"/>
      <c r="B19" s="19"/>
      <c r="C19" s="19"/>
      <c r="D19" s="19"/>
      <c r="E19" s="19"/>
    </row>
    <row r="20" spans="1:12" x14ac:dyDescent="0.25">
      <c r="A20" s="21" t="s">
        <v>48</v>
      </c>
      <c r="B20" s="19"/>
      <c r="C20" s="19"/>
      <c r="D20" s="19"/>
      <c r="E20" s="19"/>
    </row>
    <row r="21" spans="1:12" x14ac:dyDescent="0.25">
      <c r="A21" s="19" t="s">
        <v>106</v>
      </c>
      <c r="B21" s="19">
        <v>6239</v>
      </c>
      <c r="C21" s="19"/>
      <c r="D21" s="19"/>
      <c r="E21" s="19"/>
    </row>
    <row r="22" spans="1:12" x14ac:dyDescent="0.25">
      <c r="A22" s="19" t="s">
        <v>105</v>
      </c>
      <c r="B22" s="19">
        <v>2361</v>
      </c>
      <c r="C22" s="19"/>
      <c r="D22" s="19"/>
      <c r="E22" s="19"/>
    </row>
    <row r="23" spans="1:12" x14ac:dyDescent="0.25">
      <c r="A23" s="19" t="s">
        <v>104</v>
      </c>
      <c r="B23" s="19">
        <v>2874</v>
      </c>
      <c r="C23" s="19" t="s">
        <v>107</v>
      </c>
      <c r="D23" s="19" t="s">
        <v>18</v>
      </c>
      <c r="E23" s="19" t="s">
        <v>18</v>
      </c>
      <c r="G23" s="62">
        <v>0.86799999999999999</v>
      </c>
      <c r="H23" s="63"/>
      <c r="I23" s="32"/>
      <c r="J23" s="32"/>
      <c r="K23" s="32"/>
      <c r="L23" s="32"/>
    </row>
    <row r="24" spans="1:12" x14ac:dyDescent="0.25">
      <c r="A24" s="19" t="s">
        <v>102</v>
      </c>
      <c r="B24" s="19">
        <v>3292</v>
      </c>
      <c r="C24" s="19"/>
      <c r="D24" s="19"/>
      <c r="E24" s="19"/>
    </row>
    <row r="25" spans="1:12" x14ac:dyDescent="0.25">
      <c r="A25" s="19" t="s">
        <v>101</v>
      </c>
      <c r="B25" s="27">
        <v>2436</v>
      </c>
      <c r="C25" s="19"/>
      <c r="D25" s="19"/>
      <c r="E25" s="19"/>
    </row>
    <row r="26" spans="1:12" x14ac:dyDescent="0.25">
      <c r="A26" s="19" t="s">
        <v>100</v>
      </c>
      <c r="B26" s="19">
        <v>6244</v>
      </c>
      <c r="C26" s="19"/>
      <c r="D26" s="19"/>
      <c r="E26" s="19"/>
    </row>
    <row r="27" spans="1:12" x14ac:dyDescent="0.25">
      <c r="A27" s="19"/>
      <c r="B27" s="19"/>
      <c r="C27" s="19"/>
      <c r="D27" s="19"/>
      <c r="E27" s="19"/>
    </row>
    <row r="28" spans="1:12" x14ac:dyDescent="0.25">
      <c r="A28" s="21" t="s">
        <v>49</v>
      </c>
      <c r="B28" s="19"/>
      <c r="C28" s="19"/>
      <c r="D28" s="19"/>
      <c r="E28" s="19"/>
    </row>
    <row r="29" spans="1:12" x14ac:dyDescent="0.25">
      <c r="A29" s="19" t="s">
        <v>106</v>
      </c>
      <c r="B29" s="19">
        <v>6234</v>
      </c>
      <c r="C29" s="19"/>
      <c r="D29" s="19"/>
      <c r="E29" s="19"/>
    </row>
    <row r="30" spans="1:12" x14ac:dyDescent="0.25">
      <c r="A30" s="19" t="s">
        <v>105</v>
      </c>
      <c r="B30" s="19">
        <v>3356</v>
      </c>
    </row>
    <row r="31" spans="1:12" x14ac:dyDescent="0.25">
      <c r="A31" s="19" t="s">
        <v>104</v>
      </c>
      <c r="B31" s="19">
        <v>5000</v>
      </c>
      <c r="C31" s="19" t="s">
        <v>103</v>
      </c>
      <c r="D31" s="19" t="s">
        <v>18</v>
      </c>
      <c r="E31" s="19" t="s">
        <v>18</v>
      </c>
    </row>
    <row r="32" spans="1:12" x14ac:dyDescent="0.25">
      <c r="A32" s="19" t="s">
        <v>102</v>
      </c>
      <c r="B32" s="19">
        <v>6220</v>
      </c>
    </row>
    <row r="33" spans="1:2" x14ac:dyDescent="0.25">
      <c r="A33" s="19" t="s">
        <v>101</v>
      </c>
      <c r="B33" s="19">
        <v>6284</v>
      </c>
    </row>
    <row r="34" spans="1:2" x14ac:dyDescent="0.25">
      <c r="A34" s="19" t="s">
        <v>100</v>
      </c>
      <c r="B34" s="19">
        <v>3360</v>
      </c>
    </row>
  </sheetData>
  <pageMargins left="0.7" right="0.7" top="0.75" bottom="0.75" header="0.3" footer="0.3"/>
  <pageSetup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G66"/>
  <sheetViews>
    <sheetView workbookViewId="0">
      <selection activeCell="E1" sqref="E1"/>
    </sheetView>
  </sheetViews>
  <sheetFormatPr defaultRowHeight="15" x14ac:dyDescent="0.25"/>
  <cols>
    <col min="2" max="2" width="12" customWidth="1"/>
    <col min="3" max="3" width="8.85546875" style="76"/>
    <col min="5" max="8" width="9.85546875" style="83" customWidth="1"/>
    <col min="9" max="9" width="11.5703125" customWidth="1"/>
    <col min="10" max="10" width="11.5703125" style="76" customWidth="1"/>
    <col min="12" max="13" width="8.85546875" style="83"/>
    <col min="16" max="16" width="12" customWidth="1"/>
    <col min="17" max="17" width="8.85546875" style="76"/>
    <col min="19" max="22" width="9.85546875" style="83" customWidth="1"/>
    <col min="23" max="23" width="10.42578125" customWidth="1"/>
    <col min="24" max="24" width="12" style="76" customWidth="1"/>
    <col min="25" max="25" width="8.85546875" style="67"/>
    <col min="26" max="26" width="8.85546875" style="83"/>
  </cols>
  <sheetData>
    <row r="1" spans="1:33" ht="15.75" x14ac:dyDescent="0.25">
      <c r="A1" s="70" t="s">
        <v>129</v>
      </c>
      <c r="B1" s="70"/>
      <c r="C1" s="71"/>
      <c r="D1" s="70"/>
      <c r="E1" s="77"/>
      <c r="F1" s="77"/>
      <c r="G1" s="77"/>
      <c r="H1" s="77"/>
      <c r="I1" s="69">
        <v>43333</v>
      </c>
      <c r="O1" s="70" t="s">
        <v>129</v>
      </c>
      <c r="P1" s="70"/>
      <c r="Q1" s="71"/>
      <c r="R1" s="70"/>
      <c r="S1" s="77"/>
      <c r="T1" s="77"/>
      <c r="U1" s="77"/>
      <c r="V1" s="77"/>
      <c r="W1" s="69">
        <v>43333</v>
      </c>
    </row>
    <row r="2" spans="1:33" x14ac:dyDescent="0.25">
      <c r="A2" s="19"/>
      <c r="B2" s="19"/>
      <c r="C2" s="72"/>
      <c r="D2" s="19"/>
      <c r="E2" s="78"/>
      <c r="F2" s="78"/>
      <c r="G2" s="78"/>
      <c r="H2" s="78"/>
      <c r="I2" s="19" t="s">
        <v>128</v>
      </c>
      <c r="J2" s="72"/>
      <c r="K2" s="19"/>
      <c r="L2" s="78"/>
      <c r="M2" s="78"/>
      <c r="N2" s="19"/>
      <c r="O2" s="19"/>
      <c r="P2" s="19"/>
      <c r="Q2" s="72"/>
      <c r="R2" s="19"/>
      <c r="S2" s="78"/>
      <c r="T2" s="78"/>
      <c r="U2" s="78"/>
      <c r="V2" s="78"/>
      <c r="W2" s="19" t="s">
        <v>128</v>
      </c>
      <c r="X2" s="72"/>
      <c r="Y2" s="62"/>
      <c r="Z2" s="78"/>
      <c r="AA2" s="19"/>
      <c r="AB2" s="19"/>
      <c r="AC2" s="19"/>
      <c r="AD2" s="19"/>
      <c r="AE2" s="19"/>
      <c r="AF2" s="19"/>
      <c r="AG2" s="19"/>
    </row>
    <row r="3" spans="1:33" ht="29.25" customHeight="1" x14ac:dyDescent="0.25">
      <c r="A3" s="17" t="s">
        <v>127</v>
      </c>
      <c r="B3" s="19"/>
      <c r="C3" s="88" t="s">
        <v>132</v>
      </c>
      <c r="D3" s="21" t="s">
        <v>125</v>
      </c>
      <c r="E3" s="79" t="s">
        <v>124</v>
      </c>
      <c r="F3" s="87" t="s">
        <v>131</v>
      </c>
      <c r="G3" s="87" t="s">
        <v>217</v>
      </c>
      <c r="H3" s="87" t="s">
        <v>216</v>
      </c>
      <c r="I3" s="69">
        <v>43334</v>
      </c>
      <c r="J3" s="72"/>
      <c r="K3" s="19"/>
      <c r="L3" s="78"/>
      <c r="M3" s="78"/>
      <c r="N3" s="19"/>
      <c r="O3" s="17" t="s">
        <v>126</v>
      </c>
      <c r="P3" s="19"/>
      <c r="Q3" s="88" t="s">
        <v>132</v>
      </c>
      <c r="R3" s="21" t="s">
        <v>125</v>
      </c>
      <c r="S3" s="79" t="s">
        <v>124</v>
      </c>
      <c r="T3" s="87" t="s">
        <v>131</v>
      </c>
      <c r="U3" s="87" t="s">
        <v>217</v>
      </c>
      <c r="V3" s="87" t="s">
        <v>216</v>
      </c>
      <c r="W3" s="69">
        <v>43334</v>
      </c>
      <c r="X3" s="72"/>
      <c r="Y3" s="62"/>
      <c r="Z3" s="78"/>
      <c r="AA3" s="19"/>
      <c r="AB3" s="19"/>
      <c r="AC3" s="19"/>
      <c r="AD3" s="19"/>
      <c r="AE3" s="19"/>
      <c r="AF3" s="19"/>
      <c r="AG3" s="19"/>
    </row>
    <row r="4" spans="1:33" x14ac:dyDescent="0.25">
      <c r="A4" s="19"/>
      <c r="B4" s="19"/>
      <c r="C4" s="73" t="s">
        <v>123</v>
      </c>
      <c r="D4" s="21"/>
      <c r="E4" s="79" t="s">
        <v>6</v>
      </c>
      <c r="F4" s="79" t="s">
        <v>123</v>
      </c>
      <c r="G4" s="79" t="s">
        <v>187</v>
      </c>
      <c r="H4" s="79" t="s">
        <v>123</v>
      </c>
      <c r="I4" s="19"/>
      <c r="J4" s="72"/>
      <c r="K4" s="19"/>
      <c r="L4" s="78"/>
      <c r="M4" s="78"/>
      <c r="N4" s="19"/>
      <c r="O4" s="19"/>
      <c r="P4" s="19"/>
      <c r="Q4" s="73" t="s">
        <v>123</v>
      </c>
      <c r="R4" s="21"/>
      <c r="S4" s="79" t="s">
        <v>6</v>
      </c>
      <c r="T4" s="79" t="s">
        <v>123</v>
      </c>
      <c r="U4" s="79" t="s">
        <v>187</v>
      </c>
      <c r="V4" s="79" t="s">
        <v>123</v>
      </c>
      <c r="W4" s="19"/>
      <c r="X4" s="72"/>
      <c r="Y4" s="62"/>
      <c r="Z4" s="78"/>
      <c r="AA4" s="19"/>
      <c r="AB4" s="19"/>
      <c r="AC4" s="19"/>
      <c r="AD4" s="19"/>
      <c r="AE4" s="19"/>
      <c r="AF4" s="19"/>
      <c r="AG4" s="19"/>
    </row>
    <row r="5" spans="1:33" x14ac:dyDescent="0.25">
      <c r="A5" s="19"/>
      <c r="B5" s="19"/>
      <c r="C5" s="72"/>
      <c r="D5" s="19"/>
      <c r="E5" s="78"/>
      <c r="F5" s="78"/>
      <c r="G5" s="78"/>
      <c r="H5" s="78"/>
      <c r="I5" s="19"/>
      <c r="J5" s="72"/>
      <c r="K5" s="19" t="s">
        <v>122</v>
      </c>
      <c r="L5" s="78"/>
      <c r="M5" s="78"/>
      <c r="N5" s="19"/>
      <c r="O5" s="19"/>
      <c r="P5" s="19"/>
      <c r="Q5" s="72"/>
      <c r="R5" s="19"/>
      <c r="S5" s="78"/>
      <c r="T5" s="78"/>
      <c r="U5" s="78"/>
      <c r="V5" s="78"/>
      <c r="W5" s="19"/>
      <c r="X5" s="72"/>
      <c r="Y5" s="62" t="s">
        <v>122</v>
      </c>
      <c r="Z5" s="78"/>
      <c r="AA5" s="19"/>
      <c r="AB5" s="19"/>
      <c r="AC5" s="19"/>
      <c r="AD5" s="19"/>
      <c r="AE5" s="19"/>
      <c r="AF5" s="19"/>
      <c r="AG5" s="19"/>
    </row>
    <row r="6" spans="1:33" x14ac:dyDescent="0.25">
      <c r="A6" s="25" t="s">
        <v>41</v>
      </c>
      <c r="B6" s="27" t="s">
        <v>121</v>
      </c>
      <c r="C6" s="74">
        <v>29.3</v>
      </c>
      <c r="D6" s="27">
        <v>10488</v>
      </c>
      <c r="E6" s="80">
        <v>0.35499999999999998</v>
      </c>
      <c r="F6" s="80">
        <f>D6/E6*0.001</f>
        <v>29.543661971830989</v>
      </c>
      <c r="G6" s="80"/>
      <c r="H6" s="80"/>
      <c r="I6" s="19"/>
      <c r="J6" s="93">
        <v>27.3</v>
      </c>
      <c r="K6" s="19">
        <v>10489</v>
      </c>
      <c r="L6" s="78">
        <v>0.39400000000000002</v>
      </c>
      <c r="M6" s="74">
        <f>K6/L6*0.001</f>
        <v>26.621827411167512</v>
      </c>
      <c r="N6" s="19"/>
      <c r="O6" s="25" t="s">
        <v>41</v>
      </c>
      <c r="P6" s="27" t="s">
        <v>121</v>
      </c>
      <c r="Q6" s="74">
        <v>29.5</v>
      </c>
      <c r="R6" s="27">
        <v>10488</v>
      </c>
      <c r="S6" s="80">
        <v>0.35599999999999998</v>
      </c>
      <c r="T6" s="80">
        <f>R6/S6*0.001</f>
        <v>29.460674157303373</v>
      </c>
      <c r="U6" s="80"/>
      <c r="V6" s="80"/>
      <c r="W6" s="19"/>
      <c r="X6" s="72">
        <v>27.4</v>
      </c>
      <c r="Y6" s="64">
        <v>10489</v>
      </c>
      <c r="Z6" s="82">
        <v>0.38300000000000001</v>
      </c>
      <c r="AA6" s="74">
        <f>Y6/Z6*0.001</f>
        <v>27.386422976501304</v>
      </c>
      <c r="AB6" s="32"/>
      <c r="AC6" s="32"/>
      <c r="AD6" s="32"/>
      <c r="AE6" s="19"/>
      <c r="AF6" s="19"/>
      <c r="AG6" s="19"/>
    </row>
    <row r="7" spans="1:33" x14ac:dyDescent="0.25">
      <c r="A7" s="25">
        <v>1</v>
      </c>
      <c r="B7" s="27"/>
      <c r="C7" s="74">
        <v>4.78</v>
      </c>
      <c r="D7" s="27">
        <v>5233</v>
      </c>
      <c r="E7" s="81">
        <v>1.0900000000000001</v>
      </c>
      <c r="F7" s="80">
        <f t="shared" ref="F7:F12" si="0">D7/E7*0.001</f>
        <v>4.8009174311926603</v>
      </c>
      <c r="G7" s="80">
        <f>(E7-D7/5000)*1000</f>
        <v>43.400000000000105</v>
      </c>
      <c r="H7" s="80">
        <f>D7/(E7*0.001 - D7/5000000)*0.000001</f>
        <v>120.57603686635923</v>
      </c>
      <c r="I7" s="19"/>
      <c r="J7" s="93"/>
      <c r="K7" s="19"/>
      <c r="L7" s="78"/>
      <c r="M7" s="72"/>
      <c r="N7" s="19"/>
      <c r="O7" s="25">
        <v>1</v>
      </c>
      <c r="P7" s="27"/>
      <c r="Q7" s="74">
        <v>4.79</v>
      </c>
      <c r="R7" s="27">
        <v>5232</v>
      </c>
      <c r="S7" s="80">
        <v>1.0900000000000001</v>
      </c>
      <c r="T7" s="80">
        <f t="shared" ref="T7:T12" si="1">R7/S7*0.001</f>
        <v>4.8</v>
      </c>
      <c r="U7" s="80">
        <f>(S7-R7/5000)*1000</f>
        <v>43.60000000000008</v>
      </c>
      <c r="V7" s="80">
        <f>R7/(S7*0.001 - R7/5000000)*0.000001</f>
        <v>120.00000000000007</v>
      </c>
      <c r="W7" s="19"/>
      <c r="X7" s="72"/>
      <c r="Y7" s="64"/>
      <c r="Z7" s="82"/>
      <c r="AA7" s="72"/>
      <c r="AB7" s="32"/>
      <c r="AC7" s="32"/>
      <c r="AD7" s="32"/>
      <c r="AE7" s="19"/>
      <c r="AF7" s="19"/>
      <c r="AG7" s="19"/>
    </row>
    <row r="8" spans="1:33" x14ac:dyDescent="0.25">
      <c r="A8" s="25">
        <v>2</v>
      </c>
      <c r="B8" s="27">
        <v>3359</v>
      </c>
      <c r="C8" s="74">
        <v>4.9800000000000004</v>
      </c>
      <c r="D8" s="27">
        <v>5234</v>
      </c>
      <c r="E8" s="81">
        <v>1.05</v>
      </c>
      <c r="F8" s="80">
        <f t="shared" si="0"/>
        <v>4.9847619047619043</v>
      </c>
      <c r="G8" s="80">
        <f t="shared" ref="G8:G12" si="2">(E8-D8/5000)*1000</f>
        <v>3.2000000000000917</v>
      </c>
      <c r="H8" s="80">
        <f t="shared" ref="H8:H12" si="3">D8/(E8*0.001 - D8/5000000)*0.000001</f>
        <v>1635.6249999999602</v>
      </c>
      <c r="I8" s="19"/>
      <c r="J8" s="93">
        <v>4.7</v>
      </c>
      <c r="K8" s="19">
        <v>5232</v>
      </c>
      <c r="L8" s="78">
        <v>1.1100000000000001</v>
      </c>
      <c r="M8" s="74">
        <f>K8/L8*0.001</f>
        <v>4.7135135135135133</v>
      </c>
      <c r="N8" s="19"/>
      <c r="O8" s="25">
        <v>2</v>
      </c>
      <c r="P8" s="27">
        <v>3359</v>
      </c>
      <c r="Q8" s="74">
        <v>4.99</v>
      </c>
      <c r="R8" s="27">
        <v>5235</v>
      </c>
      <c r="S8" s="81">
        <v>1.05</v>
      </c>
      <c r="T8" s="80">
        <f t="shared" si="1"/>
        <v>4.9857142857142858</v>
      </c>
      <c r="U8" s="80">
        <f t="shared" ref="U8:U12" si="4">(S8-R8/5000)*1000</f>
        <v>3.0000000000001137</v>
      </c>
      <c r="V8" s="80">
        <f t="shared" ref="V8:V12" si="5">R8/(S8*0.001 - R8/5000000)*0.000001</f>
        <v>1744.9999999998945</v>
      </c>
      <c r="W8" s="19"/>
      <c r="X8" s="72">
        <v>4.5</v>
      </c>
      <c r="Y8" s="64">
        <v>5231</v>
      </c>
      <c r="Z8" s="82">
        <v>1.1599999999999999</v>
      </c>
      <c r="AA8" s="74">
        <f>Y8/Z8*0.001</f>
        <v>4.50948275862069</v>
      </c>
      <c r="AB8" s="32"/>
      <c r="AD8" s="32"/>
      <c r="AE8" s="19"/>
      <c r="AF8" s="19"/>
      <c r="AG8" s="19"/>
    </row>
    <row r="9" spans="1:33" x14ac:dyDescent="0.25">
      <c r="A9" s="25">
        <v>3</v>
      </c>
      <c r="B9" s="27"/>
      <c r="C9" s="74">
        <v>4.76</v>
      </c>
      <c r="D9" s="27">
        <v>5232</v>
      </c>
      <c r="E9" s="81">
        <v>1.1000000000000001</v>
      </c>
      <c r="F9" s="80">
        <f t="shared" si="0"/>
        <v>4.7563636363636359</v>
      </c>
      <c r="G9" s="80">
        <f t="shared" si="2"/>
        <v>53.600000000000094</v>
      </c>
      <c r="H9" s="80">
        <f t="shared" si="3"/>
        <v>97.611940298507449</v>
      </c>
      <c r="I9" s="19"/>
      <c r="J9" s="93"/>
      <c r="K9" s="19"/>
      <c r="L9" s="78"/>
      <c r="M9" s="72"/>
      <c r="N9" s="19"/>
      <c r="O9" s="25">
        <v>3</v>
      </c>
      <c r="P9" s="27"/>
      <c r="Q9" s="74">
        <v>4.67</v>
      </c>
      <c r="R9" s="27">
        <v>5231</v>
      </c>
      <c r="S9" s="81">
        <v>1.1200000000000001</v>
      </c>
      <c r="T9" s="80">
        <f t="shared" si="1"/>
        <v>4.6705357142857142</v>
      </c>
      <c r="U9" s="80">
        <f t="shared" si="4"/>
        <v>73.800000000000082</v>
      </c>
      <c r="V9" s="80">
        <f t="shared" si="5"/>
        <v>70.880758807587924</v>
      </c>
      <c r="W9" s="19"/>
      <c r="X9" s="72"/>
      <c r="Y9" s="64"/>
      <c r="Z9" s="82"/>
      <c r="AA9" s="72"/>
      <c r="AB9" s="32"/>
      <c r="AC9" s="32"/>
      <c r="AD9" s="32"/>
      <c r="AE9" s="19"/>
      <c r="AF9" s="19"/>
      <c r="AG9" s="19"/>
    </row>
    <row r="10" spans="1:33" x14ac:dyDescent="0.25">
      <c r="A10" s="25">
        <v>4</v>
      </c>
      <c r="B10" s="27">
        <v>6279</v>
      </c>
      <c r="C10" s="74">
        <v>4.96</v>
      </c>
      <c r="D10" s="27">
        <v>5233</v>
      </c>
      <c r="E10" s="81">
        <v>1.06</v>
      </c>
      <c r="F10" s="80">
        <f t="shared" si="0"/>
        <v>4.9367924528301881</v>
      </c>
      <c r="G10" s="80">
        <f t="shared" si="2"/>
        <v>13.400000000000079</v>
      </c>
      <c r="H10" s="80">
        <f t="shared" si="3"/>
        <v>390.52238805969517</v>
      </c>
      <c r="I10" s="19"/>
      <c r="J10" s="93">
        <v>4.7</v>
      </c>
      <c r="K10" s="19">
        <v>5232</v>
      </c>
      <c r="L10" s="78">
        <v>1.1100000000000001</v>
      </c>
      <c r="M10" s="74">
        <f>K10/L10*0.001</f>
        <v>4.7135135135135133</v>
      </c>
      <c r="N10" s="19"/>
      <c r="O10" s="25">
        <v>4</v>
      </c>
      <c r="P10" s="27">
        <v>6279</v>
      </c>
      <c r="Q10" s="74">
        <v>4.92</v>
      </c>
      <c r="R10" s="27">
        <v>5235</v>
      </c>
      <c r="S10" s="80">
        <v>1.07</v>
      </c>
      <c r="T10" s="80">
        <f t="shared" si="1"/>
        <v>4.8925233644859807</v>
      </c>
      <c r="U10" s="80">
        <f t="shared" si="4"/>
        <v>23.000000000000131</v>
      </c>
      <c r="V10" s="80">
        <f t="shared" si="5"/>
        <v>227.60869565217374</v>
      </c>
      <c r="W10" s="19"/>
      <c r="X10" s="72">
        <v>4.8099999999999996</v>
      </c>
      <c r="Y10" s="64">
        <v>5232</v>
      </c>
      <c r="Z10" s="82">
        <v>1.0900000000000001</v>
      </c>
      <c r="AA10" s="74">
        <f>Y10/Z10*0.001</f>
        <v>4.8</v>
      </c>
      <c r="AB10" s="32"/>
      <c r="AD10" s="32"/>
      <c r="AE10" s="19"/>
      <c r="AF10" s="19"/>
      <c r="AG10" s="19"/>
    </row>
    <row r="11" spans="1:33" x14ac:dyDescent="0.25">
      <c r="A11" s="25">
        <v>5</v>
      </c>
      <c r="B11" s="27">
        <v>3175</v>
      </c>
      <c r="C11" s="74">
        <v>4.92</v>
      </c>
      <c r="D11" s="27">
        <v>5233</v>
      </c>
      <c r="E11" s="81">
        <v>1.06</v>
      </c>
      <c r="F11" s="80">
        <f t="shared" si="0"/>
        <v>4.9367924528301881</v>
      </c>
      <c r="G11" s="80">
        <f t="shared" si="2"/>
        <v>13.400000000000079</v>
      </c>
      <c r="H11" s="80">
        <f t="shared" si="3"/>
        <v>390.52238805969517</v>
      </c>
      <c r="I11" s="19"/>
      <c r="J11" s="93">
        <v>4.55</v>
      </c>
      <c r="K11" s="19">
        <v>5231</v>
      </c>
      <c r="L11" s="78">
        <v>1.1499999999999999</v>
      </c>
      <c r="M11" s="74">
        <f>K11/L11*0.001</f>
        <v>4.5486956521739135</v>
      </c>
      <c r="N11" s="19"/>
      <c r="O11" s="25">
        <v>5</v>
      </c>
      <c r="P11" s="27">
        <v>3175</v>
      </c>
      <c r="Q11" s="74">
        <v>4.92</v>
      </c>
      <c r="R11" s="27">
        <v>5234</v>
      </c>
      <c r="S11" s="81">
        <v>1.06</v>
      </c>
      <c r="T11" s="80">
        <f t="shared" si="1"/>
        <v>4.9377358490566037</v>
      </c>
      <c r="U11" s="80">
        <f t="shared" si="4"/>
        <v>13.200000000000101</v>
      </c>
      <c r="V11" s="80">
        <f t="shared" si="5"/>
        <v>396.51515151514837</v>
      </c>
      <c r="W11" s="19"/>
      <c r="X11" s="72">
        <v>4.1900000000000004</v>
      </c>
      <c r="Y11" s="64">
        <v>5230</v>
      </c>
      <c r="Z11" s="82">
        <v>1.25</v>
      </c>
      <c r="AA11" s="74">
        <f>Y11/Z11*0.001</f>
        <v>4.1840000000000002</v>
      </c>
      <c r="AB11" s="32"/>
      <c r="AD11" s="32"/>
      <c r="AE11" s="19"/>
      <c r="AF11" s="19"/>
      <c r="AG11" s="19"/>
    </row>
    <row r="12" spans="1:33" x14ac:dyDescent="0.25">
      <c r="A12" s="25">
        <v>6</v>
      </c>
      <c r="B12" s="27"/>
      <c r="C12" s="74">
        <v>4.9000000000000004</v>
      </c>
      <c r="D12" s="27">
        <v>5232</v>
      </c>
      <c r="E12" s="81">
        <v>1.07</v>
      </c>
      <c r="F12" s="80">
        <f t="shared" si="0"/>
        <v>4.8897196261682243</v>
      </c>
      <c r="G12" s="80">
        <f t="shared" si="2"/>
        <v>23.600000000000065</v>
      </c>
      <c r="H12" s="80">
        <f t="shared" si="3"/>
        <v>221.694915254238</v>
      </c>
      <c r="I12" s="19"/>
      <c r="J12" s="84" t="s">
        <v>120</v>
      </c>
      <c r="K12" s="6"/>
      <c r="L12" s="85"/>
      <c r="M12" s="85"/>
      <c r="N12" s="19"/>
      <c r="O12" s="25">
        <v>6</v>
      </c>
      <c r="P12" s="27"/>
      <c r="Q12" s="74">
        <v>4.87</v>
      </c>
      <c r="R12" s="27">
        <v>5233</v>
      </c>
      <c r="S12" s="80">
        <v>1.0900000000000001</v>
      </c>
      <c r="T12" s="80">
        <f t="shared" si="1"/>
        <v>4.8009174311926603</v>
      </c>
      <c r="U12" s="80">
        <f t="shared" si="4"/>
        <v>43.400000000000105</v>
      </c>
      <c r="V12" s="80">
        <f t="shared" si="5"/>
        <v>120.57603686635923</v>
      </c>
      <c r="W12" s="19"/>
      <c r="X12" s="84" t="s">
        <v>120</v>
      </c>
      <c r="Y12" s="6"/>
      <c r="Z12" s="85"/>
      <c r="AA12" s="32"/>
      <c r="AB12" s="32"/>
      <c r="AC12" s="32"/>
      <c r="AD12" s="32"/>
      <c r="AE12" s="19"/>
      <c r="AF12" s="19"/>
      <c r="AG12" s="19"/>
    </row>
    <row r="13" spans="1:33" x14ac:dyDescent="0.25">
      <c r="A13" s="25"/>
      <c r="B13" s="27" t="s">
        <v>130</v>
      </c>
      <c r="C13" s="74">
        <f>SUM(C7:C12)</f>
        <v>29.299999999999997</v>
      </c>
      <c r="D13" s="27" t="s">
        <v>115</v>
      </c>
      <c r="E13" s="80">
        <f>AVERAGE(E7:E12)</f>
        <v>1.071666666666667</v>
      </c>
      <c r="F13" s="80">
        <f>SUM(F7:F12)</f>
        <v>29.305347504146802</v>
      </c>
      <c r="G13" s="80"/>
      <c r="H13" s="80"/>
      <c r="I13" s="19"/>
      <c r="J13" s="84" t="s">
        <v>119</v>
      </c>
      <c r="K13" s="19"/>
      <c r="L13" s="78"/>
      <c r="M13" s="78"/>
      <c r="N13" s="19"/>
      <c r="O13" s="25"/>
      <c r="P13" s="27" t="s">
        <v>130</v>
      </c>
      <c r="Q13" s="74">
        <f>SUM(Q7:Q12)</f>
        <v>29.16</v>
      </c>
      <c r="R13" s="27" t="s">
        <v>115</v>
      </c>
      <c r="S13" s="80">
        <f>AVERAGE(S7:S12)</f>
        <v>1.08</v>
      </c>
      <c r="T13" s="80">
        <f>SUM(T7:T12)</f>
        <v>29.087426644735245</v>
      </c>
      <c r="U13" s="80"/>
      <c r="V13" s="80"/>
      <c r="W13" s="19"/>
      <c r="X13" s="84" t="s">
        <v>119</v>
      </c>
      <c r="Y13" s="19"/>
      <c r="Z13" s="78"/>
      <c r="AA13" s="32"/>
      <c r="AB13" s="32"/>
      <c r="AC13" s="32"/>
      <c r="AD13" s="32"/>
      <c r="AE13" s="19"/>
      <c r="AF13" s="19"/>
      <c r="AG13" s="19"/>
    </row>
    <row r="14" spans="1:33" x14ac:dyDescent="0.25">
      <c r="A14" s="25"/>
      <c r="B14" s="27"/>
      <c r="C14" s="74"/>
      <c r="D14" s="27"/>
      <c r="E14" s="80"/>
      <c r="F14" s="80"/>
      <c r="G14" s="80"/>
      <c r="H14" s="80"/>
      <c r="I14" s="19"/>
      <c r="J14" s="72"/>
      <c r="K14" s="19"/>
      <c r="L14" s="78"/>
      <c r="M14" s="78"/>
      <c r="N14" s="19"/>
      <c r="O14" s="25"/>
      <c r="P14" s="27"/>
      <c r="Q14" s="74"/>
      <c r="R14" s="27"/>
      <c r="S14" s="80"/>
      <c r="T14" s="80"/>
      <c r="U14" s="80"/>
      <c r="V14" s="80"/>
      <c r="W14" s="19"/>
      <c r="X14" s="72"/>
      <c r="Y14" s="62"/>
      <c r="Z14" s="78"/>
      <c r="AA14" s="19"/>
      <c r="AB14" s="19"/>
      <c r="AC14" s="19"/>
      <c r="AD14" s="19"/>
      <c r="AE14" s="19"/>
      <c r="AF14" s="19"/>
      <c r="AG14" s="19"/>
    </row>
    <row r="15" spans="1:33" x14ac:dyDescent="0.25">
      <c r="A15" s="25" t="s">
        <v>47</v>
      </c>
      <c r="B15" s="27"/>
      <c r="C15" s="74">
        <v>29.3</v>
      </c>
      <c r="D15" s="27">
        <v>10491</v>
      </c>
      <c r="E15" s="80">
        <v>0.35799999999999998</v>
      </c>
      <c r="F15" s="80">
        <f t="shared" ref="F15:F21" si="6">D15/E15*0.001</f>
        <v>29.30446927374302</v>
      </c>
      <c r="G15" s="80"/>
      <c r="H15" s="80"/>
      <c r="I15" s="19"/>
      <c r="J15" s="72"/>
      <c r="K15" s="19"/>
      <c r="L15" s="78"/>
      <c r="M15" s="78"/>
      <c r="N15" s="19"/>
      <c r="O15" s="25" t="s">
        <v>47</v>
      </c>
      <c r="P15" s="27"/>
      <c r="Q15" s="74">
        <v>29.3</v>
      </c>
      <c r="R15" s="27">
        <v>10490</v>
      </c>
      <c r="S15" s="80">
        <v>0.35799999999999998</v>
      </c>
      <c r="T15" s="80">
        <f t="shared" ref="T15:T21" si="7">R15/S15*0.001</f>
        <v>29.30167597765363</v>
      </c>
      <c r="U15" s="80"/>
      <c r="V15" s="80"/>
      <c r="W15" s="19"/>
      <c r="X15" s="72"/>
      <c r="Y15" s="62"/>
      <c r="Z15" s="78"/>
      <c r="AA15" s="19"/>
      <c r="AB15" s="19"/>
      <c r="AC15" s="19"/>
      <c r="AD15" s="19"/>
      <c r="AE15" s="19"/>
      <c r="AF15" s="19"/>
      <c r="AG15" s="19"/>
    </row>
    <row r="16" spans="1:33" x14ac:dyDescent="0.25">
      <c r="A16" s="25">
        <v>1</v>
      </c>
      <c r="B16" s="27"/>
      <c r="C16" s="74">
        <v>4.9400000000000004</v>
      </c>
      <c r="D16" s="27">
        <v>5234</v>
      </c>
      <c r="E16" s="80">
        <v>1.06</v>
      </c>
      <c r="F16" s="80">
        <f t="shared" si="6"/>
        <v>4.9377358490566037</v>
      </c>
      <c r="G16" s="80">
        <f>(E16-D16/5000)*1000</f>
        <v>13.200000000000101</v>
      </c>
      <c r="H16" s="80">
        <f>D16/(E16*0.001 - D16/5000000)*0.000001</f>
        <v>396.51515151514837</v>
      </c>
      <c r="I16" s="19"/>
      <c r="J16" s="72"/>
      <c r="K16" s="19"/>
      <c r="L16" s="78"/>
      <c r="M16" s="78"/>
      <c r="N16" s="19"/>
      <c r="O16" s="25">
        <v>1</v>
      </c>
      <c r="P16" s="27"/>
      <c r="Q16" s="74">
        <v>4.95</v>
      </c>
      <c r="R16" s="27">
        <v>5234</v>
      </c>
      <c r="S16" s="80">
        <v>1.06</v>
      </c>
      <c r="T16" s="80">
        <f t="shared" si="7"/>
        <v>4.9377358490566037</v>
      </c>
      <c r="U16" s="80">
        <f>(S16-R16/5000)*1000</f>
        <v>13.200000000000101</v>
      </c>
      <c r="V16" s="80">
        <f>R16/(S16*0.001 - R16/5000000)*0.000001</f>
        <v>396.51515151514837</v>
      </c>
      <c r="W16" s="19"/>
      <c r="X16" s="72"/>
      <c r="Y16" s="62"/>
      <c r="Z16" s="78"/>
      <c r="AA16" s="19"/>
      <c r="AB16" s="19"/>
      <c r="AC16" s="19"/>
      <c r="AD16" s="19"/>
      <c r="AE16" s="19"/>
      <c r="AF16" s="19"/>
      <c r="AG16" s="19"/>
    </row>
    <row r="17" spans="1:33" x14ac:dyDescent="0.25">
      <c r="A17" s="25">
        <v>2</v>
      </c>
      <c r="B17" s="27"/>
      <c r="C17" s="74">
        <v>4.75</v>
      </c>
      <c r="D17" s="27">
        <v>5233</v>
      </c>
      <c r="E17" s="80">
        <v>1.1000000000000001</v>
      </c>
      <c r="F17" s="80">
        <f t="shared" si="6"/>
        <v>4.7572727272727269</v>
      </c>
      <c r="G17" s="80">
        <f t="shared" ref="G17:G21" si="8">(E17-D17/5000)*1000</f>
        <v>53.400000000000112</v>
      </c>
      <c r="H17" s="80">
        <f t="shared" ref="H17:H21" si="9">D17/(E17*0.001 - D17/5000000)*0.000001</f>
        <v>97.996254681647741</v>
      </c>
      <c r="I17" s="19"/>
      <c r="J17" s="72"/>
      <c r="K17" s="19"/>
      <c r="L17" s="78"/>
      <c r="M17" s="78"/>
      <c r="N17" s="19"/>
      <c r="O17" s="25">
        <v>2</v>
      </c>
      <c r="P17" s="27"/>
      <c r="Q17" s="74">
        <v>4.84</v>
      </c>
      <c r="R17" s="27">
        <v>5233</v>
      </c>
      <c r="S17" s="80">
        <v>1.08</v>
      </c>
      <c r="T17" s="80">
        <f t="shared" si="7"/>
        <v>4.8453703703703708</v>
      </c>
      <c r="U17" s="80">
        <f t="shared" ref="U17:U21" si="10">(S17-R17/5000)*1000</f>
        <v>33.400000000000098</v>
      </c>
      <c r="V17" s="80">
        <f t="shared" ref="V17:V21" si="11">R17/(S17*0.001 - R17/5000000)*0.000001</f>
        <v>156.67664670658655</v>
      </c>
      <c r="W17" s="19"/>
      <c r="X17" s="72"/>
      <c r="Y17" s="62"/>
      <c r="Z17" s="78"/>
      <c r="AA17" s="19"/>
      <c r="AB17" s="19"/>
      <c r="AC17" s="19"/>
      <c r="AD17" s="19"/>
      <c r="AE17" s="19"/>
      <c r="AF17" s="19"/>
      <c r="AG17" s="19"/>
    </row>
    <row r="18" spans="1:33" x14ac:dyDescent="0.25">
      <c r="A18" s="25">
        <v>3</v>
      </c>
      <c r="B18" s="27"/>
      <c r="C18" s="74">
        <v>4.9000000000000004</v>
      </c>
      <c r="D18" s="27">
        <v>5235</v>
      </c>
      <c r="E18" s="80">
        <v>1.07</v>
      </c>
      <c r="F18" s="80">
        <f t="shared" si="6"/>
        <v>4.8925233644859807</v>
      </c>
      <c r="G18" s="80">
        <f t="shared" si="8"/>
        <v>23.000000000000131</v>
      </c>
      <c r="H18" s="80">
        <f t="shared" si="9"/>
        <v>227.60869565217374</v>
      </c>
      <c r="I18" s="19"/>
      <c r="J18" s="72"/>
      <c r="K18" s="19"/>
      <c r="L18" s="78"/>
      <c r="M18" s="78"/>
      <c r="N18" s="19"/>
      <c r="O18" s="25">
        <v>3</v>
      </c>
      <c r="P18" s="27"/>
      <c r="Q18" s="74">
        <v>4.91</v>
      </c>
      <c r="R18" s="27">
        <v>5234</v>
      </c>
      <c r="S18" s="80">
        <v>1.07</v>
      </c>
      <c r="T18" s="80">
        <f t="shared" si="7"/>
        <v>4.8915887850467286</v>
      </c>
      <c r="U18" s="80">
        <f t="shared" si="10"/>
        <v>23.200000000000109</v>
      </c>
      <c r="V18" s="80">
        <f t="shared" si="11"/>
        <v>225.60344827586289</v>
      </c>
      <c r="W18" s="19"/>
      <c r="X18" s="72"/>
      <c r="Y18" s="62"/>
      <c r="Z18" s="78"/>
      <c r="AA18" s="19"/>
      <c r="AB18" s="19"/>
      <c r="AC18" s="19"/>
      <c r="AD18" s="19"/>
      <c r="AE18" s="19"/>
      <c r="AF18" s="19"/>
      <c r="AG18" s="19"/>
    </row>
    <row r="19" spans="1:33" x14ac:dyDescent="0.25">
      <c r="A19" s="25">
        <v>4</v>
      </c>
      <c r="B19" s="27"/>
      <c r="C19" s="74">
        <v>4.8899999999999997</v>
      </c>
      <c r="D19" s="27">
        <v>5235</v>
      </c>
      <c r="E19" s="80">
        <v>1.07</v>
      </c>
      <c r="F19" s="80">
        <f t="shared" si="6"/>
        <v>4.8925233644859807</v>
      </c>
      <c r="G19" s="80">
        <f t="shared" si="8"/>
        <v>23.000000000000131</v>
      </c>
      <c r="H19" s="80">
        <f t="shared" si="9"/>
        <v>227.60869565217374</v>
      </c>
      <c r="I19" s="19"/>
      <c r="J19" s="72"/>
      <c r="K19" s="19"/>
      <c r="L19" s="78"/>
      <c r="M19" s="78"/>
      <c r="N19" s="19"/>
      <c r="O19" s="25">
        <v>4</v>
      </c>
      <c r="P19" s="27"/>
      <c r="Q19" s="74">
        <v>4.8899999999999997</v>
      </c>
      <c r="R19" s="27">
        <v>5234</v>
      </c>
      <c r="S19" s="80">
        <v>1.07</v>
      </c>
      <c r="T19" s="80">
        <f t="shared" si="7"/>
        <v>4.8915887850467286</v>
      </c>
      <c r="U19" s="80">
        <f t="shared" si="10"/>
        <v>23.200000000000109</v>
      </c>
      <c r="V19" s="80">
        <f t="shared" si="11"/>
        <v>225.60344827586289</v>
      </c>
      <c r="W19" s="19"/>
      <c r="X19" s="72"/>
      <c r="Y19" s="62"/>
      <c r="Z19" s="78"/>
      <c r="AA19" s="19"/>
      <c r="AB19" s="19"/>
      <c r="AC19" s="19"/>
      <c r="AD19" s="19"/>
      <c r="AE19" s="19"/>
      <c r="AF19" s="19"/>
      <c r="AG19" s="19"/>
    </row>
    <row r="20" spans="1:33" x14ac:dyDescent="0.25">
      <c r="A20" s="25">
        <v>5</v>
      </c>
      <c r="B20" s="27"/>
      <c r="C20" s="74">
        <v>4.8499999999999996</v>
      </c>
      <c r="D20" s="27">
        <v>5233</v>
      </c>
      <c r="E20" s="80">
        <v>1.08</v>
      </c>
      <c r="F20" s="80">
        <f t="shared" si="6"/>
        <v>4.8453703703703708</v>
      </c>
      <c r="G20" s="80">
        <f t="shared" si="8"/>
        <v>33.400000000000098</v>
      </c>
      <c r="H20" s="80">
        <f t="shared" si="9"/>
        <v>156.67664670658655</v>
      </c>
      <c r="I20" s="19"/>
      <c r="J20" s="72"/>
      <c r="K20" s="19"/>
      <c r="L20" s="78"/>
      <c r="M20" s="78"/>
      <c r="N20" s="19"/>
      <c r="O20" s="25">
        <v>5</v>
      </c>
      <c r="P20" s="27"/>
      <c r="Q20" s="74">
        <v>4.8499999999999996</v>
      </c>
      <c r="R20" s="27">
        <v>5233</v>
      </c>
      <c r="S20" s="80">
        <v>1.08</v>
      </c>
      <c r="T20" s="80">
        <f t="shared" si="7"/>
        <v>4.8453703703703708</v>
      </c>
      <c r="U20" s="80">
        <f t="shared" si="10"/>
        <v>33.400000000000098</v>
      </c>
      <c r="V20" s="80">
        <f t="shared" si="11"/>
        <v>156.67664670658655</v>
      </c>
      <c r="W20" s="19"/>
      <c r="X20" s="72"/>
      <c r="Y20" s="62"/>
      <c r="Z20" s="78"/>
      <c r="AA20" s="19"/>
      <c r="AB20" s="19"/>
      <c r="AC20" s="19"/>
      <c r="AD20" s="19"/>
      <c r="AE20" s="19"/>
      <c r="AF20" s="19"/>
      <c r="AG20" s="19"/>
    </row>
    <row r="21" spans="1:33" x14ac:dyDescent="0.25">
      <c r="A21" s="25">
        <v>6</v>
      </c>
      <c r="B21" s="27"/>
      <c r="C21" s="74">
        <v>4.97</v>
      </c>
      <c r="D21" s="27">
        <v>5235</v>
      </c>
      <c r="E21" s="80">
        <v>1.05</v>
      </c>
      <c r="F21" s="80">
        <f t="shared" si="6"/>
        <v>4.9857142857142858</v>
      </c>
      <c r="G21" s="80">
        <f t="shared" si="8"/>
        <v>3.0000000000001137</v>
      </c>
      <c r="H21" s="80">
        <f t="shared" si="9"/>
        <v>1744.9999999998945</v>
      </c>
      <c r="I21" s="19"/>
      <c r="J21" s="72"/>
      <c r="K21" s="19"/>
      <c r="L21" s="78"/>
      <c r="M21" s="78"/>
      <c r="N21" s="19"/>
      <c r="O21" s="25">
        <v>6</v>
      </c>
      <c r="P21" s="27"/>
      <c r="Q21" s="74">
        <v>4.96</v>
      </c>
      <c r="R21" s="27">
        <v>5234</v>
      </c>
      <c r="S21" s="80">
        <v>1.06</v>
      </c>
      <c r="T21" s="80">
        <f t="shared" si="7"/>
        <v>4.9377358490566037</v>
      </c>
      <c r="U21" s="80">
        <f t="shared" si="10"/>
        <v>13.200000000000101</v>
      </c>
      <c r="V21" s="80">
        <f t="shared" si="11"/>
        <v>396.51515151514837</v>
      </c>
      <c r="W21" s="19"/>
      <c r="X21" s="72"/>
      <c r="Y21" s="62"/>
      <c r="Z21" s="78"/>
      <c r="AA21" s="19"/>
      <c r="AB21" s="19"/>
      <c r="AC21" s="19"/>
      <c r="AD21" s="19"/>
      <c r="AE21" s="19"/>
      <c r="AF21" s="19"/>
      <c r="AG21" s="19"/>
    </row>
    <row r="22" spans="1:33" x14ac:dyDescent="0.25">
      <c r="A22" s="25"/>
      <c r="B22" s="27" t="s">
        <v>130</v>
      </c>
      <c r="C22" s="74">
        <f>SUM(C16:C21)</f>
        <v>29.299999999999997</v>
      </c>
      <c r="D22" s="27" t="s">
        <v>115</v>
      </c>
      <c r="E22" s="80">
        <f>AVERAGE(E16:E21)</f>
        <v>1.0716666666666668</v>
      </c>
      <c r="F22" s="80">
        <f>SUM(F16:F21)</f>
        <v>29.311139961385948</v>
      </c>
      <c r="G22" s="80"/>
      <c r="H22" s="80"/>
      <c r="I22" s="19"/>
      <c r="J22" s="72"/>
      <c r="K22" s="19"/>
      <c r="L22" s="78"/>
      <c r="M22" s="78"/>
      <c r="N22" s="19"/>
      <c r="O22" s="25"/>
      <c r="P22" s="27" t="s">
        <v>130</v>
      </c>
      <c r="Q22" s="74">
        <f>SUM(Q16:Q21)</f>
        <v>29.4</v>
      </c>
      <c r="R22" s="27" t="s">
        <v>115</v>
      </c>
      <c r="S22" s="80">
        <f>AVERAGE(S16:S21)</f>
        <v>1.07</v>
      </c>
      <c r="T22" s="80">
        <f>SUM(T16:T21)</f>
        <v>29.34939000894741</v>
      </c>
      <c r="U22" s="80"/>
      <c r="V22" s="80"/>
      <c r="W22" s="19"/>
      <c r="X22" s="72"/>
      <c r="Y22" s="62"/>
      <c r="Z22" s="78"/>
      <c r="AA22" s="19"/>
      <c r="AB22" s="19"/>
      <c r="AC22" s="19"/>
      <c r="AD22" s="19"/>
      <c r="AE22" s="19"/>
      <c r="AF22" s="19"/>
      <c r="AG22" s="19"/>
    </row>
    <row r="23" spans="1:33" x14ac:dyDescent="0.25">
      <c r="A23" s="25"/>
      <c r="B23" s="27"/>
      <c r="C23" s="74"/>
      <c r="D23" s="27"/>
      <c r="E23" s="80"/>
      <c r="F23" s="80"/>
      <c r="G23" s="80"/>
      <c r="H23" s="80"/>
      <c r="I23" s="19"/>
      <c r="J23" s="72"/>
      <c r="K23" s="19" t="s">
        <v>118</v>
      </c>
      <c r="L23" s="78"/>
      <c r="M23" s="78"/>
      <c r="N23" s="19"/>
      <c r="O23" s="25"/>
      <c r="P23" s="27"/>
      <c r="Q23" s="74"/>
      <c r="R23" s="27"/>
      <c r="S23" s="80"/>
      <c r="T23" s="80"/>
      <c r="U23" s="80"/>
      <c r="V23" s="80"/>
      <c r="W23" s="19"/>
      <c r="X23" s="72"/>
      <c r="Y23" s="62" t="s">
        <v>118</v>
      </c>
      <c r="Z23" s="78"/>
      <c r="AA23" s="19"/>
      <c r="AB23" s="19"/>
      <c r="AC23" s="19"/>
      <c r="AD23" s="19"/>
      <c r="AE23" s="19"/>
      <c r="AF23" s="19"/>
      <c r="AG23" s="19"/>
    </row>
    <row r="24" spans="1:33" x14ac:dyDescent="0.25">
      <c r="A24" s="25" t="s">
        <v>48</v>
      </c>
      <c r="B24" s="27"/>
      <c r="C24" s="74">
        <v>29.5</v>
      </c>
      <c r="D24" s="27">
        <v>10495</v>
      </c>
      <c r="E24" s="80">
        <v>0.35599999999999998</v>
      </c>
      <c r="F24" s="80">
        <f t="shared" ref="F24:F30" si="12">D24/E24*0.001</f>
        <v>29.480337078651687</v>
      </c>
      <c r="G24" s="80"/>
      <c r="H24" s="80"/>
      <c r="I24" s="19"/>
      <c r="J24" s="72">
        <v>28.1</v>
      </c>
      <c r="K24" s="19">
        <v>10489</v>
      </c>
      <c r="L24" s="78">
        <v>0.374</v>
      </c>
      <c r="M24" s="80">
        <f>K24/L24*0.001</f>
        <v>28.045454545454543</v>
      </c>
      <c r="N24" s="19"/>
      <c r="O24" s="25" t="s">
        <v>48</v>
      </c>
      <c r="P24" s="27"/>
      <c r="Q24" s="74">
        <v>29.4</v>
      </c>
      <c r="R24" s="27">
        <v>10494</v>
      </c>
      <c r="S24" s="80">
        <v>0.35699999999999998</v>
      </c>
      <c r="T24" s="80">
        <f t="shared" ref="T24:T30" si="13">R24/S24*0.001</f>
        <v>29.394957983193279</v>
      </c>
      <c r="U24" s="80"/>
      <c r="V24" s="80"/>
      <c r="W24" s="19"/>
      <c r="X24" s="72">
        <v>27.9</v>
      </c>
      <c r="Y24" s="62">
        <v>10491</v>
      </c>
      <c r="Z24" s="78">
        <v>0.376</v>
      </c>
      <c r="AA24" s="80">
        <f>Y24/Z24*0.001</f>
        <v>27.901595744680851</v>
      </c>
      <c r="AB24" s="19"/>
      <c r="AC24" s="19"/>
      <c r="AD24" s="19"/>
      <c r="AE24" s="19"/>
      <c r="AF24" s="19"/>
      <c r="AG24" s="19"/>
    </row>
    <row r="25" spans="1:33" x14ac:dyDescent="0.25">
      <c r="A25" s="25">
        <v>1</v>
      </c>
      <c r="B25" s="27"/>
      <c r="C25" s="74">
        <v>4.96</v>
      </c>
      <c r="D25" s="27">
        <v>5235</v>
      </c>
      <c r="E25" s="80">
        <v>1.06</v>
      </c>
      <c r="F25" s="80">
        <f t="shared" si="12"/>
        <v>4.9386792452830184</v>
      </c>
      <c r="G25" s="80">
        <f>(E25-D25/5000)*1000</f>
        <v>13.000000000000123</v>
      </c>
      <c r="H25" s="80">
        <f>D25/(E25*0.001 - D25/5000000)*0.000001</f>
        <v>402.69230769230126</v>
      </c>
      <c r="I25" s="19"/>
      <c r="J25" s="72"/>
      <c r="K25" s="19"/>
      <c r="L25" s="78"/>
      <c r="M25" s="78"/>
      <c r="N25" s="19"/>
      <c r="O25" s="25">
        <v>1</v>
      </c>
      <c r="P25" s="27"/>
      <c r="Q25" s="74">
        <v>4.8899999999999997</v>
      </c>
      <c r="R25" s="27">
        <v>5234</v>
      </c>
      <c r="S25" s="80">
        <v>1.07</v>
      </c>
      <c r="T25" s="80">
        <f t="shared" si="13"/>
        <v>4.8915887850467286</v>
      </c>
      <c r="U25" s="80">
        <f>(S25-R25/5000)*1000</f>
        <v>23.200000000000109</v>
      </c>
      <c r="V25" s="80">
        <f>R25/(S25*0.001 - R25/5000000)*0.000001</f>
        <v>225.60344827586289</v>
      </c>
      <c r="W25" s="19"/>
      <c r="X25" s="72"/>
      <c r="Y25" s="62"/>
      <c r="Z25" s="78"/>
      <c r="AA25" s="78"/>
      <c r="AB25" s="19"/>
      <c r="AC25" s="19"/>
      <c r="AD25" s="19"/>
      <c r="AE25" s="19"/>
      <c r="AF25" s="19"/>
      <c r="AG25" s="19"/>
    </row>
    <row r="26" spans="1:33" x14ac:dyDescent="0.25">
      <c r="A26" s="25">
        <v>2</v>
      </c>
      <c r="B26" s="27">
        <v>2361</v>
      </c>
      <c r="C26" s="74">
        <v>4.97</v>
      </c>
      <c r="D26" s="27">
        <v>5235</v>
      </c>
      <c r="E26" s="81">
        <v>1.05</v>
      </c>
      <c r="F26" s="80">
        <f t="shared" si="12"/>
        <v>4.9857142857142858</v>
      </c>
      <c r="G26" s="80">
        <f t="shared" ref="G26:G30" si="14">(E26-D26/5000)*1000</f>
        <v>3.0000000000001137</v>
      </c>
      <c r="H26" s="80">
        <f t="shared" ref="H26:H30" si="15">D26/(E26*0.001 - D26/5000000)*0.000001</f>
        <v>1744.9999999998945</v>
      </c>
      <c r="I26" s="19"/>
      <c r="J26" s="72">
        <v>4.5</v>
      </c>
      <c r="K26" s="19">
        <v>5232</v>
      </c>
      <c r="L26" s="78">
        <v>1.1599999999999999</v>
      </c>
      <c r="M26" s="80">
        <f>K26/L26*0.001</f>
        <v>4.5103448275862075</v>
      </c>
      <c r="N26" s="19"/>
      <c r="O26" s="25">
        <v>2</v>
      </c>
      <c r="P26" s="27"/>
      <c r="Q26" s="74">
        <v>4.67</v>
      </c>
      <c r="R26" s="27">
        <v>5233</v>
      </c>
      <c r="S26" s="80">
        <v>1.1200000000000001</v>
      </c>
      <c r="T26" s="80">
        <f t="shared" si="13"/>
        <v>4.6723214285714283</v>
      </c>
      <c r="U26" s="80">
        <f t="shared" ref="U26:U30" si="16">(S26-R26/5000)*1000</f>
        <v>73.400000000000134</v>
      </c>
      <c r="V26" s="80">
        <f t="shared" ref="V26:V30" si="17">R26/(S26*0.001 - R26/5000000)*0.000001</f>
        <v>71.294277929155157</v>
      </c>
      <c r="W26" s="19"/>
      <c r="X26" s="72">
        <v>4.67</v>
      </c>
      <c r="Y26" s="62">
        <v>5233</v>
      </c>
      <c r="Z26" s="78">
        <v>1.1200000000000001</v>
      </c>
      <c r="AA26" s="80">
        <f>Y26/Z26*0.001</f>
        <v>4.6723214285714283</v>
      </c>
      <c r="AB26" s="19"/>
      <c r="AC26" s="19"/>
      <c r="AD26" s="19"/>
      <c r="AE26" s="19"/>
      <c r="AF26" s="19"/>
      <c r="AG26" s="19"/>
    </row>
    <row r="27" spans="1:33" x14ac:dyDescent="0.25">
      <c r="A27" s="25">
        <v>3</v>
      </c>
      <c r="B27" s="27"/>
      <c r="C27" s="74">
        <v>4.78</v>
      </c>
      <c r="D27" s="27">
        <v>5233</v>
      </c>
      <c r="E27" s="80">
        <v>1.1000000000000001</v>
      </c>
      <c r="F27" s="80">
        <f t="shared" si="12"/>
        <v>4.7572727272727269</v>
      </c>
      <c r="G27" s="80">
        <f t="shared" si="14"/>
        <v>53.400000000000112</v>
      </c>
      <c r="H27" s="80">
        <f t="shared" si="15"/>
        <v>97.996254681647741</v>
      </c>
      <c r="I27" s="19"/>
      <c r="J27" s="72"/>
      <c r="K27" s="19"/>
      <c r="L27" s="78"/>
      <c r="M27" s="78"/>
      <c r="N27" s="19"/>
      <c r="O27" s="25">
        <v>3</v>
      </c>
      <c r="P27" s="27"/>
      <c r="Q27" s="74">
        <v>4.96</v>
      </c>
      <c r="R27" s="27">
        <v>5235</v>
      </c>
      <c r="S27" s="80">
        <v>1.06</v>
      </c>
      <c r="T27" s="80">
        <f t="shared" si="13"/>
        <v>4.9386792452830184</v>
      </c>
      <c r="U27" s="80">
        <f t="shared" si="16"/>
        <v>13.000000000000123</v>
      </c>
      <c r="V27" s="80">
        <f t="shared" si="17"/>
        <v>402.69230769230126</v>
      </c>
      <c r="W27" s="19"/>
      <c r="X27" s="72"/>
      <c r="Y27" s="62"/>
      <c r="Z27" s="78"/>
      <c r="AA27" s="78"/>
      <c r="AB27" s="19"/>
      <c r="AC27" s="19"/>
      <c r="AD27" s="19"/>
      <c r="AE27" s="19"/>
      <c r="AF27" s="19"/>
      <c r="AG27" s="19"/>
    </row>
    <row r="28" spans="1:33" x14ac:dyDescent="0.25">
      <c r="A28" s="25">
        <v>4</v>
      </c>
      <c r="B28" s="27"/>
      <c r="C28" s="74">
        <v>4.84</v>
      </c>
      <c r="D28" s="27">
        <v>5233</v>
      </c>
      <c r="E28" s="80">
        <v>1.08</v>
      </c>
      <c r="F28" s="80">
        <f t="shared" si="12"/>
        <v>4.8453703703703708</v>
      </c>
      <c r="G28" s="80">
        <f t="shared" si="14"/>
        <v>33.400000000000098</v>
      </c>
      <c r="H28" s="80">
        <f t="shared" si="15"/>
        <v>156.67664670658655</v>
      </c>
      <c r="I28" s="19"/>
      <c r="J28" s="72"/>
      <c r="K28" s="19"/>
      <c r="L28" s="78"/>
      <c r="M28" s="78"/>
      <c r="N28" s="19"/>
      <c r="O28" s="25">
        <v>4</v>
      </c>
      <c r="P28" s="27"/>
      <c r="Q28" s="74">
        <v>4.6500000000000004</v>
      </c>
      <c r="R28" s="27">
        <v>5232</v>
      </c>
      <c r="S28" s="80">
        <v>1.1299999999999999</v>
      </c>
      <c r="T28" s="80">
        <f t="shared" si="13"/>
        <v>4.6300884955752215</v>
      </c>
      <c r="U28" s="80">
        <f t="shared" si="16"/>
        <v>83.599999999999895</v>
      </c>
      <c r="V28" s="80">
        <f t="shared" si="17"/>
        <v>62.58373205741637</v>
      </c>
      <c r="W28" s="19"/>
      <c r="X28" s="72"/>
      <c r="Y28" s="62"/>
      <c r="Z28" s="78"/>
      <c r="AA28" s="78"/>
      <c r="AB28" s="19"/>
      <c r="AC28" s="19"/>
      <c r="AD28" s="19"/>
      <c r="AE28" s="19"/>
      <c r="AF28" s="19"/>
      <c r="AG28" s="19"/>
    </row>
    <row r="29" spans="1:33" x14ac:dyDescent="0.25">
      <c r="A29" s="25">
        <v>5</v>
      </c>
      <c r="B29" s="27">
        <v>2436</v>
      </c>
      <c r="C29" s="74">
        <v>4.97</v>
      </c>
      <c r="D29" s="27">
        <v>5235</v>
      </c>
      <c r="E29" s="80">
        <v>1.05</v>
      </c>
      <c r="F29" s="80">
        <f t="shared" si="12"/>
        <v>4.9857142857142858</v>
      </c>
      <c r="G29" s="80">
        <f t="shared" si="14"/>
        <v>3.0000000000001137</v>
      </c>
      <c r="H29" s="80">
        <f t="shared" si="15"/>
        <v>1744.9999999998945</v>
      </c>
      <c r="I29" s="19"/>
      <c r="J29" s="72">
        <v>4.6500000000000004</v>
      </c>
      <c r="K29" s="19">
        <v>5232</v>
      </c>
      <c r="L29" s="78">
        <v>1.1200000000000001</v>
      </c>
      <c r="M29" s="80">
        <f>K29/L29*0.001</f>
        <v>4.6714285714285708</v>
      </c>
      <c r="N29" s="19"/>
      <c r="O29" s="25">
        <v>5</v>
      </c>
      <c r="P29" s="27"/>
      <c r="Q29" s="74">
        <v>4.8</v>
      </c>
      <c r="R29" s="27">
        <v>5233</v>
      </c>
      <c r="S29" s="80">
        <v>1.05</v>
      </c>
      <c r="T29" s="80">
        <f t="shared" si="13"/>
        <v>4.9838095238095237</v>
      </c>
      <c r="U29" s="80">
        <f t="shared" si="16"/>
        <v>3.4000000000000696</v>
      </c>
      <c r="V29" s="80">
        <f t="shared" si="17"/>
        <v>1539.117647058737</v>
      </c>
      <c r="W29" s="19"/>
      <c r="X29" s="72">
        <v>4.8</v>
      </c>
      <c r="Y29" s="62">
        <v>5233</v>
      </c>
      <c r="Z29" s="78">
        <v>1.0900000000000001</v>
      </c>
      <c r="AA29" s="80">
        <f>Y29/Z29*0.001</f>
        <v>4.8009174311926603</v>
      </c>
      <c r="AB29" s="19"/>
      <c r="AC29" s="19"/>
      <c r="AD29" s="19"/>
      <c r="AE29" s="19"/>
      <c r="AF29" s="19"/>
      <c r="AG29" s="19"/>
    </row>
    <row r="30" spans="1:33" x14ac:dyDescent="0.25">
      <c r="A30" s="25">
        <v>6</v>
      </c>
      <c r="B30" s="27"/>
      <c r="C30" s="74">
        <v>4.9400000000000004</v>
      </c>
      <c r="D30" s="27">
        <v>5234</v>
      </c>
      <c r="E30" s="80">
        <v>1.06</v>
      </c>
      <c r="F30" s="80">
        <f t="shared" si="12"/>
        <v>4.9377358490566037</v>
      </c>
      <c r="G30" s="80">
        <f t="shared" si="14"/>
        <v>13.200000000000101</v>
      </c>
      <c r="H30" s="80">
        <f t="shared" si="15"/>
        <v>396.51515151514837</v>
      </c>
      <c r="I30" s="19"/>
      <c r="J30" s="84" t="s">
        <v>117</v>
      </c>
      <c r="K30" s="19"/>
      <c r="L30" s="78"/>
      <c r="M30" s="78"/>
      <c r="N30" s="19"/>
      <c r="O30" s="25">
        <v>6</v>
      </c>
      <c r="P30" s="27"/>
      <c r="Q30" s="74">
        <v>4.87</v>
      </c>
      <c r="R30" s="27">
        <v>5233</v>
      </c>
      <c r="S30" s="80">
        <v>1.07</v>
      </c>
      <c r="T30" s="80">
        <f t="shared" si="13"/>
        <v>4.8906542056074773</v>
      </c>
      <c r="U30" s="80">
        <f t="shared" si="16"/>
        <v>23.400000000000087</v>
      </c>
      <c r="V30" s="80">
        <f t="shared" si="17"/>
        <v>223.63247863247838</v>
      </c>
      <c r="W30" s="19"/>
      <c r="X30" s="84" t="s">
        <v>117</v>
      </c>
      <c r="Y30" s="19"/>
      <c r="Z30" s="78"/>
      <c r="AA30" s="19"/>
      <c r="AB30" s="19"/>
      <c r="AC30" s="19"/>
      <c r="AD30" s="19"/>
      <c r="AE30" s="19"/>
      <c r="AF30" s="19"/>
      <c r="AG30" s="19"/>
    </row>
    <row r="31" spans="1:33" x14ac:dyDescent="0.25">
      <c r="A31" s="25"/>
      <c r="B31" s="27" t="s">
        <v>130</v>
      </c>
      <c r="C31" s="74">
        <f>SUM(C25:C30)</f>
        <v>29.46</v>
      </c>
      <c r="D31" s="27" t="s">
        <v>115</v>
      </c>
      <c r="E31" s="80">
        <f>AVERAGE(E25:E30)</f>
        <v>1.0666666666666667</v>
      </c>
      <c r="F31" s="80">
        <f>SUM(F25:F30)</f>
        <v>29.450486763411295</v>
      </c>
      <c r="G31" s="80"/>
      <c r="H31" s="80"/>
      <c r="I31" s="19"/>
      <c r="J31" s="84" t="s">
        <v>116</v>
      </c>
      <c r="K31" s="19"/>
      <c r="L31" s="78"/>
      <c r="M31" s="78"/>
      <c r="N31" s="19"/>
      <c r="O31" s="25"/>
      <c r="P31" s="27" t="s">
        <v>130</v>
      </c>
      <c r="Q31" s="74">
        <f>SUM(Q25:Q30)</f>
        <v>28.840000000000003</v>
      </c>
      <c r="R31" s="27" t="s">
        <v>115</v>
      </c>
      <c r="S31" s="80">
        <f>AVERAGE(S25:S30)</f>
        <v>1.0833333333333335</v>
      </c>
      <c r="T31" s="80">
        <f>SUM(T25:T30)</f>
        <v>29.007141683893401</v>
      </c>
      <c r="U31" s="80"/>
      <c r="V31" s="80"/>
      <c r="W31" s="19"/>
      <c r="X31" s="84" t="s">
        <v>116</v>
      </c>
      <c r="Y31" s="19"/>
      <c r="Z31" s="78"/>
      <c r="AA31" s="19"/>
      <c r="AB31" s="19"/>
      <c r="AC31" s="19"/>
      <c r="AD31" s="19"/>
      <c r="AE31" s="19"/>
      <c r="AF31" s="19"/>
      <c r="AG31" s="19"/>
    </row>
    <row r="32" spans="1:33" x14ac:dyDescent="0.25">
      <c r="A32" s="25"/>
      <c r="B32" s="27"/>
      <c r="C32" s="74"/>
      <c r="D32" s="27"/>
      <c r="E32" s="80"/>
      <c r="F32" s="80"/>
      <c r="G32" s="80"/>
      <c r="H32" s="80"/>
      <c r="I32" s="19"/>
      <c r="J32" s="72"/>
      <c r="K32" s="19"/>
      <c r="L32" s="78"/>
      <c r="M32" s="78"/>
      <c r="N32" s="19"/>
      <c r="O32" s="25"/>
      <c r="P32" s="27"/>
      <c r="Q32" s="74"/>
      <c r="R32" s="27"/>
      <c r="S32" s="80"/>
      <c r="T32" s="80"/>
      <c r="U32" s="80"/>
      <c r="V32" s="80"/>
      <c r="W32" s="19"/>
      <c r="X32" s="72"/>
      <c r="Y32" s="62"/>
      <c r="Z32" s="78"/>
      <c r="AA32" s="19"/>
      <c r="AB32" s="19"/>
      <c r="AC32" s="19"/>
      <c r="AD32" s="19"/>
      <c r="AE32" s="19"/>
      <c r="AF32" s="19"/>
      <c r="AG32" s="19"/>
    </row>
    <row r="33" spans="1:33" x14ac:dyDescent="0.25">
      <c r="A33" s="25" t="s">
        <v>49</v>
      </c>
      <c r="B33" s="27"/>
      <c r="C33" s="74">
        <v>29.5</v>
      </c>
      <c r="D33" s="27">
        <v>10493</v>
      </c>
      <c r="E33" s="80">
        <v>0.35499999999999998</v>
      </c>
      <c r="F33" s="80">
        <f t="shared" ref="F33:F39" si="18">D33/E33*0.001</f>
        <v>29.557746478873241</v>
      </c>
      <c r="G33" s="80"/>
      <c r="H33" s="80"/>
      <c r="I33" s="19"/>
      <c r="J33" s="72"/>
      <c r="K33" s="19"/>
      <c r="L33" s="78"/>
      <c r="M33" s="78"/>
      <c r="N33" s="19"/>
      <c r="O33" s="25" t="s">
        <v>49</v>
      </c>
      <c r="P33" s="27"/>
      <c r="Q33" s="74">
        <v>27.7</v>
      </c>
      <c r="R33" s="27">
        <v>10489</v>
      </c>
      <c r="S33" s="80">
        <v>0.378</v>
      </c>
      <c r="T33" s="80">
        <f t="shared" ref="T33:T39" si="19">R33/S33*0.001</f>
        <v>27.74867724867725</v>
      </c>
      <c r="U33" s="80"/>
      <c r="V33" s="80"/>
      <c r="W33" s="19"/>
      <c r="X33" s="72"/>
      <c r="Y33" s="62"/>
      <c r="Z33" s="78"/>
      <c r="AA33" s="19"/>
      <c r="AB33" s="19"/>
      <c r="AC33" s="19"/>
      <c r="AD33" s="19"/>
      <c r="AE33" s="19"/>
      <c r="AF33" s="19"/>
      <c r="AG33" s="19"/>
    </row>
    <row r="34" spans="1:33" x14ac:dyDescent="0.25">
      <c r="A34" s="25">
        <v>1</v>
      </c>
      <c r="B34" s="27"/>
      <c r="C34" s="74">
        <v>4.92</v>
      </c>
      <c r="D34" s="27">
        <v>5235</v>
      </c>
      <c r="E34" s="80">
        <v>1.06</v>
      </c>
      <c r="F34" s="80">
        <f t="shared" si="18"/>
        <v>4.9386792452830184</v>
      </c>
      <c r="G34" s="80">
        <f>(E34-D34/5000)*1000</f>
        <v>13.000000000000123</v>
      </c>
      <c r="H34" s="80">
        <f>D34/(E34*0.001 - D34/5000000)*0.000001</f>
        <v>402.69230769230126</v>
      </c>
      <c r="I34" s="19"/>
      <c r="J34" s="72"/>
      <c r="K34" s="19"/>
      <c r="L34" s="78"/>
      <c r="M34" s="78"/>
      <c r="N34" s="19"/>
      <c r="O34" s="25">
        <v>1</v>
      </c>
      <c r="P34" s="27"/>
      <c r="Q34" s="74">
        <v>4.88</v>
      </c>
      <c r="R34" s="27">
        <v>5234</v>
      </c>
      <c r="S34" s="80">
        <v>1.07</v>
      </c>
      <c r="T34" s="80">
        <f t="shared" si="19"/>
        <v>4.8915887850467286</v>
      </c>
      <c r="U34" s="80">
        <f>(S34-R34/5000)*1000</f>
        <v>23.200000000000109</v>
      </c>
      <c r="V34" s="80">
        <f>R34/(S34*0.001 - R34/5000000)*0.000001</f>
        <v>225.60344827586289</v>
      </c>
      <c r="W34" s="19"/>
      <c r="X34" s="72"/>
      <c r="Y34" s="62"/>
      <c r="Z34" s="78"/>
      <c r="AA34" s="19"/>
      <c r="AB34" s="19"/>
      <c r="AC34" s="19"/>
      <c r="AD34" s="19"/>
      <c r="AE34" s="19"/>
      <c r="AF34" s="19"/>
      <c r="AG34" s="19"/>
    </row>
    <row r="35" spans="1:33" x14ac:dyDescent="0.25">
      <c r="A35" s="25">
        <v>2</v>
      </c>
      <c r="B35" s="27"/>
      <c r="C35" s="74">
        <v>4.92</v>
      </c>
      <c r="D35" s="27">
        <v>5235</v>
      </c>
      <c r="E35" s="80">
        <v>1.06</v>
      </c>
      <c r="F35" s="80">
        <f t="shared" si="18"/>
        <v>4.9386792452830184</v>
      </c>
      <c r="G35" s="80">
        <f t="shared" ref="G35:G39" si="20">(E35-D35/5000)*1000</f>
        <v>13.000000000000123</v>
      </c>
      <c r="H35" s="80">
        <f t="shared" ref="H35:H39" si="21">D35/(E35*0.001 - D35/5000000)*0.000001</f>
        <v>402.69230769230126</v>
      </c>
      <c r="I35" s="19"/>
      <c r="J35" s="72"/>
      <c r="K35" s="19"/>
      <c r="L35" s="78"/>
      <c r="M35" s="78"/>
      <c r="N35" s="19"/>
      <c r="O35" s="25">
        <v>2</v>
      </c>
      <c r="P35" s="27"/>
      <c r="Q35" s="74">
        <v>4.92</v>
      </c>
      <c r="R35" s="27">
        <v>5235</v>
      </c>
      <c r="S35" s="80">
        <v>1.06</v>
      </c>
      <c r="T35" s="80">
        <f t="shared" si="19"/>
        <v>4.9386792452830184</v>
      </c>
      <c r="U35" s="80">
        <f t="shared" ref="U35:U39" si="22">(S35-R35/5000)*1000</f>
        <v>13.000000000000123</v>
      </c>
      <c r="V35" s="80">
        <f t="shared" ref="V35:V39" si="23">R35/(S35*0.001 - R35/5000000)*0.000001</f>
        <v>402.69230769230126</v>
      </c>
      <c r="W35" s="19"/>
      <c r="X35" s="72"/>
      <c r="Y35" s="62"/>
      <c r="Z35" s="78"/>
      <c r="AA35" s="19"/>
      <c r="AB35" s="19"/>
      <c r="AC35" s="19"/>
      <c r="AD35" s="19"/>
      <c r="AE35" s="19"/>
      <c r="AF35" s="19"/>
      <c r="AG35" s="19"/>
    </row>
    <row r="36" spans="1:33" x14ac:dyDescent="0.25">
      <c r="A36" s="25">
        <v>3</v>
      </c>
      <c r="B36" s="27"/>
      <c r="C36" s="74">
        <v>4.83</v>
      </c>
      <c r="D36" s="27">
        <v>5234</v>
      </c>
      <c r="E36" s="80">
        <v>1.08</v>
      </c>
      <c r="F36" s="80">
        <f t="shared" si="18"/>
        <v>4.8462962962962957</v>
      </c>
      <c r="G36" s="80">
        <f t="shared" si="20"/>
        <v>33.200000000000117</v>
      </c>
      <c r="H36" s="80">
        <f t="shared" si="21"/>
        <v>157.65060240963885</v>
      </c>
      <c r="I36" s="19"/>
      <c r="J36" s="72"/>
      <c r="K36" s="19"/>
      <c r="L36" s="78"/>
      <c r="M36" s="78"/>
      <c r="N36" s="19"/>
      <c r="O36" s="25">
        <v>3</v>
      </c>
      <c r="P36" s="27"/>
      <c r="Q36" s="74">
        <v>4.75</v>
      </c>
      <c r="R36" s="27">
        <v>5233</v>
      </c>
      <c r="S36" s="80">
        <v>1.1000000000000001</v>
      </c>
      <c r="T36" s="80">
        <f t="shared" si="19"/>
        <v>4.7572727272727269</v>
      </c>
      <c r="U36" s="80">
        <f t="shared" si="22"/>
        <v>53.400000000000112</v>
      </c>
      <c r="V36" s="80">
        <f t="shared" si="23"/>
        <v>97.996254681647741</v>
      </c>
      <c r="W36" s="19"/>
      <c r="X36" s="72"/>
      <c r="Y36" s="62"/>
      <c r="Z36" s="78"/>
      <c r="AA36" s="19"/>
      <c r="AB36" s="19"/>
      <c r="AC36" s="19"/>
      <c r="AD36" s="19"/>
      <c r="AE36" s="19"/>
      <c r="AF36" s="19"/>
      <c r="AG36" s="19"/>
    </row>
    <row r="37" spans="1:33" x14ac:dyDescent="0.25">
      <c r="A37" s="25">
        <v>4</v>
      </c>
      <c r="B37" s="27"/>
      <c r="C37" s="74">
        <v>4.91</v>
      </c>
      <c r="D37" s="27">
        <v>5235</v>
      </c>
      <c r="E37" s="80">
        <v>1.07</v>
      </c>
      <c r="F37" s="80">
        <f t="shared" si="18"/>
        <v>4.8925233644859807</v>
      </c>
      <c r="G37" s="80">
        <f t="shared" si="20"/>
        <v>23.000000000000131</v>
      </c>
      <c r="H37" s="80">
        <f t="shared" si="21"/>
        <v>227.60869565217374</v>
      </c>
      <c r="I37" s="19"/>
      <c r="J37" s="72"/>
      <c r="K37" s="19"/>
      <c r="L37" s="78"/>
      <c r="M37" s="78"/>
      <c r="N37" s="19"/>
      <c r="O37" s="25">
        <v>4</v>
      </c>
      <c r="P37" s="27"/>
      <c r="Q37" s="74">
        <v>4.82</v>
      </c>
      <c r="R37" s="27">
        <v>5234</v>
      </c>
      <c r="S37" s="80">
        <v>1.08</v>
      </c>
      <c r="T37" s="80">
        <f t="shared" si="19"/>
        <v>4.8462962962962957</v>
      </c>
      <c r="U37" s="80">
        <f t="shared" si="22"/>
        <v>33.200000000000117</v>
      </c>
      <c r="V37" s="80">
        <f t="shared" si="23"/>
        <v>157.65060240963885</v>
      </c>
      <c r="W37" s="19"/>
      <c r="X37" s="72"/>
      <c r="Y37" s="62"/>
      <c r="Z37" s="78"/>
      <c r="AA37" s="19"/>
      <c r="AB37" s="19"/>
      <c r="AC37" s="19"/>
      <c r="AD37" s="19"/>
      <c r="AE37" s="19"/>
      <c r="AF37" s="19"/>
      <c r="AG37" s="19"/>
    </row>
    <row r="38" spans="1:33" x14ac:dyDescent="0.25">
      <c r="A38" s="25">
        <v>5</v>
      </c>
      <c r="B38" s="27"/>
      <c r="C38" s="74">
        <v>4.95</v>
      </c>
      <c r="D38" s="27">
        <v>5236</v>
      </c>
      <c r="E38" s="80">
        <v>1.06</v>
      </c>
      <c r="F38" s="80">
        <f t="shared" si="18"/>
        <v>4.9396226415094331</v>
      </c>
      <c r="G38" s="80">
        <f t="shared" si="20"/>
        <v>12.800000000000145</v>
      </c>
      <c r="H38" s="80">
        <f t="shared" si="21"/>
        <v>409.06249999999693</v>
      </c>
      <c r="I38" s="19"/>
      <c r="J38" s="72"/>
      <c r="K38" s="19"/>
      <c r="L38" s="78"/>
      <c r="M38" s="78"/>
      <c r="N38" s="19"/>
      <c r="O38" s="25">
        <v>5</v>
      </c>
      <c r="P38" s="27"/>
      <c r="Q38" s="74">
        <v>4.71</v>
      </c>
      <c r="R38" s="27">
        <v>5233</v>
      </c>
      <c r="S38" s="86">
        <v>1.1100000000000001</v>
      </c>
      <c r="T38" s="80">
        <f t="shared" si="19"/>
        <v>4.7144144144144136</v>
      </c>
      <c r="U38" s="80">
        <f t="shared" si="22"/>
        <v>63.400000000000119</v>
      </c>
      <c r="V38" s="80">
        <f t="shared" si="23"/>
        <v>82.539432176655978</v>
      </c>
      <c r="W38" s="19"/>
      <c r="X38" s="72"/>
      <c r="Y38" s="62"/>
      <c r="Z38" s="78"/>
      <c r="AA38" s="19"/>
      <c r="AB38" s="19"/>
      <c r="AC38" s="19"/>
      <c r="AD38" s="19"/>
      <c r="AE38" s="19"/>
      <c r="AF38" s="19"/>
      <c r="AG38" s="19"/>
    </row>
    <row r="39" spans="1:33" x14ac:dyDescent="0.25">
      <c r="A39" s="25">
        <v>6</v>
      </c>
      <c r="B39" s="27"/>
      <c r="C39" s="74">
        <v>4.9800000000000004</v>
      </c>
      <c r="D39" s="27">
        <v>5236</v>
      </c>
      <c r="E39" s="80">
        <v>1.05</v>
      </c>
      <c r="F39" s="80">
        <f t="shared" si="18"/>
        <v>4.9866666666666664</v>
      </c>
      <c r="G39" s="80">
        <f t="shared" si="20"/>
        <v>2.8000000000001357</v>
      </c>
      <c r="H39" s="80">
        <f t="shared" si="21"/>
        <v>1869.9999999999543</v>
      </c>
      <c r="I39" s="19"/>
      <c r="J39" s="72"/>
      <c r="K39" s="19"/>
      <c r="L39" s="78"/>
      <c r="M39" s="78"/>
      <c r="N39" s="19"/>
      <c r="O39" s="25">
        <v>6</v>
      </c>
      <c r="P39" s="27"/>
      <c r="Q39" s="74">
        <v>4.9800000000000004</v>
      </c>
      <c r="R39" s="27">
        <v>5235</v>
      </c>
      <c r="S39" s="80">
        <v>1.05</v>
      </c>
      <c r="T39" s="80">
        <f t="shared" si="19"/>
        <v>4.9857142857142858</v>
      </c>
      <c r="U39" s="80">
        <f t="shared" si="22"/>
        <v>3.0000000000001137</v>
      </c>
      <c r="V39" s="80">
        <f t="shared" si="23"/>
        <v>1744.9999999998945</v>
      </c>
      <c r="W39" s="19"/>
      <c r="X39" s="72"/>
      <c r="Y39" s="62"/>
      <c r="Z39" s="78"/>
      <c r="AA39" s="19"/>
      <c r="AB39" s="19"/>
      <c r="AC39" s="19"/>
      <c r="AD39" s="19"/>
      <c r="AE39" s="19"/>
      <c r="AF39" s="19"/>
      <c r="AG39" s="19"/>
    </row>
    <row r="40" spans="1:33" x14ac:dyDescent="0.25">
      <c r="A40" s="27"/>
      <c r="B40" s="27" t="s">
        <v>130</v>
      </c>
      <c r="C40" s="74">
        <f>SUM(C34:C39)</f>
        <v>29.509999999999998</v>
      </c>
      <c r="D40" s="27" t="s">
        <v>115</v>
      </c>
      <c r="E40" s="80">
        <f>AVERAGE(E34:E39)</f>
        <v>1.0633333333333332</v>
      </c>
      <c r="F40" s="80">
        <f>SUM(F34:F39)</f>
        <v>29.542467459524417</v>
      </c>
      <c r="G40" s="80"/>
      <c r="H40" s="80"/>
      <c r="I40" s="19"/>
      <c r="J40" s="72"/>
      <c r="K40" s="19"/>
      <c r="L40" s="78"/>
      <c r="M40" s="78"/>
      <c r="N40" s="19"/>
      <c r="O40" s="27"/>
      <c r="P40" s="27" t="s">
        <v>130</v>
      </c>
      <c r="Q40" s="74">
        <f>SUM(Q34:Q39)</f>
        <v>29.060000000000002</v>
      </c>
      <c r="R40" s="27" t="s">
        <v>115</v>
      </c>
      <c r="S40" s="80">
        <f>AVERAGE(S34:S39)</f>
        <v>1.0783333333333334</v>
      </c>
      <c r="T40" s="80">
        <f>SUM(T34:T39)</f>
        <v>29.133965754027471</v>
      </c>
      <c r="U40" s="80"/>
      <c r="V40" s="80"/>
      <c r="W40" s="19"/>
      <c r="X40" s="72"/>
      <c r="Y40" s="62"/>
      <c r="Z40" s="78"/>
      <c r="AA40" s="19"/>
      <c r="AB40" s="19"/>
      <c r="AC40" s="19"/>
      <c r="AD40" s="19"/>
      <c r="AE40" s="19"/>
      <c r="AF40" s="19"/>
      <c r="AG40" s="19"/>
    </row>
    <row r="41" spans="1:33" x14ac:dyDescent="0.25">
      <c r="A41" s="32"/>
      <c r="B41" s="32"/>
      <c r="C41" s="75"/>
      <c r="D41" s="32"/>
      <c r="E41" s="82"/>
      <c r="F41" s="82"/>
      <c r="G41" s="82"/>
      <c r="H41" s="82"/>
      <c r="I41" s="19"/>
      <c r="J41" s="72"/>
      <c r="K41" s="19"/>
      <c r="L41" s="78"/>
      <c r="M41" s="78"/>
      <c r="N41" s="19"/>
      <c r="O41" s="32"/>
      <c r="P41" s="32"/>
      <c r="Q41" s="75"/>
      <c r="R41" s="32"/>
      <c r="S41" s="82"/>
      <c r="T41" s="82"/>
      <c r="U41" s="82"/>
      <c r="V41" s="82"/>
      <c r="W41" s="19"/>
      <c r="X41" s="72"/>
      <c r="Y41" s="62"/>
      <c r="Z41" s="78"/>
      <c r="AA41" s="19"/>
      <c r="AB41" s="19"/>
      <c r="AC41" s="19"/>
      <c r="AD41" s="19"/>
      <c r="AE41" s="19"/>
      <c r="AF41" s="19"/>
      <c r="AG41" s="19"/>
    </row>
    <row r="42" spans="1:33" x14ac:dyDescent="0.25">
      <c r="A42" s="19"/>
      <c r="B42" s="19"/>
      <c r="D42" s="68"/>
      <c r="E42" s="78"/>
      <c r="F42" s="78"/>
      <c r="G42" s="78"/>
      <c r="H42" s="78"/>
      <c r="I42" s="19"/>
      <c r="J42" s="72"/>
      <c r="K42" s="19"/>
      <c r="L42" s="78"/>
      <c r="M42" s="78"/>
      <c r="N42" s="19"/>
      <c r="O42" s="19"/>
      <c r="P42" s="19"/>
      <c r="Q42" s="72"/>
      <c r="R42" s="19"/>
      <c r="S42" s="78"/>
      <c r="T42" s="78"/>
      <c r="U42" s="78"/>
      <c r="V42" s="78"/>
      <c r="W42" s="19"/>
      <c r="X42" s="72"/>
      <c r="Y42" s="62"/>
      <c r="Z42" s="78"/>
      <c r="AA42" s="19"/>
      <c r="AB42" s="19"/>
      <c r="AC42" s="19"/>
      <c r="AD42" s="19"/>
      <c r="AE42" s="19"/>
      <c r="AF42" s="19"/>
      <c r="AG42" s="19"/>
    </row>
    <row r="43" spans="1:33" x14ac:dyDescent="0.25">
      <c r="A43" s="19"/>
      <c r="B43" s="19"/>
      <c r="C43" s="72"/>
      <c r="D43" s="19"/>
      <c r="E43" s="78"/>
      <c r="F43" s="78"/>
      <c r="G43" s="78"/>
      <c r="H43" s="78"/>
      <c r="I43" s="19"/>
      <c r="J43" s="72"/>
      <c r="K43" s="19"/>
      <c r="L43" s="78"/>
      <c r="M43" s="78"/>
      <c r="N43" s="19"/>
      <c r="O43" s="19"/>
      <c r="P43" s="19"/>
      <c r="Q43" s="72"/>
      <c r="R43" s="19"/>
      <c r="S43" s="78"/>
      <c r="T43" s="78"/>
      <c r="U43" s="78"/>
      <c r="V43" s="78"/>
      <c r="W43" s="19"/>
      <c r="X43" s="72"/>
      <c r="Y43" s="62"/>
      <c r="Z43" s="78"/>
      <c r="AA43" s="19"/>
      <c r="AB43" s="19"/>
      <c r="AC43" s="19"/>
      <c r="AD43" s="19"/>
      <c r="AE43" s="19"/>
      <c r="AF43" s="19"/>
      <c r="AG43" s="19"/>
    </row>
    <row r="44" spans="1:33" x14ac:dyDescent="0.25">
      <c r="A44" s="19"/>
      <c r="B44" s="19"/>
      <c r="C44" s="72"/>
      <c r="D44" s="19"/>
      <c r="E44" s="78"/>
      <c r="F44" s="78"/>
      <c r="G44" s="78"/>
      <c r="H44" s="78"/>
      <c r="I44" s="19"/>
      <c r="J44" s="72"/>
      <c r="K44" s="19"/>
      <c r="L44" s="78"/>
      <c r="M44" s="78"/>
      <c r="N44" s="19"/>
      <c r="O44" s="19"/>
      <c r="P44" s="19"/>
      <c r="Q44" s="72"/>
      <c r="R44" s="19"/>
      <c r="S44" s="78"/>
      <c r="T44" s="78"/>
      <c r="U44" s="78"/>
      <c r="V44" s="78"/>
      <c r="W44" s="19"/>
      <c r="X44" s="72"/>
      <c r="Y44" s="62"/>
      <c r="Z44" s="78"/>
      <c r="AA44" s="19"/>
      <c r="AB44" s="19"/>
      <c r="AC44" s="19"/>
      <c r="AD44" s="19"/>
      <c r="AE44" s="19"/>
      <c r="AF44" s="19"/>
      <c r="AG44" s="19"/>
    </row>
    <row r="45" spans="1:33" x14ac:dyDescent="0.25">
      <c r="A45" s="19"/>
      <c r="B45" s="19"/>
      <c r="C45" s="72"/>
      <c r="D45" s="19"/>
      <c r="E45" s="78"/>
      <c r="F45" s="78"/>
      <c r="G45" s="78"/>
      <c r="H45" s="78"/>
      <c r="I45" s="19"/>
      <c r="J45" s="72"/>
      <c r="K45" s="19"/>
      <c r="L45" s="78"/>
      <c r="M45" s="78"/>
      <c r="N45" s="19"/>
      <c r="O45" s="19"/>
      <c r="P45" s="19"/>
      <c r="Q45" s="72"/>
      <c r="R45" s="19"/>
      <c r="S45" s="78"/>
      <c r="T45" s="78"/>
      <c r="U45" s="78"/>
      <c r="V45" s="78"/>
      <c r="W45" s="19"/>
      <c r="X45" s="72"/>
      <c r="Y45" s="62"/>
      <c r="Z45" s="78"/>
      <c r="AA45" s="19"/>
      <c r="AB45" s="19"/>
      <c r="AC45" s="19"/>
      <c r="AD45" s="19"/>
      <c r="AE45" s="19"/>
      <c r="AF45" s="19"/>
      <c r="AG45" s="19"/>
    </row>
    <row r="46" spans="1:33" x14ac:dyDescent="0.25">
      <c r="A46" s="19"/>
      <c r="B46" s="19"/>
      <c r="C46" s="72"/>
      <c r="D46" s="19"/>
      <c r="E46" s="78"/>
      <c r="F46" s="78"/>
      <c r="G46" s="78"/>
      <c r="H46" s="78"/>
      <c r="I46" s="19"/>
      <c r="J46" s="72"/>
      <c r="K46" s="19"/>
      <c r="L46" s="78"/>
      <c r="M46" s="78"/>
      <c r="N46" s="19"/>
      <c r="O46" s="19"/>
      <c r="P46" s="19"/>
      <c r="Q46" s="72"/>
      <c r="R46" s="19"/>
      <c r="S46" s="78"/>
      <c r="T46" s="78"/>
      <c r="U46" s="78"/>
      <c r="V46" s="78"/>
      <c r="W46" s="19"/>
      <c r="X46" s="72"/>
      <c r="Y46" s="62"/>
      <c r="Z46" s="78"/>
      <c r="AA46" s="19"/>
      <c r="AB46" s="19"/>
      <c r="AC46" s="19"/>
      <c r="AD46" s="19"/>
      <c r="AE46" s="19"/>
      <c r="AF46" s="19"/>
      <c r="AG46" s="19"/>
    </row>
    <row r="47" spans="1:33" x14ac:dyDescent="0.25">
      <c r="A47" s="19"/>
      <c r="B47" s="19"/>
      <c r="C47" s="72"/>
      <c r="D47" s="19"/>
      <c r="E47" s="78"/>
      <c r="F47" s="78"/>
      <c r="G47" s="78"/>
      <c r="H47" s="78"/>
      <c r="I47" s="19"/>
      <c r="J47" s="72"/>
      <c r="K47" s="19"/>
      <c r="L47" s="78"/>
      <c r="M47" s="78"/>
      <c r="N47" s="19"/>
      <c r="O47" s="19"/>
      <c r="P47" s="19"/>
      <c r="Q47" s="72"/>
      <c r="R47" s="19"/>
      <c r="S47" s="78"/>
      <c r="T47" s="78"/>
      <c r="U47" s="78"/>
      <c r="V47" s="78"/>
      <c r="W47" s="19"/>
      <c r="X47" s="72"/>
      <c r="Y47" s="62"/>
      <c r="Z47" s="78"/>
      <c r="AA47" s="19"/>
      <c r="AB47" s="19"/>
      <c r="AC47" s="19"/>
      <c r="AD47" s="19"/>
      <c r="AE47" s="19"/>
      <c r="AF47" s="19"/>
      <c r="AG47" s="19"/>
    </row>
    <row r="48" spans="1:33" x14ac:dyDescent="0.25">
      <c r="A48" s="19"/>
      <c r="B48" s="19"/>
      <c r="C48" s="72"/>
      <c r="D48" s="19"/>
      <c r="E48" s="78"/>
      <c r="F48" s="78"/>
      <c r="G48" s="78"/>
      <c r="H48" s="78"/>
      <c r="I48" s="19"/>
      <c r="J48" s="72"/>
      <c r="K48" s="19"/>
      <c r="L48" s="78"/>
      <c r="M48" s="78"/>
      <c r="N48" s="19"/>
      <c r="O48" s="19"/>
      <c r="P48" s="19"/>
      <c r="Q48" s="72"/>
      <c r="R48" s="19"/>
      <c r="S48" s="78"/>
      <c r="T48" s="78"/>
      <c r="U48" s="78"/>
      <c r="V48" s="78"/>
      <c r="W48" s="19"/>
      <c r="X48" s="72"/>
      <c r="Y48" s="62"/>
      <c r="Z48" s="78"/>
      <c r="AA48" s="19"/>
      <c r="AB48" s="19"/>
      <c r="AC48" s="19"/>
      <c r="AD48" s="19"/>
      <c r="AE48" s="19"/>
      <c r="AF48" s="19"/>
      <c r="AG48" s="19"/>
    </row>
    <row r="49" spans="1:33" x14ac:dyDescent="0.25">
      <c r="A49" s="19"/>
      <c r="B49" s="19"/>
      <c r="C49" s="72"/>
      <c r="D49" s="19"/>
      <c r="E49" s="78"/>
      <c r="F49" s="78"/>
      <c r="G49" s="78"/>
      <c r="H49" s="78"/>
      <c r="I49" s="19"/>
      <c r="J49" s="72"/>
      <c r="K49" s="19"/>
      <c r="L49" s="78"/>
      <c r="M49" s="78"/>
      <c r="N49" s="19"/>
      <c r="O49" s="19"/>
      <c r="P49" s="19"/>
      <c r="Q49" s="72"/>
      <c r="R49" s="19"/>
      <c r="S49" s="78"/>
      <c r="T49" s="78"/>
      <c r="U49" s="78"/>
      <c r="V49" s="78"/>
      <c r="W49" s="19"/>
      <c r="X49" s="72"/>
      <c r="Y49" s="62"/>
      <c r="Z49" s="78"/>
      <c r="AA49" s="19"/>
      <c r="AB49" s="19"/>
      <c r="AC49" s="19"/>
      <c r="AD49" s="19"/>
      <c r="AE49" s="19"/>
      <c r="AF49" s="19"/>
      <c r="AG49" s="19"/>
    </row>
    <row r="50" spans="1:33" x14ac:dyDescent="0.25">
      <c r="A50" s="19"/>
      <c r="B50" s="19"/>
      <c r="C50" s="72"/>
      <c r="D50" s="19"/>
      <c r="E50" s="78"/>
      <c r="F50" s="78"/>
      <c r="G50" s="78"/>
      <c r="H50" s="78"/>
      <c r="I50" s="19"/>
      <c r="J50" s="72"/>
      <c r="K50" s="19"/>
      <c r="L50" s="78"/>
      <c r="M50" s="78"/>
      <c r="N50" s="19"/>
      <c r="O50" s="19"/>
      <c r="P50" s="19"/>
      <c r="Q50" s="72"/>
      <c r="R50" s="19"/>
      <c r="S50" s="78"/>
      <c r="T50" s="78"/>
      <c r="U50" s="78"/>
      <c r="V50" s="78"/>
      <c r="W50" s="19"/>
      <c r="X50" s="72"/>
      <c r="Y50" s="62"/>
      <c r="Z50" s="78"/>
      <c r="AA50" s="19"/>
      <c r="AB50" s="19"/>
      <c r="AC50" s="19"/>
      <c r="AD50" s="19"/>
      <c r="AE50" s="19"/>
      <c r="AF50" s="19"/>
      <c r="AG50" s="19"/>
    </row>
    <row r="51" spans="1:33" x14ac:dyDescent="0.25">
      <c r="A51" s="19"/>
      <c r="B51" s="19"/>
      <c r="C51" s="72"/>
      <c r="D51" s="19"/>
      <c r="E51" s="78"/>
      <c r="F51" s="78"/>
      <c r="G51" s="78"/>
      <c r="H51" s="78"/>
      <c r="I51" s="19"/>
      <c r="J51" s="72"/>
      <c r="K51" s="19"/>
      <c r="L51" s="78"/>
      <c r="M51" s="78"/>
      <c r="N51" s="19"/>
      <c r="O51" s="19"/>
      <c r="P51" s="19"/>
      <c r="Q51" s="72"/>
      <c r="R51" s="19"/>
      <c r="S51" s="78"/>
      <c r="T51" s="78"/>
      <c r="U51" s="78"/>
      <c r="V51" s="78"/>
      <c r="W51" s="19"/>
      <c r="X51" s="72"/>
      <c r="Y51" s="62"/>
      <c r="Z51" s="78"/>
      <c r="AA51" s="19"/>
      <c r="AB51" s="19"/>
      <c r="AC51" s="19"/>
      <c r="AD51" s="19"/>
      <c r="AE51" s="19"/>
      <c r="AF51" s="19"/>
      <c r="AG51" s="19"/>
    </row>
    <row r="52" spans="1:33" x14ac:dyDescent="0.25">
      <c r="A52" s="19"/>
      <c r="B52" s="19"/>
      <c r="C52" s="72"/>
      <c r="D52" s="19"/>
      <c r="E52" s="78"/>
      <c r="F52" s="78"/>
      <c r="G52" s="78"/>
      <c r="H52" s="78"/>
      <c r="I52" s="19"/>
      <c r="J52" s="72"/>
      <c r="K52" s="19"/>
      <c r="L52" s="78"/>
      <c r="M52" s="78"/>
      <c r="N52" s="19"/>
      <c r="O52" s="19"/>
      <c r="P52" s="19"/>
      <c r="Q52" s="72"/>
      <c r="R52" s="19"/>
      <c r="S52" s="78"/>
      <c r="T52" s="78"/>
      <c r="U52" s="78"/>
      <c r="V52" s="78"/>
      <c r="W52" s="19"/>
      <c r="X52" s="72"/>
      <c r="Y52" s="62"/>
      <c r="Z52" s="78"/>
      <c r="AA52" s="19"/>
      <c r="AB52" s="19"/>
      <c r="AC52" s="19"/>
      <c r="AD52" s="19"/>
      <c r="AE52" s="19"/>
      <c r="AF52" s="19"/>
      <c r="AG52" s="19"/>
    </row>
    <row r="53" spans="1:33" x14ac:dyDescent="0.25">
      <c r="A53" s="19"/>
      <c r="B53" s="19"/>
      <c r="C53" s="72"/>
      <c r="D53" s="19"/>
      <c r="E53" s="78"/>
      <c r="F53" s="78"/>
      <c r="G53" s="78"/>
      <c r="H53" s="78"/>
      <c r="I53" s="19"/>
      <c r="J53" s="72"/>
      <c r="K53" s="19"/>
      <c r="L53" s="78"/>
      <c r="M53" s="78"/>
      <c r="N53" s="19"/>
      <c r="O53" s="19"/>
      <c r="P53" s="19"/>
      <c r="Q53" s="72"/>
      <c r="R53" s="19"/>
      <c r="S53" s="78"/>
      <c r="T53" s="78"/>
      <c r="U53" s="78"/>
      <c r="V53" s="78"/>
      <c r="W53" s="19"/>
      <c r="X53" s="72"/>
      <c r="Y53" s="62"/>
      <c r="Z53" s="78"/>
      <c r="AA53" s="19"/>
      <c r="AB53" s="19"/>
      <c r="AC53" s="19"/>
      <c r="AD53" s="19"/>
      <c r="AE53" s="19"/>
      <c r="AF53" s="19"/>
      <c r="AG53" s="19"/>
    </row>
    <row r="54" spans="1:33" x14ac:dyDescent="0.25">
      <c r="A54" s="19"/>
      <c r="B54" s="19"/>
      <c r="C54" s="72"/>
      <c r="D54" s="19"/>
      <c r="E54" s="78"/>
      <c r="F54" s="78"/>
      <c r="G54" s="78"/>
      <c r="H54" s="78"/>
      <c r="I54" s="19"/>
      <c r="J54" s="72"/>
      <c r="K54" s="19"/>
      <c r="L54" s="78"/>
      <c r="M54" s="78"/>
      <c r="N54" s="19"/>
      <c r="O54" s="19"/>
      <c r="P54" s="19"/>
      <c r="Q54" s="72"/>
      <c r="R54" s="19"/>
      <c r="S54" s="78"/>
      <c r="T54" s="78"/>
      <c r="U54" s="78"/>
      <c r="V54" s="78"/>
      <c r="W54" s="19"/>
      <c r="X54" s="72"/>
      <c r="Y54" s="62"/>
      <c r="Z54" s="78"/>
      <c r="AA54" s="19"/>
      <c r="AB54" s="19"/>
      <c r="AC54" s="19"/>
      <c r="AD54" s="19"/>
      <c r="AE54" s="19"/>
      <c r="AF54" s="19"/>
      <c r="AG54" s="19"/>
    </row>
    <row r="55" spans="1:33" x14ac:dyDescent="0.25">
      <c r="A55" s="19"/>
      <c r="B55" s="19"/>
      <c r="C55" s="72"/>
      <c r="D55" s="19"/>
      <c r="E55" s="78"/>
      <c r="F55" s="78"/>
      <c r="G55" s="78"/>
      <c r="H55" s="78"/>
      <c r="I55" s="19"/>
      <c r="J55" s="72"/>
      <c r="K55" s="19"/>
      <c r="L55" s="78"/>
      <c r="M55" s="78"/>
      <c r="N55" s="19"/>
      <c r="O55" s="19"/>
      <c r="P55" s="19"/>
      <c r="Q55" s="72"/>
      <c r="R55" s="19"/>
      <c r="S55" s="78"/>
      <c r="T55" s="78"/>
      <c r="U55" s="78"/>
      <c r="V55" s="78"/>
      <c r="W55" s="19"/>
      <c r="X55" s="72"/>
      <c r="Y55" s="62"/>
      <c r="Z55" s="78"/>
      <c r="AA55" s="19"/>
      <c r="AB55" s="19"/>
      <c r="AC55" s="19"/>
      <c r="AD55" s="19"/>
      <c r="AE55" s="19"/>
      <c r="AF55" s="19"/>
      <c r="AG55" s="19"/>
    </row>
    <row r="56" spans="1:33" x14ac:dyDescent="0.25">
      <c r="A56" s="19"/>
      <c r="B56" s="19"/>
      <c r="C56" s="72"/>
      <c r="D56" s="19"/>
      <c r="E56" s="78"/>
      <c r="F56" s="78"/>
      <c r="G56" s="78"/>
      <c r="H56" s="78"/>
      <c r="I56" s="19"/>
      <c r="J56" s="72"/>
      <c r="K56" s="19"/>
      <c r="L56" s="78"/>
      <c r="M56" s="78"/>
      <c r="N56" s="19"/>
      <c r="O56" s="19"/>
      <c r="P56" s="19"/>
      <c r="Q56" s="72"/>
      <c r="R56" s="19"/>
      <c r="S56" s="78"/>
      <c r="T56" s="78"/>
      <c r="U56" s="78"/>
      <c r="V56" s="78"/>
      <c r="W56" s="19"/>
      <c r="X56" s="72"/>
      <c r="Y56" s="62"/>
      <c r="Z56" s="78"/>
      <c r="AA56" s="19"/>
      <c r="AB56" s="19"/>
      <c r="AC56" s="19"/>
      <c r="AD56" s="19"/>
      <c r="AE56" s="19"/>
      <c r="AF56" s="19"/>
      <c r="AG56" s="19"/>
    </row>
    <row r="57" spans="1:33" x14ac:dyDescent="0.25">
      <c r="A57" s="19"/>
      <c r="B57" s="19"/>
      <c r="C57" s="72"/>
      <c r="D57" s="19"/>
      <c r="E57" s="78"/>
      <c r="F57" s="78"/>
      <c r="G57" s="78"/>
      <c r="H57" s="78"/>
      <c r="I57" s="19"/>
      <c r="J57" s="72"/>
      <c r="K57" s="19"/>
      <c r="L57" s="78"/>
      <c r="M57" s="78"/>
      <c r="N57" s="19"/>
      <c r="O57" s="19"/>
      <c r="P57" s="19"/>
      <c r="Q57" s="72"/>
      <c r="R57" s="19"/>
      <c r="S57" s="78"/>
      <c r="T57" s="78"/>
      <c r="U57" s="78"/>
      <c r="V57" s="78"/>
      <c r="W57" s="19"/>
      <c r="X57" s="72"/>
      <c r="Y57" s="62"/>
      <c r="Z57" s="78"/>
      <c r="AA57" s="19"/>
      <c r="AB57" s="19"/>
      <c r="AC57" s="19"/>
      <c r="AD57" s="19"/>
      <c r="AE57" s="19"/>
      <c r="AF57" s="19"/>
      <c r="AG57" s="19"/>
    </row>
    <row r="58" spans="1:33" x14ac:dyDescent="0.25">
      <c r="A58" s="19"/>
      <c r="B58" s="19"/>
      <c r="C58" s="72"/>
      <c r="D58" s="19"/>
      <c r="E58" s="78"/>
      <c r="F58" s="78"/>
      <c r="G58" s="78"/>
      <c r="H58" s="78"/>
      <c r="I58" s="19"/>
      <c r="J58" s="72"/>
      <c r="K58" s="19"/>
      <c r="L58" s="78"/>
      <c r="M58" s="78"/>
      <c r="N58" s="19"/>
      <c r="O58" s="19"/>
      <c r="P58" s="19"/>
      <c r="Q58" s="72"/>
      <c r="R58" s="19"/>
      <c r="S58" s="78"/>
      <c r="T58" s="78"/>
      <c r="U58" s="78"/>
      <c r="V58" s="78"/>
      <c r="W58" s="19"/>
      <c r="X58" s="72"/>
      <c r="Y58" s="62"/>
      <c r="Z58" s="78"/>
      <c r="AA58" s="19"/>
      <c r="AB58" s="19"/>
      <c r="AC58" s="19"/>
      <c r="AD58" s="19"/>
      <c r="AE58" s="19"/>
      <c r="AF58" s="19"/>
      <c r="AG58" s="19"/>
    </row>
    <row r="59" spans="1:33" x14ac:dyDescent="0.25">
      <c r="A59" s="19"/>
      <c r="B59" s="19"/>
      <c r="C59" s="72"/>
      <c r="D59" s="19"/>
      <c r="E59" s="78"/>
      <c r="F59" s="78"/>
      <c r="G59" s="78"/>
      <c r="H59" s="78"/>
      <c r="I59" s="19"/>
      <c r="J59" s="72"/>
      <c r="K59" s="19"/>
      <c r="L59" s="78"/>
      <c r="M59" s="78"/>
      <c r="N59" s="19"/>
      <c r="O59" s="19"/>
      <c r="P59" s="19"/>
      <c r="Q59" s="72"/>
      <c r="R59" s="19"/>
      <c r="S59" s="78"/>
      <c r="T59" s="78"/>
      <c r="U59" s="78"/>
      <c r="V59" s="78"/>
      <c r="W59" s="19"/>
      <c r="X59" s="72"/>
      <c r="Y59" s="62"/>
      <c r="Z59" s="78"/>
      <c r="AA59" s="19"/>
      <c r="AB59" s="19"/>
      <c r="AC59" s="19"/>
      <c r="AD59" s="19"/>
      <c r="AE59" s="19"/>
      <c r="AF59" s="19"/>
      <c r="AG59" s="19"/>
    </row>
    <row r="60" spans="1:33" x14ac:dyDescent="0.25">
      <c r="A60" s="19"/>
      <c r="B60" s="19"/>
      <c r="C60" s="72"/>
      <c r="D60" s="19"/>
      <c r="E60" s="78"/>
      <c r="F60" s="78"/>
      <c r="G60" s="78"/>
      <c r="H60" s="78"/>
      <c r="I60" s="19"/>
      <c r="J60" s="72"/>
      <c r="K60" s="19"/>
      <c r="L60" s="78"/>
      <c r="M60" s="78"/>
      <c r="N60" s="19"/>
      <c r="O60" s="19"/>
      <c r="P60" s="19"/>
      <c r="Q60" s="72"/>
      <c r="R60" s="19"/>
      <c r="S60" s="78"/>
      <c r="T60" s="78"/>
      <c r="U60" s="78"/>
      <c r="V60" s="78"/>
      <c r="W60" s="19"/>
      <c r="X60" s="72"/>
      <c r="Y60" s="62"/>
      <c r="Z60" s="78"/>
      <c r="AA60" s="19"/>
      <c r="AB60" s="19"/>
      <c r="AC60" s="19"/>
      <c r="AD60" s="19"/>
      <c r="AE60" s="19"/>
      <c r="AF60" s="19"/>
      <c r="AG60" s="19"/>
    </row>
    <row r="61" spans="1:33" x14ac:dyDescent="0.25">
      <c r="A61" s="19"/>
      <c r="B61" s="19"/>
      <c r="C61" s="72"/>
      <c r="D61" s="19"/>
      <c r="E61" s="78"/>
      <c r="F61" s="78"/>
      <c r="G61" s="78"/>
      <c r="H61" s="78"/>
      <c r="I61" s="19"/>
      <c r="J61" s="72"/>
      <c r="K61" s="19"/>
      <c r="L61" s="78"/>
      <c r="M61" s="78"/>
      <c r="N61" s="19"/>
      <c r="O61" s="19"/>
      <c r="P61" s="19"/>
      <c r="Q61" s="72"/>
      <c r="R61" s="19"/>
      <c r="S61" s="78"/>
      <c r="T61" s="78"/>
      <c r="U61" s="78"/>
      <c r="V61" s="78"/>
      <c r="W61" s="19"/>
      <c r="X61" s="72"/>
      <c r="Y61" s="62"/>
      <c r="Z61" s="78"/>
      <c r="AA61" s="19"/>
      <c r="AB61" s="19"/>
      <c r="AC61" s="19"/>
      <c r="AD61" s="19"/>
      <c r="AE61" s="19"/>
      <c r="AF61" s="19"/>
      <c r="AG61" s="19"/>
    </row>
    <row r="62" spans="1:33" x14ac:dyDescent="0.25">
      <c r="A62" s="19"/>
      <c r="B62" s="19"/>
      <c r="C62" s="72"/>
      <c r="D62" s="19"/>
      <c r="E62" s="78"/>
      <c r="F62" s="78"/>
      <c r="G62" s="78"/>
      <c r="H62" s="78"/>
      <c r="I62" s="19"/>
      <c r="J62" s="72"/>
      <c r="K62" s="19"/>
      <c r="L62" s="78"/>
      <c r="M62" s="78"/>
      <c r="N62" s="19"/>
      <c r="O62" s="19"/>
      <c r="P62" s="19"/>
      <c r="Q62" s="72"/>
      <c r="R62" s="19"/>
      <c r="S62" s="78"/>
      <c r="T62" s="78"/>
      <c r="U62" s="78"/>
      <c r="V62" s="78"/>
      <c r="W62" s="19"/>
      <c r="X62" s="72"/>
      <c r="Y62" s="62"/>
      <c r="Z62" s="78"/>
      <c r="AA62" s="19"/>
      <c r="AB62" s="19"/>
      <c r="AC62" s="19"/>
      <c r="AD62" s="19"/>
      <c r="AE62" s="19"/>
      <c r="AF62" s="19"/>
      <c r="AG62" s="19"/>
    </row>
    <row r="63" spans="1:33" x14ac:dyDescent="0.25">
      <c r="A63" s="19"/>
      <c r="B63" s="19"/>
      <c r="C63" s="72"/>
      <c r="D63" s="19"/>
      <c r="E63" s="78"/>
      <c r="F63" s="78"/>
      <c r="G63" s="78"/>
      <c r="H63" s="78"/>
      <c r="I63" s="19"/>
      <c r="J63" s="72"/>
      <c r="K63" s="19"/>
      <c r="L63" s="78"/>
      <c r="M63" s="78"/>
      <c r="N63" s="19"/>
      <c r="O63" s="19"/>
      <c r="P63" s="19"/>
      <c r="Q63" s="72"/>
      <c r="R63" s="19"/>
      <c r="S63" s="78"/>
      <c r="T63" s="78"/>
      <c r="U63" s="78"/>
      <c r="V63" s="78"/>
      <c r="W63" s="19"/>
      <c r="X63" s="72"/>
      <c r="Y63" s="62"/>
      <c r="Z63" s="78"/>
      <c r="AA63" s="19"/>
      <c r="AB63" s="19"/>
      <c r="AC63" s="19"/>
      <c r="AD63" s="19"/>
      <c r="AE63" s="19"/>
      <c r="AF63" s="19"/>
      <c r="AG63" s="19"/>
    </row>
    <row r="64" spans="1:33" x14ac:dyDescent="0.25">
      <c r="A64" s="19"/>
      <c r="B64" s="19"/>
      <c r="C64" s="72"/>
      <c r="D64" s="19"/>
      <c r="E64" s="78"/>
      <c r="F64" s="78"/>
      <c r="G64" s="78"/>
      <c r="H64" s="78"/>
      <c r="I64" s="19"/>
      <c r="J64" s="72"/>
      <c r="K64" s="19"/>
      <c r="L64" s="78"/>
      <c r="M64" s="78"/>
      <c r="N64" s="19"/>
      <c r="O64" s="19"/>
      <c r="P64" s="19"/>
      <c r="Q64" s="72"/>
      <c r="R64" s="19"/>
      <c r="S64" s="78"/>
      <c r="T64" s="78"/>
      <c r="U64" s="78"/>
      <c r="V64" s="78"/>
      <c r="W64" s="19"/>
      <c r="X64" s="72"/>
      <c r="Y64" s="62"/>
      <c r="Z64" s="78"/>
      <c r="AA64" s="19"/>
      <c r="AB64" s="19"/>
      <c r="AC64" s="19"/>
      <c r="AD64" s="19"/>
      <c r="AE64" s="19"/>
      <c r="AF64" s="19"/>
      <c r="AG64" s="19"/>
    </row>
    <row r="65" spans="1:33" x14ac:dyDescent="0.25">
      <c r="A65" s="19"/>
      <c r="B65" s="19"/>
      <c r="C65" s="72"/>
      <c r="D65" s="19"/>
      <c r="E65" s="78"/>
      <c r="F65" s="78"/>
      <c r="G65" s="78"/>
      <c r="H65" s="78"/>
      <c r="I65" s="19"/>
      <c r="J65" s="72"/>
      <c r="K65" s="19"/>
      <c r="L65" s="78"/>
      <c r="M65" s="78"/>
      <c r="N65" s="19"/>
      <c r="O65" s="19"/>
      <c r="P65" s="19"/>
      <c r="Q65" s="72"/>
      <c r="R65" s="19"/>
      <c r="S65" s="78"/>
      <c r="T65" s="78"/>
      <c r="U65" s="78"/>
      <c r="V65" s="78"/>
      <c r="W65" s="19"/>
      <c r="X65" s="72"/>
      <c r="Y65" s="62"/>
      <c r="Z65" s="78"/>
      <c r="AA65" s="19"/>
      <c r="AB65" s="19"/>
      <c r="AC65" s="19"/>
      <c r="AD65" s="19"/>
      <c r="AE65" s="19"/>
      <c r="AF65" s="19"/>
      <c r="AG65" s="19"/>
    </row>
    <row r="66" spans="1:33" x14ac:dyDescent="0.25">
      <c r="A66" s="19"/>
      <c r="B66" s="19"/>
      <c r="C66" s="72"/>
      <c r="D66" s="19"/>
      <c r="E66" s="78"/>
      <c r="F66" s="78"/>
      <c r="G66" s="78"/>
      <c r="H66" s="78"/>
      <c r="I66" s="19"/>
      <c r="J66" s="72"/>
      <c r="K66" s="19"/>
      <c r="L66" s="78"/>
      <c r="M66" s="78"/>
      <c r="N66" s="19"/>
      <c r="O66" s="19"/>
      <c r="P66" s="19"/>
      <c r="Q66" s="72"/>
      <c r="R66" s="19"/>
      <c r="S66" s="78"/>
      <c r="T66" s="78"/>
      <c r="U66" s="78"/>
      <c r="V66" s="78"/>
      <c r="W66" s="19"/>
      <c r="X66" s="72"/>
      <c r="Y66" s="62"/>
      <c r="Z66" s="78"/>
      <c r="AA66" s="19"/>
      <c r="AB66" s="19"/>
      <c r="AC66" s="19"/>
      <c r="AD66" s="19"/>
      <c r="AE66" s="19"/>
      <c r="AF66" s="19"/>
      <c r="AG66" s="19"/>
    </row>
  </sheetData>
  <pageMargins left="0.7" right="0.7" top="0.75" bottom="0.75" header="0.3" footer="0.3"/>
  <pageSetup orientation="portrait"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6"/>
  <sheetViews>
    <sheetView workbookViewId="0">
      <selection activeCell="A2" sqref="A2"/>
    </sheetView>
  </sheetViews>
  <sheetFormatPr defaultRowHeight="15" x14ac:dyDescent="0.25"/>
  <cols>
    <col min="2" max="2" width="10.85546875" customWidth="1"/>
    <col min="3" max="4" width="11.28515625" customWidth="1"/>
  </cols>
  <sheetData>
    <row r="1" spans="1:4" x14ac:dyDescent="0.25">
      <c r="A1" t="s">
        <v>133</v>
      </c>
    </row>
    <row r="3" spans="1:4" x14ac:dyDescent="0.25">
      <c r="A3" s="89" t="s">
        <v>134</v>
      </c>
      <c r="B3" s="89" t="s">
        <v>135</v>
      </c>
      <c r="C3" s="98" t="s">
        <v>43</v>
      </c>
      <c r="D3" s="98" t="s">
        <v>44</v>
      </c>
    </row>
    <row r="4" spans="1:4" x14ac:dyDescent="0.25">
      <c r="A4">
        <v>6235</v>
      </c>
      <c r="B4">
        <v>32.9</v>
      </c>
      <c r="C4">
        <v>32.5</v>
      </c>
      <c r="D4">
        <v>50.9</v>
      </c>
    </row>
    <row r="5" spans="1:4" x14ac:dyDescent="0.25">
      <c r="B5">
        <v>49</v>
      </c>
      <c r="C5">
        <v>41.7</v>
      </c>
      <c r="D5">
        <v>68.3</v>
      </c>
    </row>
    <row r="6" spans="1:4" x14ac:dyDescent="0.25">
      <c r="B6">
        <v>54</v>
      </c>
      <c r="C6">
        <v>44.1</v>
      </c>
      <c r="D6">
        <v>72.7</v>
      </c>
    </row>
  </sheetData>
  <pageMargins left="0.7" right="0.7" top="0.75" bottom="0.75" header="0.3" footer="0.3"/>
  <pageSetup orientation="portrait" verticalDpi="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T39"/>
  <sheetViews>
    <sheetView topLeftCell="A3" workbookViewId="0">
      <selection activeCell="Q15" sqref="Q15"/>
    </sheetView>
  </sheetViews>
  <sheetFormatPr defaultColWidth="8.85546875" defaultRowHeight="15" x14ac:dyDescent="0.25"/>
  <cols>
    <col min="1" max="1" width="9.85546875" style="94" bestFit="1" customWidth="1"/>
    <col min="2" max="2" width="8.85546875" style="94"/>
    <col min="3" max="3" width="10.28515625" style="94" customWidth="1"/>
    <col min="4" max="16" width="8.85546875" style="94"/>
    <col min="17" max="17" width="8.85546875" style="196"/>
    <col min="18" max="18" width="8.85546875" style="94"/>
    <col min="19" max="19" width="8.85546875" style="196"/>
    <col min="20" max="16384" width="8.85546875" style="94"/>
  </cols>
  <sheetData>
    <row r="1" spans="1:20" x14ac:dyDescent="0.25">
      <c r="A1" s="97">
        <v>43343</v>
      </c>
      <c r="B1" s="96"/>
      <c r="C1" s="96"/>
      <c r="D1" s="96"/>
      <c r="E1" s="96"/>
      <c r="F1" s="96"/>
      <c r="G1" s="96"/>
      <c r="H1" s="96"/>
      <c r="I1" s="96"/>
      <c r="J1" s="96"/>
      <c r="K1" s="96"/>
    </row>
    <row r="2" spans="1:20" x14ac:dyDescent="0.25">
      <c r="A2" s="96"/>
      <c r="B2" s="96"/>
      <c r="C2" s="96"/>
      <c r="D2" s="96" t="s">
        <v>144</v>
      </c>
      <c r="E2" s="96"/>
      <c r="F2" s="96"/>
      <c r="G2" s="96"/>
      <c r="H2" s="96"/>
      <c r="I2" s="96"/>
      <c r="J2" s="96"/>
      <c r="K2" s="96"/>
    </row>
    <row r="3" spans="1:20" x14ac:dyDescent="0.25">
      <c r="A3" s="96"/>
      <c r="B3" s="96"/>
      <c r="C3" s="96"/>
      <c r="D3" s="96"/>
      <c r="E3" s="96"/>
      <c r="F3" s="96"/>
      <c r="G3" s="96"/>
      <c r="H3" s="96"/>
      <c r="I3" s="96"/>
      <c r="J3" s="96"/>
      <c r="K3" s="96"/>
    </row>
    <row r="4" spans="1:20" x14ac:dyDescent="0.25">
      <c r="A4" s="98" t="s">
        <v>143</v>
      </c>
      <c r="B4" s="98" t="s">
        <v>134</v>
      </c>
      <c r="C4" s="98" t="s">
        <v>142</v>
      </c>
      <c r="D4" s="96"/>
      <c r="E4" s="90" t="s">
        <v>273</v>
      </c>
      <c r="F4" s="96"/>
      <c r="G4" s="96"/>
      <c r="H4" s="96"/>
      <c r="I4" s="96"/>
      <c r="J4" s="96"/>
      <c r="K4" s="96"/>
      <c r="M4" s="94" t="s">
        <v>274</v>
      </c>
      <c r="N4" s="94" t="s">
        <v>275</v>
      </c>
      <c r="P4" s="94" t="s">
        <v>276</v>
      </c>
    </row>
    <row r="5" spans="1:20" x14ac:dyDescent="0.25">
      <c r="A5" s="98"/>
      <c r="B5" s="98"/>
      <c r="C5" s="98"/>
      <c r="D5" s="96"/>
      <c r="E5" s="96"/>
      <c r="F5" s="96"/>
      <c r="G5" s="96"/>
      <c r="H5" s="96"/>
      <c r="I5" s="96"/>
      <c r="J5" s="96"/>
      <c r="K5" s="96"/>
    </row>
    <row r="6" spans="1:20" x14ac:dyDescent="0.25">
      <c r="A6" s="98">
        <v>1</v>
      </c>
      <c r="B6" s="98">
        <v>2969</v>
      </c>
      <c r="C6" s="98" t="s">
        <v>141</v>
      </c>
      <c r="D6" s="96"/>
      <c r="E6" s="96">
        <f>'Summary Data for Graphics'!C50</f>
        <v>2969</v>
      </c>
      <c r="F6" s="198">
        <f>'Summary Data for Graphics'!D50</f>
        <v>366</v>
      </c>
      <c r="G6" s="198">
        <f>'Summary Data for Graphics'!E50</f>
        <v>633.20000000000005</v>
      </c>
      <c r="H6" s="198" t="str">
        <f>'Summary Data for Graphics'!F50</f>
        <v>Good</v>
      </c>
      <c r="I6" s="198">
        <f>'Summary Data for Graphics'!G50</f>
        <v>7.7</v>
      </c>
      <c r="J6" s="198" t="str">
        <f>'Summary Data for Graphics'!H50</f>
        <v>Y</v>
      </c>
      <c r="K6" s="198" t="str">
        <f>'Summary Data for Graphics'!I50</f>
        <v>No</v>
      </c>
      <c r="M6" s="94">
        <v>1</v>
      </c>
      <c r="N6" s="94">
        <v>4</v>
      </c>
      <c r="P6" s="94" t="s">
        <v>277</v>
      </c>
      <c r="R6" s="94" t="s">
        <v>289</v>
      </c>
      <c r="T6" s="94" t="s">
        <v>290</v>
      </c>
    </row>
    <row r="7" spans="1:20" x14ac:dyDescent="0.25">
      <c r="A7" s="98">
        <v>2</v>
      </c>
      <c r="B7" s="98">
        <v>6001</v>
      </c>
      <c r="C7" s="98" t="s">
        <v>137</v>
      </c>
      <c r="D7" s="96"/>
      <c r="E7" s="96">
        <f>'Summary Data for Graphics'!C42</f>
        <v>6001</v>
      </c>
      <c r="F7" s="198">
        <f>'Summary Data for Graphics'!D42</f>
        <v>88.7</v>
      </c>
      <c r="G7" s="198">
        <f>'Summary Data for Graphics'!E42</f>
        <v>521</v>
      </c>
      <c r="H7" s="198" t="str">
        <f>'Summary Data for Graphics'!F42</f>
        <v>Good</v>
      </c>
      <c r="I7" s="198">
        <f>'Summary Data for Graphics'!G42</f>
        <v>7.7</v>
      </c>
      <c r="J7" s="198" t="str">
        <f>'Summary Data for Graphics'!H42</f>
        <v>Y</v>
      </c>
      <c r="K7" s="198" t="str">
        <f>'Summary Data for Graphics'!I42</f>
        <v>No</v>
      </c>
      <c r="M7" s="94">
        <v>1</v>
      </c>
      <c r="N7" s="94">
        <v>3</v>
      </c>
      <c r="P7" s="94" t="s">
        <v>278</v>
      </c>
      <c r="R7" s="94" t="s">
        <v>289</v>
      </c>
      <c r="T7" s="94" t="s">
        <v>290</v>
      </c>
    </row>
    <row r="8" spans="1:20" x14ac:dyDescent="0.25">
      <c r="A8" s="98">
        <v>3</v>
      </c>
      <c r="B8" s="98">
        <v>3501</v>
      </c>
      <c r="C8" s="98" t="s">
        <v>140</v>
      </c>
      <c r="D8" s="96"/>
      <c r="E8" s="96">
        <f>'Summary Data for Graphics'!C27</f>
        <v>3501</v>
      </c>
      <c r="F8" s="198">
        <f>'Summary Data for Graphics'!D27</f>
        <v>15.7</v>
      </c>
      <c r="G8" s="198">
        <f>'Summary Data for Graphics'!E27</f>
        <v>31.5</v>
      </c>
      <c r="H8" s="198" t="str">
        <f>'Summary Data for Graphics'!F27</f>
        <v>Good</v>
      </c>
      <c r="I8" s="198">
        <f>'Summary Data for Graphics'!G27</f>
        <v>0</v>
      </c>
      <c r="J8" s="198" t="str">
        <f>'Summary Data for Graphics'!H27</f>
        <v>N</v>
      </c>
      <c r="K8" s="198" t="str">
        <f>'Summary Data for Graphics'!I27</f>
        <v>No</v>
      </c>
      <c r="M8" s="94">
        <v>2</v>
      </c>
      <c r="N8" s="94">
        <v>4</v>
      </c>
      <c r="P8" s="94" t="s">
        <v>279</v>
      </c>
      <c r="R8" s="94">
        <v>1</v>
      </c>
      <c r="S8" s="196">
        <v>1</v>
      </c>
      <c r="T8" s="94" t="s">
        <v>290</v>
      </c>
    </row>
    <row r="9" spans="1:20" x14ac:dyDescent="0.25">
      <c r="A9" s="98">
        <v>4</v>
      </c>
      <c r="B9" s="98">
        <v>6114</v>
      </c>
      <c r="C9" s="98" t="s">
        <v>137</v>
      </c>
      <c r="D9" s="96"/>
      <c r="E9" s="96">
        <f>'Summary Data for Graphics'!C12</f>
        <v>6114</v>
      </c>
      <c r="F9" s="198">
        <f>'Summary Data for Graphics'!D12</f>
        <v>80</v>
      </c>
      <c r="G9" s="198">
        <f>'Summary Data for Graphics'!E12</f>
        <v>220</v>
      </c>
      <c r="H9" s="198" t="str">
        <f>'Summary Data for Graphics'!F12</f>
        <v>Good</v>
      </c>
      <c r="I9" s="198">
        <f>'Summary Data for Graphics'!G12</f>
        <v>7.75</v>
      </c>
      <c r="J9" s="198" t="str">
        <f>'Summary Data for Graphics'!H12</f>
        <v>Y</v>
      </c>
      <c r="K9" s="198" t="str">
        <f>'Summary Data for Graphics'!I12</f>
        <v>No</v>
      </c>
      <c r="M9" s="94">
        <v>2</v>
      </c>
      <c r="N9" s="94">
        <v>2</v>
      </c>
      <c r="P9" s="196" t="s">
        <v>280</v>
      </c>
      <c r="R9" s="94">
        <v>2</v>
      </c>
      <c r="S9" s="196">
        <v>4</v>
      </c>
      <c r="T9" s="94" t="s">
        <v>291</v>
      </c>
    </row>
    <row r="10" spans="1:20" x14ac:dyDescent="0.25">
      <c r="A10" s="98">
        <v>5</v>
      </c>
      <c r="B10" s="98">
        <v>6294</v>
      </c>
      <c r="C10" s="98" t="s">
        <v>137</v>
      </c>
      <c r="D10" s="96"/>
      <c r="E10" s="96">
        <f>'Summary Data for Graphics'!C26</f>
        <v>6294</v>
      </c>
      <c r="F10" s="198">
        <f>'Summary Data for Graphics'!D26</f>
        <v>29.3</v>
      </c>
      <c r="G10" s="198">
        <f>'Summary Data for Graphics'!E26</f>
        <v>162</v>
      </c>
      <c r="H10" s="198" t="str">
        <f>'Summary Data for Graphics'!F26</f>
        <v>Good</v>
      </c>
      <c r="I10" s="198">
        <f>'Summary Data for Graphics'!G26</f>
        <v>0</v>
      </c>
      <c r="J10" s="198" t="str">
        <f>'Summary Data for Graphics'!H26</f>
        <v>N</v>
      </c>
      <c r="K10" s="198" t="str">
        <f>'Summary Data for Graphics'!I26</f>
        <v>No</v>
      </c>
      <c r="M10" s="94">
        <v>2</v>
      </c>
      <c r="N10" s="94">
        <v>4</v>
      </c>
      <c r="P10" s="196" t="s">
        <v>281</v>
      </c>
      <c r="Q10" s="196">
        <v>6001</v>
      </c>
      <c r="R10" s="94">
        <v>1</v>
      </c>
      <c r="S10" s="196">
        <v>3</v>
      </c>
      <c r="T10" s="94" t="s">
        <v>290</v>
      </c>
    </row>
    <row r="11" spans="1:20" x14ac:dyDescent="0.25">
      <c r="A11" s="98">
        <v>6</v>
      </c>
      <c r="B11" s="98">
        <v>2429</v>
      </c>
      <c r="C11" s="98" t="s">
        <v>139</v>
      </c>
      <c r="D11" s="96"/>
      <c r="E11" s="96">
        <f>'Summary Data for Graphics'!C32</f>
        <v>2429</v>
      </c>
      <c r="F11" s="198">
        <f>'Summary Data for Graphics'!D32</f>
        <v>99.3</v>
      </c>
      <c r="G11" s="198">
        <f>'Summary Data for Graphics'!E32</f>
        <v>276.5</v>
      </c>
      <c r="H11" s="198" t="str">
        <f>'Summary Data for Graphics'!F32</f>
        <v>Good</v>
      </c>
      <c r="I11" s="198">
        <f>'Summary Data for Graphics'!G32</f>
        <v>7.4</v>
      </c>
      <c r="J11" s="198" t="str">
        <f>'Summary Data for Graphics'!H32</f>
        <v>Y</v>
      </c>
      <c r="K11" s="198" t="str">
        <f>'Summary Data for Graphics'!I32</f>
        <v>No</v>
      </c>
      <c r="M11" s="94">
        <v>1</v>
      </c>
      <c r="N11" s="94">
        <v>1</v>
      </c>
      <c r="P11" s="196" t="s">
        <v>282</v>
      </c>
      <c r="R11" s="94">
        <v>2</v>
      </c>
      <c r="S11" s="196">
        <v>2</v>
      </c>
      <c r="T11" s="94" t="s">
        <v>292</v>
      </c>
    </row>
    <row r="12" spans="1:20" x14ac:dyDescent="0.25">
      <c r="A12" s="98">
        <v>7</v>
      </c>
      <c r="B12" s="98">
        <v>2319</v>
      </c>
      <c r="C12" s="98" t="s">
        <v>138</v>
      </c>
      <c r="D12" s="96"/>
      <c r="E12" s="96">
        <f>'Summary Data for Graphics'!C30</f>
        <v>2319</v>
      </c>
      <c r="F12" s="198">
        <f>'Summary Data for Graphics'!D30</f>
        <v>20.5</v>
      </c>
      <c r="G12" s="198">
        <f>'Summary Data for Graphics'!E30</f>
        <v>43</v>
      </c>
      <c r="H12" s="198" t="str">
        <f>'Summary Data for Graphics'!F30</f>
        <v>Good</v>
      </c>
      <c r="I12" s="198">
        <f>'Summary Data for Graphics'!G30</f>
        <v>0</v>
      </c>
      <c r="J12" s="198" t="str">
        <f>'Summary Data for Graphics'!H30</f>
        <v>N</v>
      </c>
      <c r="K12" s="198" t="str">
        <f>'Summary Data for Graphics'!I30</f>
        <v>No</v>
      </c>
      <c r="M12" s="94">
        <v>1</v>
      </c>
      <c r="N12" s="94">
        <v>1</v>
      </c>
      <c r="P12" s="196" t="s">
        <v>283</v>
      </c>
      <c r="R12" s="94">
        <v>2</v>
      </c>
      <c r="S12" s="196">
        <v>2</v>
      </c>
      <c r="T12" s="94" t="s">
        <v>290</v>
      </c>
    </row>
    <row r="13" spans="1:20" x14ac:dyDescent="0.25">
      <c r="A13" s="98">
        <v>8</v>
      </c>
      <c r="B13" s="98">
        <v>6219</v>
      </c>
      <c r="C13" s="98" t="s">
        <v>137</v>
      </c>
      <c r="D13" s="96"/>
      <c r="E13" s="96">
        <f>'Summary Data for Graphics'!C10</f>
        <v>6219</v>
      </c>
      <c r="F13" s="198">
        <f>'Summary Data for Graphics'!D10</f>
        <v>51</v>
      </c>
      <c r="G13" s="198">
        <f>'Summary Data for Graphics'!E10</f>
        <v>416</v>
      </c>
      <c r="H13" s="198" t="str">
        <f>'Summary Data for Graphics'!F10</f>
        <v>Good</v>
      </c>
      <c r="I13" s="198">
        <f>'Summary Data for Graphics'!G10</f>
        <v>0</v>
      </c>
      <c r="J13" s="198" t="str">
        <f>'Summary Data for Graphics'!H10</f>
        <v>N</v>
      </c>
      <c r="K13" s="198" t="str">
        <f>'Summary Data for Graphics'!I10</f>
        <v>No</v>
      </c>
      <c r="M13" s="94">
        <v>2</v>
      </c>
      <c r="N13" s="94">
        <v>2</v>
      </c>
      <c r="P13" s="196" t="s">
        <v>284</v>
      </c>
      <c r="R13" s="94">
        <v>2</v>
      </c>
      <c r="S13" s="196">
        <v>2</v>
      </c>
      <c r="T13" s="94" t="s">
        <v>290</v>
      </c>
    </row>
    <row r="14" spans="1:20" x14ac:dyDescent="0.25">
      <c r="A14" s="98">
        <v>9</v>
      </c>
      <c r="B14" s="98">
        <v>6272</v>
      </c>
      <c r="C14" s="98" t="s">
        <v>137</v>
      </c>
      <c r="D14" s="96"/>
      <c r="E14" s="96">
        <f>'Summary Data for Graphics'!C11</f>
        <v>6272</v>
      </c>
      <c r="F14" s="198">
        <f>'Summary Data for Graphics'!D11</f>
        <v>92</v>
      </c>
      <c r="G14" s="198">
        <f>'Summary Data for Graphics'!E11</f>
        <v>279</v>
      </c>
      <c r="H14" s="198" t="str">
        <f>'Summary Data for Graphics'!F11</f>
        <v>Good</v>
      </c>
      <c r="I14" s="198">
        <f>'Summary Data for Graphics'!G11</f>
        <v>7.72</v>
      </c>
      <c r="J14" s="198" t="str">
        <f>'Summary Data for Graphics'!H11</f>
        <v>Y</v>
      </c>
      <c r="K14" s="198" t="str">
        <f>'Summary Data for Graphics'!I11</f>
        <v>No</v>
      </c>
      <c r="M14" s="94">
        <v>2</v>
      </c>
      <c r="N14" s="94">
        <v>2</v>
      </c>
      <c r="P14" s="196" t="s">
        <v>285</v>
      </c>
      <c r="Q14" s="196">
        <v>2969</v>
      </c>
      <c r="R14" s="94">
        <v>1</v>
      </c>
      <c r="S14" s="196">
        <v>4</v>
      </c>
      <c r="T14" s="94" t="s">
        <v>293</v>
      </c>
    </row>
    <row r="15" spans="1:20" x14ac:dyDescent="0.25">
      <c r="A15" s="98">
        <v>10</v>
      </c>
      <c r="B15" s="98">
        <v>2326</v>
      </c>
      <c r="C15" s="98" t="s">
        <v>138</v>
      </c>
      <c r="D15" s="96"/>
      <c r="E15" s="96">
        <f>'Summary Data for Graphics'!C28</f>
        <v>2326</v>
      </c>
      <c r="F15" s="198">
        <f>'Summary Data for Graphics'!D28</f>
        <v>154.19999999999999</v>
      </c>
      <c r="G15" s="198">
        <f>'Summary Data for Graphics'!E28</f>
        <v>495</v>
      </c>
      <c r="H15" s="198" t="str">
        <f>'Summary Data for Graphics'!F28</f>
        <v>Good</v>
      </c>
      <c r="I15" s="198">
        <f>'Summary Data for Graphics'!G28</f>
        <v>7.35</v>
      </c>
      <c r="J15" s="198" t="str">
        <f>'Summary Data for Graphics'!H28</f>
        <v>Y</v>
      </c>
      <c r="K15" s="198" t="str">
        <f>'Summary Data for Graphics'!I28</f>
        <v>No</v>
      </c>
      <c r="M15" s="94">
        <v>1</v>
      </c>
      <c r="N15" s="94">
        <v>1</v>
      </c>
      <c r="P15" s="196" t="s">
        <v>286</v>
      </c>
      <c r="R15" s="94">
        <v>2</v>
      </c>
      <c r="S15" s="196">
        <v>4</v>
      </c>
      <c r="T15" s="94" t="s">
        <v>291</v>
      </c>
    </row>
    <row r="16" spans="1:20" x14ac:dyDescent="0.25">
      <c r="A16" s="98">
        <v>11</v>
      </c>
      <c r="B16" s="98">
        <v>6225</v>
      </c>
      <c r="C16" s="98" t="s">
        <v>137</v>
      </c>
      <c r="D16" s="96"/>
      <c r="E16" s="96"/>
      <c r="F16" s="96"/>
      <c r="G16" s="96"/>
      <c r="H16" s="96"/>
      <c r="I16" s="96"/>
      <c r="J16" s="96"/>
      <c r="K16" s="96"/>
      <c r="P16" s="196" t="s">
        <v>287</v>
      </c>
      <c r="R16" s="94">
        <v>1</v>
      </c>
      <c r="S16" s="196">
        <v>1</v>
      </c>
      <c r="T16" s="94" t="s">
        <v>291</v>
      </c>
    </row>
    <row r="17" spans="1:20" x14ac:dyDescent="0.25">
      <c r="A17" s="98">
        <v>12</v>
      </c>
      <c r="B17" s="98">
        <v>6223</v>
      </c>
      <c r="C17" s="98" t="s">
        <v>137</v>
      </c>
      <c r="D17" s="96"/>
      <c r="E17" s="96"/>
      <c r="F17" s="96"/>
      <c r="G17" s="96"/>
      <c r="H17" s="96"/>
      <c r="I17" s="96"/>
      <c r="J17" s="96"/>
      <c r="K17" s="96"/>
      <c r="P17" s="196" t="s">
        <v>288</v>
      </c>
      <c r="R17" s="94">
        <v>1</v>
      </c>
      <c r="S17" s="196">
        <v>1</v>
      </c>
      <c r="T17" s="94" t="s">
        <v>290</v>
      </c>
    </row>
    <row r="18" spans="1:20" x14ac:dyDescent="0.25">
      <c r="A18" s="96"/>
      <c r="B18" s="96"/>
      <c r="C18" s="96"/>
      <c r="D18" s="96"/>
      <c r="E18" s="96"/>
      <c r="F18" s="96"/>
      <c r="G18" s="96"/>
      <c r="H18" s="96"/>
      <c r="I18" s="96"/>
      <c r="J18" s="96"/>
      <c r="K18" s="96"/>
    </row>
    <row r="19" spans="1:20" x14ac:dyDescent="0.25">
      <c r="A19" s="90" t="s">
        <v>136</v>
      </c>
      <c r="B19" s="90"/>
      <c r="C19" s="90"/>
      <c r="D19" s="90"/>
      <c r="E19" s="90"/>
      <c r="F19" s="90"/>
      <c r="G19" s="90"/>
      <c r="H19" s="96"/>
      <c r="I19" s="96"/>
      <c r="J19" s="96"/>
      <c r="K19" s="96"/>
    </row>
    <row r="20" spans="1:20" x14ac:dyDescent="0.25">
      <c r="A20" s="90"/>
      <c r="B20" s="90"/>
      <c r="C20" s="90"/>
      <c r="D20" s="90"/>
      <c r="E20" s="90"/>
      <c r="F20" s="90"/>
      <c r="G20" s="90"/>
      <c r="H20" s="96"/>
      <c r="I20" s="96"/>
      <c r="J20" s="96"/>
      <c r="K20" s="96"/>
    </row>
    <row r="21" spans="1:20" x14ac:dyDescent="0.25">
      <c r="A21" s="90"/>
      <c r="B21" s="90"/>
      <c r="C21" s="90"/>
      <c r="D21" s="90"/>
      <c r="E21" s="90"/>
      <c r="F21" s="90"/>
      <c r="G21" s="90"/>
      <c r="H21" s="96"/>
      <c r="I21" s="96"/>
      <c r="J21" s="96"/>
      <c r="K21" s="96"/>
    </row>
    <row r="22" spans="1:20" x14ac:dyDescent="0.25">
      <c r="A22" s="90"/>
      <c r="B22" s="90"/>
      <c r="C22" s="90"/>
      <c r="D22" s="90"/>
      <c r="E22" s="90"/>
      <c r="F22" s="90"/>
      <c r="G22" s="90"/>
      <c r="H22" s="96"/>
      <c r="I22" s="96"/>
      <c r="J22" s="96"/>
      <c r="K22" s="96"/>
    </row>
    <row r="23" spans="1:20" x14ac:dyDescent="0.25">
      <c r="A23" s="90"/>
      <c r="B23" s="90"/>
      <c r="C23" s="90"/>
      <c r="D23" s="90"/>
      <c r="E23" s="90"/>
      <c r="F23" s="90"/>
      <c r="G23" s="90"/>
      <c r="H23" s="96"/>
      <c r="I23" s="96"/>
      <c r="J23" s="96"/>
      <c r="K23" s="96"/>
    </row>
    <row r="24" spans="1:20" x14ac:dyDescent="0.25">
      <c r="A24" s="90"/>
      <c r="B24" s="90"/>
      <c r="C24" s="90"/>
      <c r="D24" s="90"/>
      <c r="E24" s="90"/>
      <c r="F24" s="90"/>
      <c r="G24" s="90"/>
      <c r="H24" s="96"/>
      <c r="I24" s="96"/>
      <c r="J24" s="96"/>
      <c r="K24" s="96"/>
    </row>
    <row r="25" spans="1:20" x14ac:dyDescent="0.25">
      <c r="A25" s="90"/>
      <c r="B25" s="90"/>
      <c r="C25" s="90"/>
      <c r="D25" s="90"/>
      <c r="E25" s="90"/>
      <c r="F25" s="90"/>
      <c r="G25" s="90"/>
      <c r="H25" s="96"/>
      <c r="I25" s="96"/>
      <c r="J25" s="96"/>
      <c r="K25" s="96"/>
    </row>
    <row r="26" spans="1:20" x14ac:dyDescent="0.25">
      <c r="A26" s="90"/>
      <c r="B26" s="90"/>
      <c r="C26" s="90"/>
      <c r="D26" s="90"/>
      <c r="E26" s="90"/>
      <c r="F26" s="90"/>
      <c r="G26" s="90"/>
      <c r="H26" s="96"/>
      <c r="I26" s="96"/>
      <c r="J26" s="96"/>
      <c r="K26" s="96"/>
    </row>
    <row r="27" spans="1:20" x14ac:dyDescent="0.25">
      <c r="A27" s="90"/>
      <c r="B27" s="90"/>
      <c r="C27" s="90"/>
      <c r="D27" s="90"/>
      <c r="E27" s="90"/>
      <c r="F27" s="90"/>
      <c r="G27" s="90"/>
      <c r="H27" s="96"/>
      <c r="I27" s="96"/>
      <c r="J27" s="96"/>
      <c r="K27" s="96"/>
    </row>
    <row r="28" spans="1:20" x14ac:dyDescent="0.25">
      <c r="A28" s="96"/>
      <c r="B28" s="96"/>
      <c r="C28" s="96"/>
      <c r="D28" s="96"/>
      <c r="E28" s="96"/>
      <c r="F28" s="96"/>
      <c r="G28" s="96"/>
      <c r="H28" s="96"/>
      <c r="I28" s="96"/>
      <c r="J28" s="96"/>
      <c r="K28" s="96"/>
    </row>
    <row r="29" spans="1:20" x14ac:dyDescent="0.25">
      <c r="A29" s="96"/>
      <c r="B29" s="96"/>
      <c r="C29" s="96"/>
      <c r="D29" s="96"/>
      <c r="E29" s="96"/>
      <c r="F29" s="96"/>
      <c r="G29" s="96"/>
      <c r="H29" s="96"/>
      <c r="I29" s="96"/>
      <c r="J29" s="96"/>
      <c r="K29" s="96"/>
    </row>
    <row r="30" spans="1:20" x14ac:dyDescent="0.25">
      <c r="A30" s="96"/>
      <c r="B30" s="96"/>
      <c r="C30" s="96"/>
      <c r="D30" s="96"/>
      <c r="E30" s="96"/>
      <c r="F30" s="96"/>
      <c r="G30" s="96"/>
      <c r="H30" s="96"/>
      <c r="I30" s="96"/>
      <c r="J30" s="96"/>
      <c r="K30" s="96"/>
    </row>
    <row r="31" spans="1:20" x14ac:dyDescent="0.25">
      <c r="A31" s="96"/>
      <c r="B31" s="96"/>
      <c r="C31" s="96"/>
      <c r="D31" s="96"/>
      <c r="E31" s="96"/>
      <c r="F31" s="96"/>
      <c r="G31" s="96"/>
      <c r="H31" s="96"/>
      <c r="I31" s="96"/>
      <c r="J31" s="96"/>
      <c r="K31" s="96"/>
    </row>
    <row r="32" spans="1:20" x14ac:dyDescent="0.25">
      <c r="A32" s="96"/>
      <c r="B32" s="96"/>
      <c r="C32" s="96"/>
      <c r="D32" s="96"/>
      <c r="E32" s="96"/>
      <c r="F32" s="96"/>
      <c r="G32" s="96"/>
      <c r="H32" s="96"/>
      <c r="I32" s="96"/>
      <c r="J32" s="96"/>
      <c r="K32" s="96"/>
    </row>
    <row r="33" spans="1:11" x14ac:dyDescent="0.25">
      <c r="A33" s="96"/>
      <c r="B33" s="96"/>
      <c r="C33" s="96"/>
      <c r="D33" s="96"/>
      <c r="E33" s="96"/>
      <c r="F33" s="96"/>
      <c r="G33" s="96"/>
      <c r="H33" s="96"/>
      <c r="I33" s="96"/>
      <c r="J33" s="96"/>
      <c r="K33" s="96"/>
    </row>
    <row r="34" spans="1:11" x14ac:dyDescent="0.25">
      <c r="A34" s="96"/>
      <c r="B34" s="96"/>
      <c r="C34" s="96"/>
      <c r="D34" s="96"/>
      <c r="E34" s="96"/>
      <c r="F34" s="96"/>
      <c r="G34" s="96"/>
      <c r="H34" s="96"/>
      <c r="I34" s="96"/>
      <c r="J34" s="96"/>
      <c r="K34" s="96"/>
    </row>
    <row r="35" spans="1:11" x14ac:dyDescent="0.25">
      <c r="A35" s="96"/>
      <c r="B35" s="96"/>
      <c r="C35" s="96"/>
      <c r="D35" s="96"/>
      <c r="E35" s="96"/>
      <c r="F35" s="96"/>
      <c r="G35" s="96"/>
      <c r="H35" s="96"/>
      <c r="I35" s="96"/>
      <c r="J35" s="96"/>
      <c r="K35" s="96"/>
    </row>
    <row r="36" spans="1:11" x14ac:dyDescent="0.25">
      <c r="A36" s="96"/>
      <c r="B36" s="96"/>
      <c r="C36" s="96"/>
      <c r="D36" s="96"/>
      <c r="E36" s="96"/>
      <c r="F36" s="96"/>
      <c r="G36" s="96"/>
      <c r="H36" s="96"/>
      <c r="I36" s="96"/>
      <c r="J36" s="96"/>
      <c r="K36" s="96"/>
    </row>
    <row r="37" spans="1:11" x14ac:dyDescent="0.25">
      <c r="A37" s="96"/>
      <c r="B37" s="96"/>
      <c r="C37" s="96"/>
      <c r="D37" s="96"/>
      <c r="E37" s="96"/>
      <c r="F37" s="96"/>
      <c r="G37" s="96"/>
      <c r="H37" s="96"/>
      <c r="I37" s="96"/>
      <c r="J37" s="96"/>
      <c r="K37" s="96"/>
    </row>
    <row r="38" spans="1:11" x14ac:dyDescent="0.25">
      <c r="A38" s="96"/>
      <c r="B38" s="96"/>
      <c r="C38" s="96"/>
      <c r="D38" s="96"/>
      <c r="E38" s="96"/>
      <c r="F38" s="96"/>
      <c r="G38" s="96"/>
      <c r="H38" s="96"/>
      <c r="I38" s="96"/>
      <c r="J38" s="96"/>
      <c r="K38" s="96"/>
    </row>
    <row r="39" spans="1:11" x14ac:dyDescent="0.25">
      <c r="A39" s="96"/>
      <c r="B39" s="96"/>
      <c r="C39" s="96"/>
      <c r="D39" s="96"/>
      <c r="E39" s="96"/>
      <c r="F39" s="96"/>
      <c r="G39" s="96"/>
      <c r="H39" s="96"/>
      <c r="I39" s="96"/>
      <c r="J39" s="96"/>
      <c r="K39" s="96"/>
    </row>
  </sheetData>
  <pageMargins left="0.7" right="0.7" top="0.75" bottom="0.75" header="0.3" footer="0.3"/>
  <pageSetup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46"/>
  <sheetViews>
    <sheetView topLeftCell="E1" workbookViewId="0">
      <selection activeCell="S35" sqref="S35"/>
    </sheetView>
  </sheetViews>
  <sheetFormatPr defaultColWidth="8.85546875" defaultRowHeight="15" x14ac:dyDescent="0.25"/>
  <cols>
    <col min="1" max="1" width="9.85546875" style="94" bestFit="1" customWidth="1"/>
    <col min="2" max="2" width="9.85546875" style="94" customWidth="1"/>
    <col min="3" max="3" width="11.28515625" style="94" customWidth="1"/>
    <col min="4" max="4" width="11.7109375" style="94" customWidth="1"/>
    <col min="5" max="5" width="13.28515625" style="91" customWidth="1"/>
    <col min="6" max="6" width="11.5703125" style="83" customWidth="1"/>
    <col min="7" max="7" width="8.28515625" style="83" customWidth="1"/>
    <col min="8" max="17" width="8.85546875" style="94"/>
    <col min="18" max="18" width="8.85546875" style="91"/>
    <col min="19" max="16384" width="8.85546875" style="94"/>
  </cols>
  <sheetData>
    <row r="1" spans="1:21" ht="18.75" x14ac:dyDescent="0.3">
      <c r="A1" s="100" t="s">
        <v>179</v>
      </c>
      <c r="B1" s="100"/>
      <c r="C1" s="100"/>
      <c r="D1" s="100"/>
      <c r="E1" s="108"/>
      <c r="F1" s="109" t="s">
        <v>180</v>
      </c>
      <c r="N1" s="100" t="s">
        <v>179</v>
      </c>
      <c r="O1" s="100"/>
      <c r="P1" s="100"/>
      <c r="Q1" s="100"/>
      <c r="R1" s="108"/>
      <c r="S1" s="100" t="s">
        <v>178</v>
      </c>
    </row>
    <row r="2" spans="1:21" ht="18.75" x14ac:dyDescent="0.3">
      <c r="A2" s="100"/>
      <c r="B2" s="100"/>
      <c r="C2" s="100"/>
      <c r="D2" s="100"/>
      <c r="E2" s="108"/>
      <c r="F2" s="109"/>
      <c r="N2" s="100"/>
      <c r="O2" s="100"/>
      <c r="P2" s="100"/>
      <c r="Q2" s="100"/>
      <c r="R2" s="108"/>
      <c r="S2" s="100"/>
    </row>
    <row r="3" spans="1:21" ht="18.75" x14ac:dyDescent="0.3">
      <c r="A3" s="100"/>
      <c r="B3" s="100"/>
      <c r="C3" s="100"/>
      <c r="D3" s="100"/>
      <c r="E3" s="108"/>
      <c r="F3" s="109"/>
      <c r="N3" s="100"/>
      <c r="O3" s="100"/>
      <c r="P3" s="100"/>
      <c r="Q3" s="100"/>
      <c r="R3" s="108"/>
      <c r="S3" s="100"/>
    </row>
    <row r="4" spans="1:21" ht="18.75" x14ac:dyDescent="0.3">
      <c r="A4" s="100"/>
      <c r="B4" s="100"/>
      <c r="C4" s="100"/>
      <c r="D4" s="100"/>
      <c r="E4" s="108"/>
      <c r="F4" s="109"/>
      <c r="N4" s="100"/>
      <c r="O4" s="100"/>
      <c r="P4" s="100"/>
      <c r="Q4" s="100"/>
      <c r="R4" s="108"/>
      <c r="S4" s="100"/>
    </row>
    <row r="10" spans="1:21" x14ac:dyDescent="0.25">
      <c r="A10" s="102">
        <v>43328</v>
      </c>
      <c r="B10" s="95"/>
      <c r="C10" s="96" t="s">
        <v>177</v>
      </c>
      <c r="D10" s="96" t="s">
        <v>176</v>
      </c>
      <c r="E10" s="107" t="s">
        <v>175</v>
      </c>
      <c r="F10" s="79" t="s">
        <v>181</v>
      </c>
      <c r="G10" s="78"/>
      <c r="H10" s="95"/>
      <c r="N10" s="95"/>
      <c r="O10" s="95"/>
      <c r="P10" s="96" t="s">
        <v>177</v>
      </c>
      <c r="Q10" s="96" t="s">
        <v>176</v>
      </c>
      <c r="R10" s="107" t="s">
        <v>175</v>
      </c>
      <c r="S10" s="96" t="s">
        <v>181</v>
      </c>
      <c r="T10" s="95"/>
      <c r="U10" s="95"/>
    </row>
    <row r="11" spans="1:21" x14ac:dyDescent="0.25">
      <c r="A11" s="95"/>
      <c r="B11" s="95"/>
      <c r="C11" s="95"/>
      <c r="D11" s="96" t="s">
        <v>6</v>
      </c>
      <c r="E11" s="92"/>
      <c r="F11" s="79" t="s">
        <v>182</v>
      </c>
      <c r="G11" s="78"/>
      <c r="H11" s="95"/>
      <c r="N11" s="95"/>
      <c r="O11" s="95"/>
      <c r="P11" s="95"/>
      <c r="Q11" s="96" t="s">
        <v>6</v>
      </c>
      <c r="R11" s="92"/>
      <c r="S11" s="96" t="s">
        <v>182</v>
      </c>
      <c r="T11" s="95"/>
      <c r="U11" s="95"/>
    </row>
    <row r="12" spans="1:21" x14ac:dyDescent="0.25">
      <c r="A12" s="98" t="s">
        <v>173</v>
      </c>
      <c r="B12" s="99" t="s">
        <v>148</v>
      </c>
      <c r="C12" s="99">
        <v>25.5</v>
      </c>
      <c r="D12" s="99">
        <v>5.2</v>
      </c>
      <c r="E12" s="103" t="s">
        <v>174</v>
      </c>
      <c r="F12" s="80">
        <f>C12/D12</f>
        <v>4.9038461538461533</v>
      </c>
      <c r="G12" s="78"/>
      <c r="H12" s="95"/>
      <c r="N12" s="98" t="s">
        <v>173</v>
      </c>
      <c r="O12" s="99" t="s">
        <v>148</v>
      </c>
      <c r="P12" s="99">
        <v>25.5</v>
      </c>
      <c r="Q12" s="99">
        <v>5.85</v>
      </c>
      <c r="R12" s="103" t="s">
        <v>172</v>
      </c>
      <c r="S12" s="80">
        <f>P12/Q12</f>
        <v>4.3589743589743595</v>
      </c>
      <c r="T12" s="78"/>
      <c r="U12" s="95"/>
    </row>
    <row r="13" spans="1:21" x14ac:dyDescent="0.25">
      <c r="A13" s="98"/>
      <c r="B13" s="99" t="s">
        <v>146</v>
      </c>
      <c r="C13" s="99">
        <v>26</v>
      </c>
      <c r="D13" s="99">
        <v>5.2</v>
      </c>
      <c r="E13" s="103" t="s">
        <v>171</v>
      </c>
      <c r="F13" s="80">
        <f>C13/D13</f>
        <v>5</v>
      </c>
      <c r="G13" s="78"/>
      <c r="H13" s="95"/>
      <c r="N13" s="98"/>
      <c r="O13" s="99" t="s">
        <v>155</v>
      </c>
      <c r="P13" s="99">
        <v>25.3</v>
      </c>
      <c r="Q13" s="99">
        <v>5.82</v>
      </c>
      <c r="R13" s="103" t="s">
        <v>170</v>
      </c>
      <c r="S13" s="80">
        <f>P13/Q13</f>
        <v>4.3470790378006869</v>
      </c>
      <c r="T13" s="78"/>
      <c r="U13" s="95"/>
    </row>
    <row r="14" spans="1:21" x14ac:dyDescent="0.25">
      <c r="A14" s="98"/>
      <c r="B14" s="99"/>
      <c r="C14" s="99"/>
      <c r="D14" s="99"/>
      <c r="E14" s="103"/>
      <c r="F14" s="80"/>
      <c r="G14" s="78"/>
      <c r="H14" s="95"/>
      <c r="N14" s="98"/>
      <c r="O14" s="99"/>
      <c r="P14" s="99"/>
      <c r="Q14" s="99"/>
      <c r="R14" s="103"/>
      <c r="S14" s="80"/>
      <c r="T14" s="78"/>
      <c r="U14" s="95"/>
    </row>
    <row r="15" spans="1:21" x14ac:dyDescent="0.25">
      <c r="A15" s="98" t="s">
        <v>168</v>
      </c>
      <c r="B15" s="99" t="s">
        <v>148</v>
      </c>
      <c r="C15" s="99">
        <v>25</v>
      </c>
      <c r="D15" s="99">
        <v>4.5999999999999996</v>
      </c>
      <c r="E15" s="103" t="s">
        <v>169</v>
      </c>
      <c r="F15" s="80">
        <f>C15/D15</f>
        <v>5.4347826086956523</v>
      </c>
      <c r="G15" s="78"/>
      <c r="H15" s="95"/>
      <c r="N15" s="98" t="s">
        <v>168</v>
      </c>
      <c r="O15" s="99" t="s">
        <v>148</v>
      </c>
      <c r="P15" s="99">
        <v>25.2</v>
      </c>
      <c r="Q15" s="99">
        <v>5.25</v>
      </c>
      <c r="R15" s="103" t="s">
        <v>167</v>
      </c>
      <c r="S15" s="80">
        <f>P15/Q15</f>
        <v>4.8</v>
      </c>
      <c r="T15" s="78"/>
      <c r="U15" s="95"/>
    </row>
    <row r="16" spans="1:21" x14ac:dyDescent="0.25">
      <c r="A16" s="98"/>
      <c r="B16" s="99" t="s">
        <v>146</v>
      </c>
      <c r="C16" s="99">
        <v>25.8</v>
      </c>
      <c r="D16" s="99">
        <v>4.5999999999999996</v>
      </c>
      <c r="E16" s="103" t="s">
        <v>166</v>
      </c>
      <c r="F16" s="80">
        <f>C16/D16</f>
        <v>5.608695652173914</v>
      </c>
      <c r="G16" s="78"/>
      <c r="H16" s="95"/>
      <c r="N16" s="98"/>
      <c r="O16" s="99" t="s">
        <v>155</v>
      </c>
      <c r="P16" s="99">
        <v>25.1</v>
      </c>
      <c r="Q16" s="99">
        <v>5.23</v>
      </c>
      <c r="R16" s="103" t="s">
        <v>165</v>
      </c>
      <c r="S16" s="80">
        <f>P16/Q16</f>
        <v>4.7992351816443595</v>
      </c>
      <c r="T16" s="78"/>
      <c r="U16" s="95"/>
    </row>
    <row r="17" spans="1:21" x14ac:dyDescent="0.25">
      <c r="A17" s="98"/>
      <c r="B17" s="99"/>
      <c r="C17" s="99"/>
      <c r="D17" s="99"/>
      <c r="E17" s="103"/>
      <c r="F17" s="80"/>
      <c r="G17" s="78"/>
      <c r="H17" s="95"/>
      <c r="N17" s="98"/>
      <c r="O17" s="99"/>
      <c r="P17" s="99"/>
      <c r="Q17" s="99"/>
      <c r="R17" s="103"/>
      <c r="S17" s="80"/>
      <c r="T17" s="78"/>
      <c r="U17" s="95"/>
    </row>
    <row r="18" spans="1:21" x14ac:dyDescent="0.25">
      <c r="A18" s="98" t="s">
        <v>163</v>
      </c>
      <c r="B18" s="99" t="s">
        <v>148</v>
      </c>
      <c r="C18" s="99">
        <v>25</v>
      </c>
      <c r="D18" s="99">
        <v>6.6</v>
      </c>
      <c r="E18" s="103" t="s">
        <v>164</v>
      </c>
      <c r="F18" s="80">
        <f>C18/D18</f>
        <v>3.7878787878787881</v>
      </c>
      <c r="G18" s="78"/>
      <c r="H18" s="95"/>
      <c r="N18" s="98" t="s">
        <v>163</v>
      </c>
      <c r="O18" s="99" t="s">
        <v>148</v>
      </c>
      <c r="P18" s="99">
        <v>25.4</v>
      </c>
      <c r="Q18" s="99">
        <v>4.33</v>
      </c>
      <c r="R18" s="103" t="s">
        <v>162</v>
      </c>
      <c r="S18" s="80">
        <f>P18/Q18</f>
        <v>5.8660508083140872</v>
      </c>
      <c r="T18" s="78"/>
      <c r="U18" s="95"/>
    </row>
    <row r="19" spans="1:21" x14ac:dyDescent="0.25">
      <c r="A19" s="98"/>
      <c r="B19" s="99" t="s">
        <v>146</v>
      </c>
      <c r="C19" s="99">
        <v>25.5</v>
      </c>
      <c r="D19" s="99">
        <v>6.55</v>
      </c>
      <c r="E19" s="103" t="s">
        <v>161</v>
      </c>
      <c r="F19" s="80">
        <f>C19/D19</f>
        <v>3.8931297709923665</v>
      </c>
      <c r="G19" s="78"/>
      <c r="H19" s="95"/>
      <c r="N19" s="98"/>
      <c r="O19" s="99" t="s">
        <v>155</v>
      </c>
      <c r="P19" s="99">
        <v>25.4</v>
      </c>
      <c r="Q19" s="99">
        <v>4.32</v>
      </c>
      <c r="R19" s="103" t="s">
        <v>160</v>
      </c>
      <c r="S19" s="80">
        <f>P19/Q19</f>
        <v>5.8796296296296289</v>
      </c>
      <c r="T19" s="78"/>
      <c r="U19" s="95"/>
    </row>
    <row r="20" spans="1:21" x14ac:dyDescent="0.25">
      <c r="A20" s="98"/>
      <c r="B20" s="99"/>
      <c r="C20" s="99"/>
      <c r="D20" s="99"/>
      <c r="E20" s="103"/>
      <c r="F20" s="80"/>
      <c r="G20" s="78"/>
      <c r="H20" s="95"/>
      <c r="N20" s="98"/>
      <c r="O20" s="99"/>
      <c r="P20" s="99"/>
      <c r="Q20" s="99"/>
      <c r="R20" s="103"/>
      <c r="S20" s="80"/>
      <c r="T20" s="78"/>
      <c r="U20" s="95"/>
    </row>
    <row r="21" spans="1:21" x14ac:dyDescent="0.25">
      <c r="A21" s="98" t="s">
        <v>158</v>
      </c>
      <c r="B21" s="99" t="s">
        <v>148</v>
      </c>
      <c r="C21" s="99">
        <v>16</v>
      </c>
      <c r="D21" s="99">
        <v>3</v>
      </c>
      <c r="E21" s="103" t="s">
        <v>159</v>
      </c>
      <c r="F21" s="80">
        <f>C21/D21</f>
        <v>5.333333333333333</v>
      </c>
      <c r="G21" s="78"/>
      <c r="H21" s="95"/>
      <c r="N21" s="98" t="s">
        <v>158</v>
      </c>
      <c r="O21" s="99" t="s">
        <v>148</v>
      </c>
      <c r="P21" s="99">
        <v>16.100000000000001</v>
      </c>
      <c r="Q21" s="99">
        <v>3.5</v>
      </c>
      <c r="R21" s="103" t="s">
        <v>157</v>
      </c>
      <c r="S21" s="80">
        <f>P21/Q21</f>
        <v>4.6000000000000005</v>
      </c>
      <c r="T21" s="78"/>
      <c r="U21" s="95"/>
    </row>
    <row r="22" spans="1:21" x14ac:dyDescent="0.25">
      <c r="A22" s="98"/>
      <c r="B22" s="99" t="s">
        <v>146</v>
      </c>
      <c r="C22" s="99">
        <v>16</v>
      </c>
      <c r="D22" s="99">
        <v>3</v>
      </c>
      <c r="E22" s="103" t="s">
        <v>156</v>
      </c>
      <c r="F22" s="80">
        <f>C22/D22</f>
        <v>5.333333333333333</v>
      </c>
      <c r="G22" s="78"/>
      <c r="H22" s="95"/>
      <c r="N22" s="98"/>
      <c r="O22" s="99" t="s">
        <v>155</v>
      </c>
      <c r="P22" s="99">
        <v>16</v>
      </c>
      <c r="Q22" s="99">
        <v>3.5</v>
      </c>
      <c r="R22" s="103" t="s">
        <v>154</v>
      </c>
      <c r="S22" s="80">
        <f>P22/Q22</f>
        <v>4.5714285714285712</v>
      </c>
      <c r="T22" s="78"/>
      <c r="U22" s="95"/>
    </row>
    <row r="23" spans="1:21" x14ac:dyDescent="0.25">
      <c r="A23" s="95"/>
      <c r="B23" s="95"/>
      <c r="C23" s="95"/>
      <c r="D23" s="95"/>
      <c r="E23" s="92"/>
      <c r="F23" s="78"/>
      <c r="G23" s="78"/>
      <c r="H23" s="95"/>
      <c r="N23" s="95"/>
      <c r="O23" s="95"/>
      <c r="P23" s="95"/>
      <c r="Q23" s="95"/>
      <c r="R23" s="92"/>
      <c r="S23" s="78"/>
      <c r="T23" s="78"/>
      <c r="U23" s="95"/>
    </row>
    <row r="24" spans="1:21" x14ac:dyDescent="0.25">
      <c r="A24" s="104" t="s">
        <v>153</v>
      </c>
      <c r="B24" s="98"/>
      <c r="C24" s="99"/>
      <c r="D24" s="99"/>
      <c r="E24" s="103"/>
      <c r="F24" s="78"/>
      <c r="G24" s="78"/>
      <c r="H24" s="95"/>
      <c r="N24" s="104" t="s">
        <v>153</v>
      </c>
      <c r="O24" s="98"/>
      <c r="P24" s="99"/>
      <c r="Q24" s="99"/>
      <c r="R24" s="103"/>
      <c r="S24" s="78"/>
      <c r="T24" s="78"/>
      <c r="U24" s="95"/>
    </row>
    <row r="25" spans="1:21" x14ac:dyDescent="0.25">
      <c r="A25" s="99"/>
      <c r="B25" s="99"/>
      <c r="C25" s="99"/>
      <c r="D25" s="99"/>
      <c r="E25" s="103"/>
      <c r="F25" s="78"/>
      <c r="G25" s="78"/>
      <c r="H25" s="95"/>
      <c r="N25" s="99"/>
      <c r="O25" s="99"/>
      <c r="P25" s="99"/>
      <c r="Q25" s="99"/>
      <c r="R25" s="103"/>
      <c r="S25" s="78"/>
      <c r="T25" s="78"/>
      <c r="U25" s="95"/>
    </row>
    <row r="26" spans="1:21" x14ac:dyDescent="0.25">
      <c r="A26" s="99"/>
      <c r="B26" s="106" t="s">
        <v>152</v>
      </c>
      <c r="C26" s="101"/>
      <c r="D26" s="99"/>
      <c r="E26" s="103"/>
      <c r="F26" s="78"/>
      <c r="G26" s="78"/>
      <c r="H26" s="95"/>
      <c r="N26" s="99"/>
      <c r="O26" s="99" t="s">
        <v>148</v>
      </c>
      <c r="P26" s="99">
        <v>80.5</v>
      </c>
      <c r="Q26" s="99">
        <v>4.8499999999999996</v>
      </c>
      <c r="R26" s="103" t="s">
        <v>151</v>
      </c>
      <c r="S26" s="80">
        <f>P26/Q26</f>
        <v>16.597938144329898</v>
      </c>
      <c r="T26" s="80">
        <f>S12+S15+S18</f>
        <v>15.025025167288446</v>
      </c>
      <c r="U26" s="95"/>
    </row>
    <row r="27" spans="1:21" x14ac:dyDescent="0.25">
      <c r="A27" s="99"/>
      <c r="B27" s="99"/>
      <c r="C27" s="99"/>
      <c r="D27" s="99"/>
      <c r="E27" s="103"/>
      <c r="F27" s="78"/>
      <c r="G27" s="78"/>
      <c r="H27" s="95"/>
      <c r="N27" s="99"/>
      <c r="O27" s="99" t="s">
        <v>146</v>
      </c>
      <c r="P27" s="99">
        <v>80.5</v>
      </c>
      <c r="Q27" s="99">
        <v>4.7</v>
      </c>
      <c r="R27" s="103" t="s">
        <v>150</v>
      </c>
      <c r="S27" s="80">
        <f>P27/Q27</f>
        <v>17.127659574468083</v>
      </c>
      <c r="T27" s="80">
        <f>S13+S16+S19</f>
        <v>15.025943849074675</v>
      </c>
      <c r="U27" s="95"/>
    </row>
    <row r="28" spans="1:21" x14ac:dyDescent="0.25">
      <c r="A28" s="99"/>
      <c r="B28" s="99"/>
      <c r="C28" s="99"/>
      <c r="D28" s="99"/>
      <c r="E28" s="103"/>
      <c r="F28" s="78"/>
      <c r="G28" s="78"/>
      <c r="H28" s="95"/>
      <c r="N28" s="99"/>
      <c r="O28" s="99"/>
      <c r="P28" s="99"/>
      <c r="Q28" s="99"/>
      <c r="R28" s="103"/>
      <c r="S28" s="78"/>
      <c r="T28" s="78"/>
      <c r="U28" s="95"/>
    </row>
    <row r="29" spans="1:21" x14ac:dyDescent="0.25">
      <c r="A29" s="105">
        <v>43336</v>
      </c>
      <c r="B29" s="99"/>
      <c r="C29" s="99"/>
      <c r="D29" s="99"/>
      <c r="E29" s="103"/>
      <c r="F29" s="78"/>
      <c r="G29" s="78"/>
      <c r="H29" s="95"/>
      <c r="N29" s="99"/>
      <c r="O29" s="99"/>
      <c r="P29" s="99"/>
      <c r="Q29" s="99"/>
      <c r="R29" s="103"/>
      <c r="S29" s="78"/>
      <c r="T29" s="78"/>
      <c r="U29" s="95"/>
    </row>
    <row r="30" spans="1:21" x14ac:dyDescent="0.25">
      <c r="A30" s="104" t="s">
        <v>149</v>
      </c>
      <c r="B30" s="98"/>
      <c r="C30" s="99"/>
      <c r="D30" s="99"/>
      <c r="E30" s="103"/>
      <c r="F30" s="78"/>
      <c r="G30" s="78"/>
      <c r="H30" s="95"/>
      <c r="N30" s="104" t="s">
        <v>149</v>
      </c>
      <c r="O30" s="98"/>
      <c r="P30" s="99"/>
      <c r="Q30" s="99"/>
      <c r="R30" s="103"/>
      <c r="S30" s="78"/>
      <c r="T30" s="78"/>
      <c r="U30" s="95"/>
    </row>
    <row r="31" spans="1:21" x14ac:dyDescent="0.25">
      <c r="A31" s="99"/>
      <c r="B31" s="99"/>
      <c r="C31" s="99"/>
      <c r="D31" s="99"/>
      <c r="E31" s="103"/>
      <c r="F31" s="78"/>
      <c r="G31" s="78"/>
      <c r="H31" s="95"/>
      <c r="N31" s="99"/>
      <c r="O31" s="99"/>
      <c r="P31" s="99"/>
      <c r="Q31" s="99"/>
      <c r="R31" s="103"/>
      <c r="S31" s="78"/>
      <c r="T31" s="78"/>
      <c r="U31" s="95"/>
    </row>
    <row r="32" spans="1:21" x14ac:dyDescent="0.25">
      <c r="A32" s="99"/>
      <c r="B32" s="99" t="s">
        <v>148</v>
      </c>
      <c r="C32" s="99">
        <v>81.5</v>
      </c>
      <c r="D32" s="99">
        <v>4.2</v>
      </c>
      <c r="E32" s="103" t="s">
        <v>147</v>
      </c>
      <c r="F32" s="80">
        <f>C32/D32</f>
        <v>19.404761904761905</v>
      </c>
      <c r="G32" s="80">
        <f>F12+F15+F18+F21</f>
        <v>19.459840883753927</v>
      </c>
      <c r="H32" s="95"/>
      <c r="N32" s="99"/>
      <c r="O32" s="99" t="s">
        <v>148</v>
      </c>
      <c r="P32" s="99">
        <v>89</v>
      </c>
      <c r="Q32" s="99">
        <v>4</v>
      </c>
      <c r="R32" s="103" t="s">
        <v>147</v>
      </c>
      <c r="S32" s="80">
        <f>P32/Q32</f>
        <v>22.25</v>
      </c>
      <c r="T32" s="80">
        <f>S12+S15+S18+S21</f>
        <v>19.625025167288445</v>
      </c>
      <c r="U32" s="95"/>
    </row>
    <row r="33" spans="1:21" x14ac:dyDescent="0.25">
      <c r="A33" s="99"/>
      <c r="B33" s="99" t="s">
        <v>146</v>
      </c>
      <c r="C33" s="99">
        <v>80.5</v>
      </c>
      <c r="D33" s="99">
        <v>4.1500000000000004</v>
      </c>
      <c r="E33" s="103" t="s">
        <v>145</v>
      </c>
      <c r="F33" s="80">
        <f>C33/D33</f>
        <v>19.397590361445783</v>
      </c>
      <c r="G33" s="80">
        <f>F13+F16+F19+F22</f>
        <v>19.835158756499613</v>
      </c>
      <c r="H33" s="95"/>
      <c r="N33" s="99"/>
      <c r="O33" s="99" t="s">
        <v>146</v>
      </c>
      <c r="P33" s="99">
        <v>89</v>
      </c>
      <c r="Q33" s="99">
        <v>4</v>
      </c>
      <c r="R33" s="103" t="s">
        <v>145</v>
      </c>
      <c r="S33" s="80">
        <f>P33/Q33</f>
        <v>22.25</v>
      </c>
      <c r="T33" s="80">
        <f>S13+S16+S19+S22</f>
        <v>19.597372420503248</v>
      </c>
      <c r="U33" s="95"/>
    </row>
    <row r="34" spans="1:21" x14ac:dyDescent="0.25">
      <c r="A34" s="95"/>
      <c r="B34" s="95"/>
      <c r="C34" s="95"/>
      <c r="D34" s="95"/>
      <c r="E34" s="92"/>
      <c r="F34" s="78"/>
      <c r="G34" s="78"/>
      <c r="H34" s="95"/>
      <c r="N34" s="95"/>
      <c r="O34" s="95"/>
      <c r="P34" s="95"/>
      <c r="Q34" s="95"/>
      <c r="R34" s="92"/>
      <c r="S34" s="95"/>
      <c r="T34" s="95"/>
      <c r="U34" s="95"/>
    </row>
    <row r="35" spans="1:21" x14ac:dyDescent="0.25">
      <c r="A35" s="95"/>
      <c r="B35" s="95"/>
      <c r="C35" s="95"/>
      <c r="D35" s="95"/>
      <c r="E35" s="92"/>
      <c r="F35" s="78"/>
      <c r="G35" s="78"/>
      <c r="H35" s="95"/>
      <c r="N35" s="95"/>
      <c r="O35" s="95"/>
      <c r="P35" s="95"/>
      <c r="Q35" s="95"/>
      <c r="R35" s="92"/>
      <c r="S35" s="95"/>
      <c r="T35" s="95"/>
      <c r="U35" s="95"/>
    </row>
    <row r="36" spans="1:21" x14ac:dyDescent="0.25">
      <c r="A36" s="95"/>
      <c r="B36" s="95"/>
      <c r="C36" s="95"/>
      <c r="D36" s="95"/>
      <c r="E36" s="92"/>
      <c r="F36" s="78"/>
      <c r="G36" s="78"/>
      <c r="H36" s="95"/>
    </row>
    <row r="37" spans="1:21" x14ac:dyDescent="0.25">
      <c r="A37" s="95"/>
      <c r="B37" s="95"/>
      <c r="C37" s="95"/>
      <c r="D37" s="95"/>
      <c r="E37" s="92"/>
      <c r="F37" s="78"/>
      <c r="G37" s="78"/>
      <c r="H37" s="95"/>
    </row>
    <row r="38" spans="1:21" x14ac:dyDescent="0.25">
      <c r="A38" s="95"/>
      <c r="B38" s="95"/>
      <c r="C38" s="95"/>
      <c r="D38" s="95"/>
      <c r="E38" s="92"/>
      <c r="F38" s="78"/>
      <c r="G38" s="78"/>
      <c r="H38" s="95"/>
    </row>
    <row r="39" spans="1:21" x14ac:dyDescent="0.25">
      <c r="A39" s="95"/>
      <c r="B39" s="95"/>
      <c r="C39" s="95"/>
      <c r="D39" s="95"/>
      <c r="E39" s="92"/>
      <c r="F39" s="78"/>
      <c r="G39" s="78"/>
      <c r="H39" s="95"/>
    </row>
    <row r="40" spans="1:21" x14ac:dyDescent="0.25">
      <c r="A40" s="95"/>
      <c r="B40" s="95"/>
      <c r="C40" s="95"/>
      <c r="D40" s="95"/>
      <c r="E40" s="92"/>
      <c r="F40" s="78"/>
      <c r="G40" s="78"/>
      <c r="H40" s="95"/>
    </row>
    <row r="41" spans="1:21" x14ac:dyDescent="0.25">
      <c r="A41" s="95"/>
      <c r="B41" s="95"/>
      <c r="C41" s="95"/>
      <c r="D41" s="95"/>
      <c r="E41" s="92"/>
      <c r="F41" s="78"/>
      <c r="G41" s="78"/>
      <c r="H41" s="95"/>
    </row>
    <row r="42" spans="1:21" x14ac:dyDescent="0.25">
      <c r="A42" s="95"/>
      <c r="B42" s="95"/>
      <c r="C42" s="95"/>
      <c r="D42" s="95"/>
      <c r="E42" s="92"/>
      <c r="F42" s="78"/>
      <c r="G42" s="78"/>
      <c r="H42" s="95"/>
    </row>
    <row r="43" spans="1:21" x14ac:dyDescent="0.25">
      <c r="A43" s="95"/>
      <c r="B43" s="95"/>
      <c r="C43" s="95"/>
      <c r="D43" s="95"/>
      <c r="E43" s="92"/>
      <c r="F43" s="78"/>
      <c r="G43" s="78"/>
      <c r="H43" s="95"/>
    </row>
    <row r="44" spans="1:21" x14ac:dyDescent="0.25">
      <c r="A44" s="95"/>
      <c r="B44" s="95"/>
      <c r="C44" s="95"/>
      <c r="D44" s="95"/>
      <c r="E44" s="92"/>
      <c r="F44" s="78"/>
      <c r="G44" s="78"/>
      <c r="H44" s="95"/>
    </row>
    <row r="45" spans="1:21" x14ac:dyDescent="0.25">
      <c r="A45" s="95"/>
      <c r="B45" s="95"/>
      <c r="C45" s="95"/>
      <c r="D45" s="95"/>
      <c r="E45" s="92"/>
      <c r="F45" s="78"/>
      <c r="G45" s="78"/>
      <c r="H45" s="95"/>
    </row>
    <row r="46" spans="1:21" x14ac:dyDescent="0.25">
      <c r="A46" s="95"/>
      <c r="B46" s="95"/>
      <c r="C46" s="95"/>
      <c r="D46" s="95"/>
      <c r="E46" s="92"/>
      <c r="F46" s="78"/>
      <c r="G46" s="78"/>
      <c r="H46" s="95"/>
    </row>
  </sheetData>
  <pageMargins left="0.7" right="0.7" top="0.75" bottom="0.75" header="0.3" footer="0.3"/>
  <pageSetup orientation="portrait" verticalDpi="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31"/>
  <sheetViews>
    <sheetView topLeftCell="A24" workbookViewId="0">
      <selection activeCell="W28" sqref="W28"/>
    </sheetView>
  </sheetViews>
  <sheetFormatPr defaultRowHeight="15" x14ac:dyDescent="0.25"/>
  <cols>
    <col min="1" max="5" width="9.140625" style="94"/>
    <col min="6" max="6" width="9.140625" style="83"/>
    <col min="7" max="11" width="9.140625" style="94"/>
    <col min="12" max="12" width="11.42578125" style="94" customWidth="1"/>
    <col min="13" max="14" width="10.85546875" style="94" customWidth="1"/>
    <col min="15" max="20" width="9.140625" style="94"/>
    <col min="21" max="21" width="11.42578125" style="94" customWidth="1"/>
    <col min="22" max="22" width="11" style="94" customWidth="1"/>
    <col min="23" max="16384" width="9.140625" style="94"/>
  </cols>
  <sheetData>
    <row r="1" spans="1:26" x14ac:dyDescent="0.25">
      <c r="A1" s="120" t="s">
        <v>204</v>
      </c>
      <c r="B1" s="120"/>
      <c r="C1" s="120"/>
      <c r="D1" s="120"/>
      <c r="E1" s="120"/>
      <c r="F1" s="122"/>
      <c r="G1" s="120"/>
      <c r="H1" s="120"/>
    </row>
    <row r="2" spans="1:26" x14ac:dyDescent="0.25">
      <c r="A2" s="120"/>
      <c r="B2" s="120"/>
      <c r="C2" s="120" t="s">
        <v>203</v>
      </c>
      <c r="D2" s="120"/>
      <c r="E2" s="120"/>
      <c r="F2" s="122"/>
      <c r="G2" s="120"/>
      <c r="H2" s="120"/>
    </row>
    <row r="3" spans="1:26" x14ac:dyDescent="0.25">
      <c r="L3" s="20" t="s">
        <v>202</v>
      </c>
      <c r="U3" s="89" t="s">
        <v>202</v>
      </c>
      <c r="V3" s="31"/>
    </row>
    <row r="5" spans="1:26" x14ac:dyDescent="0.25">
      <c r="A5" s="114" t="s">
        <v>201</v>
      </c>
      <c r="B5" s="119"/>
      <c r="C5" s="119"/>
      <c r="D5" s="119"/>
      <c r="E5" s="119"/>
      <c r="F5" s="123"/>
      <c r="J5" s="114" t="s">
        <v>200</v>
      </c>
      <c r="K5" s="114"/>
      <c r="L5" s="114"/>
      <c r="M5" s="114"/>
      <c r="N5" s="114"/>
      <c r="O5" s="114"/>
      <c r="P5" s="114"/>
      <c r="Q5" s="114"/>
      <c r="R5" s="114"/>
      <c r="S5" s="114" t="s">
        <v>199</v>
      </c>
      <c r="T5" s="114"/>
      <c r="U5" s="114"/>
      <c r="V5" s="114"/>
      <c r="W5" s="114"/>
      <c r="X5" s="114"/>
      <c r="Y5" s="114"/>
      <c r="Z5" s="114"/>
    </row>
    <row r="7" spans="1:26" x14ac:dyDescent="0.25">
      <c r="A7" s="102"/>
      <c r="B7" s="95"/>
      <c r="C7" s="96" t="s">
        <v>177</v>
      </c>
      <c r="D7" s="96" t="s">
        <v>176</v>
      </c>
      <c r="E7" s="107" t="s">
        <v>175</v>
      </c>
      <c r="J7" s="99" t="s">
        <v>195</v>
      </c>
      <c r="K7" s="99" t="s">
        <v>125</v>
      </c>
      <c r="L7" s="99" t="s">
        <v>194</v>
      </c>
      <c r="M7" s="99" t="s">
        <v>189</v>
      </c>
      <c r="N7" s="99"/>
      <c r="S7" s="99" t="s">
        <v>195</v>
      </c>
      <c r="T7" s="99" t="s">
        <v>125</v>
      </c>
      <c r="U7" s="99" t="s">
        <v>194</v>
      </c>
      <c r="V7" s="99" t="s">
        <v>198</v>
      </c>
      <c r="W7" s="26"/>
    </row>
    <row r="8" spans="1:26" x14ac:dyDescent="0.25">
      <c r="A8" s="95"/>
      <c r="B8" s="95"/>
      <c r="C8" s="95"/>
      <c r="D8" s="96" t="s">
        <v>6</v>
      </c>
      <c r="E8" s="92"/>
      <c r="F8" s="124" t="s">
        <v>205</v>
      </c>
      <c r="J8" s="99"/>
      <c r="K8" s="99" t="s">
        <v>188</v>
      </c>
      <c r="L8" s="99" t="s">
        <v>6</v>
      </c>
      <c r="M8" s="99"/>
      <c r="N8" s="121" t="s">
        <v>205</v>
      </c>
      <c r="S8" s="99"/>
      <c r="T8" s="99" t="s">
        <v>188</v>
      </c>
      <c r="U8" s="99" t="s">
        <v>6</v>
      </c>
      <c r="V8" s="99"/>
      <c r="W8" s="121" t="s">
        <v>205</v>
      </c>
    </row>
    <row r="9" spans="1:26" x14ac:dyDescent="0.25">
      <c r="A9" s="98" t="s">
        <v>173</v>
      </c>
      <c r="B9" s="99" t="s">
        <v>148</v>
      </c>
      <c r="C9" s="99">
        <v>25.5</v>
      </c>
      <c r="D9" s="99">
        <v>5.2</v>
      </c>
      <c r="E9" s="103" t="s">
        <v>174</v>
      </c>
      <c r="F9" s="125">
        <f>C9/D9</f>
        <v>4.9038461538461533</v>
      </c>
      <c r="J9" s="99" t="s">
        <v>193</v>
      </c>
      <c r="K9" s="99">
        <v>25</v>
      </c>
      <c r="L9" s="99">
        <v>4.7</v>
      </c>
      <c r="M9" s="99" t="s">
        <v>183</v>
      </c>
      <c r="N9" s="125">
        <f>K9/L9</f>
        <v>5.3191489361702127</v>
      </c>
      <c r="S9" s="99" t="s">
        <v>193</v>
      </c>
      <c r="T9" s="99">
        <v>25</v>
      </c>
      <c r="U9" s="118">
        <v>7.32</v>
      </c>
      <c r="V9" s="99" t="s">
        <v>183</v>
      </c>
      <c r="W9" s="125">
        <f>T9/U9</f>
        <v>3.4153005464480874</v>
      </c>
    </row>
    <row r="10" spans="1:26" x14ac:dyDescent="0.25">
      <c r="A10" s="98"/>
      <c r="B10" s="99" t="s">
        <v>146</v>
      </c>
      <c r="C10" s="99">
        <v>26</v>
      </c>
      <c r="D10" s="99">
        <v>5.2</v>
      </c>
      <c r="E10" s="103" t="s">
        <v>171</v>
      </c>
      <c r="F10" s="125">
        <f>C10/D10</f>
        <v>5</v>
      </c>
      <c r="J10" s="99" t="s">
        <v>192</v>
      </c>
      <c r="K10" s="99">
        <v>25</v>
      </c>
      <c r="L10" s="99">
        <v>4.9000000000000004</v>
      </c>
      <c r="M10" s="99" t="s">
        <v>183</v>
      </c>
      <c r="N10" s="125">
        <f t="shared" ref="N10:N11" si="0">K10/L10</f>
        <v>5.1020408163265305</v>
      </c>
      <c r="S10" s="99" t="s">
        <v>192</v>
      </c>
      <c r="T10" s="99">
        <v>25</v>
      </c>
      <c r="U10" s="118">
        <v>8.0399999999999991</v>
      </c>
      <c r="V10" s="99" t="s">
        <v>183</v>
      </c>
      <c r="W10" s="125">
        <f t="shared" ref="W10:W11" si="1">T10/U10</f>
        <v>3.1094527363184081</v>
      </c>
    </row>
    <row r="11" spans="1:26" x14ac:dyDescent="0.25">
      <c r="A11" s="98"/>
      <c r="B11" s="99"/>
      <c r="C11" s="99"/>
      <c r="D11" s="99"/>
      <c r="E11" s="103"/>
      <c r="F11" s="125"/>
      <c r="J11" s="99" t="s">
        <v>191</v>
      </c>
      <c r="K11" s="99">
        <v>25</v>
      </c>
      <c r="L11" s="99">
        <v>4.7</v>
      </c>
      <c r="M11" s="99" t="s">
        <v>183</v>
      </c>
      <c r="N11" s="125">
        <f t="shared" si="0"/>
        <v>5.3191489361702127</v>
      </c>
      <c r="S11" s="99" t="s">
        <v>191</v>
      </c>
      <c r="T11" s="99">
        <v>25</v>
      </c>
      <c r="U11" s="118">
        <v>7.38</v>
      </c>
      <c r="V11" s="99" t="s">
        <v>183</v>
      </c>
      <c r="W11" s="125">
        <f t="shared" si="1"/>
        <v>3.3875338753387534</v>
      </c>
    </row>
    <row r="12" spans="1:26" x14ac:dyDescent="0.25">
      <c r="A12" s="98" t="s">
        <v>168</v>
      </c>
      <c r="B12" s="99" t="s">
        <v>148</v>
      </c>
      <c r="C12" s="99">
        <v>25</v>
      </c>
      <c r="D12" s="99">
        <v>4.5999999999999996</v>
      </c>
      <c r="E12" s="103" t="s">
        <v>169</v>
      </c>
      <c r="F12" s="125">
        <f>C12/D12</f>
        <v>5.4347826086956523</v>
      </c>
      <c r="J12" s="99"/>
      <c r="K12" s="99"/>
      <c r="L12" s="99"/>
      <c r="M12" s="99"/>
      <c r="N12" s="99"/>
      <c r="S12" s="99"/>
      <c r="T12" s="99"/>
      <c r="U12" s="99"/>
      <c r="V12" s="99"/>
      <c r="W12" s="26"/>
    </row>
    <row r="13" spans="1:26" x14ac:dyDescent="0.25">
      <c r="A13" s="98"/>
      <c r="B13" s="99" t="s">
        <v>146</v>
      </c>
      <c r="C13" s="99">
        <v>25.8</v>
      </c>
      <c r="D13" s="99">
        <v>4.5999999999999996</v>
      </c>
      <c r="E13" s="103" t="s">
        <v>166</v>
      </c>
      <c r="F13" s="125">
        <f>C13/D13</f>
        <v>5.608695652173914</v>
      </c>
      <c r="J13" s="99" t="s">
        <v>190</v>
      </c>
      <c r="K13" s="99" t="s">
        <v>125</v>
      </c>
      <c r="L13" s="99" t="s">
        <v>176</v>
      </c>
      <c r="M13" s="99" t="s">
        <v>189</v>
      </c>
      <c r="N13" s="99"/>
      <c r="S13" s="99" t="s">
        <v>190</v>
      </c>
      <c r="T13" s="99" t="s">
        <v>125</v>
      </c>
      <c r="U13" s="99" t="s">
        <v>176</v>
      </c>
      <c r="V13" s="99" t="s">
        <v>189</v>
      </c>
      <c r="W13" s="26"/>
    </row>
    <row r="14" spans="1:26" x14ac:dyDescent="0.25">
      <c r="A14" s="98"/>
      <c r="B14" s="99"/>
      <c r="C14" s="99"/>
      <c r="D14" s="99"/>
      <c r="E14" s="103"/>
      <c r="F14" s="125"/>
      <c r="J14" s="99"/>
      <c r="K14" s="99" t="s">
        <v>188</v>
      </c>
      <c r="L14" s="99" t="s">
        <v>6</v>
      </c>
      <c r="M14" s="99"/>
      <c r="N14" s="99"/>
      <c r="S14" s="99"/>
      <c r="T14" s="99" t="s">
        <v>188</v>
      </c>
      <c r="U14" s="99" t="s">
        <v>6</v>
      </c>
      <c r="V14" s="99"/>
      <c r="W14" s="26"/>
    </row>
    <row r="15" spans="1:26" x14ac:dyDescent="0.25">
      <c r="A15" s="117" t="s">
        <v>163</v>
      </c>
      <c r="B15" s="99" t="s">
        <v>148</v>
      </c>
      <c r="C15" s="99">
        <v>25</v>
      </c>
      <c r="D15" s="116">
        <v>6.6</v>
      </c>
      <c r="E15" s="103" t="s">
        <v>164</v>
      </c>
      <c r="F15" s="125">
        <f>C15/D15</f>
        <v>3.7878787878787881</v>
      </c>
      <c r="J15" s="99" t="s">
        <v>186</v>
      </c>
      <c r="K15" s="99">
        <v>25</v>
      </c>
      <c r="L15" s="99">
        <v>4.9000000000000004</v>
      </c>
      <c r="M15" s="99" t="s">
        <v>183</v>
      </c>
      <c r="N15" s="125">
        <f>K15/L15</f>
        <v>5.1020408163265305</v>
      </c>
      <c r="S15" s="99" t="s">
        <v>186</v>
      </c>
      <c r="T15" s="99">
        <v>25</v>
      </c>
      <c r="U15" s="115">
        <v>7.45</v>
      </c>
      <c r="V15" s="99" t="s">
        <v>183</v>
      </c>
      <c r="W15" s="125">
        <f>T15/U15</f>
        <v>3.3557046979865772</v>
      </c>
    </row>
    <row r="16" spans="1:26" x14ac:dyDescent="0.25">
      <c r="A16" s="98"/>
      <c r="B16" s="99" t="s">
        <v>146</v>
      </c>
      <c r="C16" s="99">
        <v>25.5</v>
      </c>
      <c r="D16" s="116">
        <v>6.55</v>
      </c>
      <c r="E16" s="103" t="s">
        <v>161</v>
      </c>
      <c r="F16" s="125">
        <f>C16/D16</f>
        <v>3.8931297709923665</v>
      </c>
      <c r="J16" s="99" t="s">
        <v>185</v>
      </c>
      <c r="K16" s="99">
        <v>25</v>
      </c>
      <c r="L16" s="99">
        <v>5.3</v>
      </c>
      <c r="M16" s="99" t="s">
        <v>183</v>
      </c>
      <c r="N16" s="125">
        <f t="shared" ref="N16:N17" si="2">K16/L16</f>
        <v>4.716981132075472</v>
      </c>
      <c r="S16" s="99" t="s">
        <v>185</v>
      </c>
      <c r="T16" s="99">
        <v>25</v>
      </c>
      <c r="U16" s="115">
        <v>7.4</v>
      </c>
      <c r="V16" s="99" t="s">
        <v>183</v>
      </c>
      <c r="W16" s="125">
        <f t="shared" ref="W16:W17" si="3">T16/U16</f>
        <v>3.3783783783783781</v>
      </c>
    </row>
    <row r="17" spans="1:23" x14ac:dyDescent="0.25">
      <c r="A17" s="98"/>
      <c r="B17" s="99"/>
      <c r="C17" s="99"/>
      <c r="D17" s="99"/>
      <c r="E17" s="103"/>
      <c r="F17" s="125"/>
      <c r="J17" s="99" t="s">
        <v>184</v>
      </c>
      <c r="K17" s="99">
        <v>25</v>
      </c>
      <c r="L17" s="99">
        <v>4.9000000000000004</v>
      </c>
      <c r="M17" s="99" t="s">
        <v>183</v>
      </c>
      <c r="N17" s="125">
        <f t="shared" si="2"/>
        <v>5.1020408163265305</v>
      </c>
      <c r="S17" s="99" t="s">
        <v>184</v>
      </c>
      <c r="T17" s="99">
        <v>25</v>
      </c>
      <c r="U17" s="115">
        <v>7.95</v>
      </c>
      <c r="V17" s="99" t="s">
        <v>183</v>
      </c>
      <c r="W17" s="125">
        <f t="shared" si="3"/>
        <v>3.1446540880503142</v>
      </c>
    </row>
    <row r="18" spans="1:23" x14ac:dyDescent="0.25">
      <c r="A18" s="98" t="s">
        <v>158</v>
      </c>
      <c r="B18" s="99" t="s">
        <v>148</v>
      </c>
      <c r="C18" s="99">
        <v>16</v>
      </c>
      <c r="D18" s="99">
        <v>3</v>
      </c>
      <c r="E18" s="103" t="s">
        <v>159</v>
      </c>
      <c r="F18" s="125">
        <f>C18/D18</f>
        <v>5.333333333333333</v>
      </c>
    </row>
    <row r="19" spans="1:23" x14ac:dyDescent="0.25">
      <c r="A19" s="98"/>
      <c r="B19" s="99" t="s">
        <v>146</v>
      </c>
      <c r="C19" s="99">
        <v>16</v>
      </c>
      <c r="D19" s="99">
        <v>3</v>
      </c>
      <c r="E19" s="103" t="s">
        <v>156</v>
      </c>
      <c r="F19" s="125">
        <f>C19/D19</f>
        <v>5.333333333333333</v>
      </c>
      <c r="J19" s="114"/>
      <c r="K19" s="114" t="s">
        <v>197</v>
      </c>
      <c r="L19" s="114"/>
      <c r="M19" s="114"/>
      <c r="N19" s="114"/>
      <c r="O19" s="114"/>
      <c r="P19" s="114"/>
      <c r="Q19" s="114"/>
      <c r="R19" s="114"/>
      <c r="S19" s="114"/>
      <c r="T19" s="114" t="s">
        <v>196</v>
      </c>
      <c r="U19" s="114"/>
      <c r="V19" s="114"/>
    </row>
    <row r="20" spans="1:23" x14ac:dyDescent="0.25">
      <c r="A20" s="95"/>
      <c r="B20" s="95"/>
      <c r="C20" s="95"/>
      <c r="D20" s="95"/>
      <c r="E20" s="92"/>
    </row>
    <row r="21" spans="1:23" x14ac:dyDescent="0.25">
      <c r="A21" s="111"/>
      <c r="B21" s="65"/>
      <c r="C21" s="32"/>
      <c r="D21" s="32"/>
      <c r="E21" s="110"/>
      <c r="J21" s="99" t="s">
        <v>195</v>
      </c>
      <c r="K21" s="99" t="s">
        <v>125</v>
      </c>
      <c r="L21" s="99" t="s">
        <v>194</v>
      </c>
      <c r="M21" s="99" t="s">
        <v>189</v>
      </c>
      <c r="N21" s="99"/>
      <c r="S21" s="99" t="s">
        <v>195</v>
      </c>
      <c r="T21" s="99" t="s">
        <v>125</v>
      </c>
      <c r="U21" s="99" t="s">
        <v>194</v>
      </c>
      <c r="V21" s="99" t="s">
        <v>189</v>
      </c>
      <c r="W21" s="26"/>
    </row>
    <row r="22" spans="1:23" x14ac:dyDescent="0.25">
      <c r="A22" s="32"/>
      <c r="B22" s="32"/>
      <c r="C22" s="32"/>
      <c r="D22" s="32"/>
      <c r="E22" s="110"/>
      <c r="J22" s="99"/>
      <c r="K22" s="99" t="s">
        <v>188</v>
      </c>
      <c r="L22" s="99" t="s">
        <v>187</v>
      </c>
      <c r="M22" s="99"/>
      <c r="N22" s="121" t="s">
        <v>205</v>
      </c>
      <c r="S22" s="99"/>
      <c r="T22" s="99" t="s">
        <v>188</v>
      </c>
      <c r="U22" s="99" t="s">
        <v>187</v>
      </c>
      <c r="V22" s="99"/>
      <c r="W22" s="121" t="s">
        <v>205</v>
      </c>
    </row>
    <row r="23" spans="1:23" x14ac:dyDescent="0.25">
      <c r="A23" s="32"/>
      <c r="D23" s="32"/>
      <c r="E23" s="110"/>
      <c r="J23" s="99" t="s">
        <v>193</v>
      </c>
      <c r="K23" s="99">
        <v>10</v>
      </c>
      <c r="L23" s="99">
        <v>86</v>
      </c>
      <c r="M23" s="99" t="s">
        <v>183</v>
      </c>
      <c r="N23" s="125">
        <f>K23/L23*1000</f>
        <v>116.27906976744185</v>
      </c>
      <c r="S23" s="99" t="s">
        <v>193</v>
      </c>
      <c r="T23" s="99">
        <v>10</v>
      </c>
      <c r="U23" s="99">
        <v>82</v>
      </c>
      <c r="V23" s="99" t="s">
        <v>183</v>
      </c>
      <c r="W23" s="125">
        <f>T23/U23*1000</f>
        <v>121.95121951219512</v>
      </c>
    </row>
    <row r="24" spans="1:23" x14ac:dyDescent="0.25">
      <c r="A24" s="32"/>
      <c r="B24" s="32"/>
      <c r="C24" s="32"/>
      <c r="D24" s="32"/>
      <c r="E24" s="110"/>
      <c r="J24" s="99" t="s">
        <v>192</v>
      </c>
      <c r="K24" s="99">
        <v>10</v>
      </c>
      <c r="L24" s="99">
        <v>85</v>
      </c>
      <c r="M24" s="99" t="s">
        <v>183</v>
      </c>
      <c r="N24" s="125">
        <f t="shared" ref="N24:N25" si="4">K24/L24*1000</f>
        <v>117.64705882352941</v>
      </c>
      <c r="S24" s="99" t="s">
        <v>192</v>
      </c>
      <c r="T24" s="99">
        <v>10</v>
      </c>
      <c r="U24" s="99">
        <v>74</v>
      </c>
      <c r="V24" s="99" t="s">
        <v>183</v>
      </c>
      <c r="W24" s="125">
        <f t="shared" ref="W24:W25" si="5">T24/U24*1000</f>
        <v>135.13513513513513</v>
      </c>
    </row>
    <row r="25" spans="1:23" x14ac:dyDescent="0.25">
      <c r="A25" s="113"/>
      <c r="B25" s="32"/>
      <c r="C25" s="32"/>
      <c r="D25" s="32"/>
      <c r="E25" s="110"/>
      <c r="J25" s="99" t="s">
        <v>191</v>
      </c>
      <c r="K25" s="99">
        <v>10</v>
      </c>
      <c r="L25" s="99">
        <v>85</v>
      </c>
      <c r="M25" s="99" t="s">
        <v>183</v>
      </c>
      <c r="N25" s="125">
        <f t="shared" si="4"/>
        <v>117.64705882352941</v>
      </c>
      <c r="S25" s="99" t="s">
        <v>191</v>
      </c>
      <c r="T25" s="99">
        <v>10</v>
      </c>
      <c r="U25" s="99">
        <v>73</v>
      </c>
      <c r="V25" s="99" t="s">
        <v>183</v>
      </c>
      <c r="W25" s="125">
        <f t="shared" si="5"/>
        <v>136.98630136986301</v>
      </c>
    </row>
    <row r="26" spans="1:23" x14ac:dyDescent="0.25">
      <c r="A26" s="112"/>
      <c r="B26" s="32"/>
      <c r="C26" s="32"/>
      <c r="D26" s="32"/>
      <c r="E26" s="110"/>
      <c r="J26" s="99"/>
      <c r="K26" s="99"/>
      <c r="L26" s="99"/>
      <c r="M26" s="99"/>
      <c r="N26" s="99"/>
      <c r="S26" s="99"/>
      <c r="T26" s="99"/>
      <c r="U26" s="99"/>
      <c r="V26" s="99"/>
      <c r="W26" s="26"/>
    </row>
    <row r="27" spans="1:23" x14ac:dyDescent="0.25">
      <c r="A27" s="111"/>
      <c r="B27" s="65"/>
      <c r="C27" s="32"/>
      <c r="D27" s="32"/>
      <c r="E27" s="110"/>
      <c r="J27" s="99" t="s">
        <v>190</v>
      </c>
      <c r="K27" s="99" t="s">
        <v>125</v>
      </c>
      <c r="L27" s="99" t="s">
        <v>176</v>
      </c>
      <c r="M27" s="99" t="s">
        <v>189</v>
      </c>
      <c r="N27" s="99"/>
      <c r="S27" s="99" t="s">
        <v>190</v>
      </c>
      <c r="T27" s="99" t="s">
        <v>125</v>
      </c>
      <c r="U27" s="99" t="s">
        <v>176</v>
      </c>
      <c r="V27" s="99" t="s">
        <v>189</v>
      </c>
      <c r="W27" s="26"/>
    </row>
    <row r="28" spans="1:23" x14ac:dyDescent="0.25">
      <c r="A28" s="32"/>
      <c r="B28" s="32"/>
      <c r="C28" s="32"/>
      <c r="D28" s="32"/>
      <c r="E28" s="110"/>
      <c r="J28" s="99"/>
      <c r="K28" s="99" t="s">
        <v>188</v>
      </c>
      <c r="L28" s="99" t="s">
        <v>187</v>
      </c>
      <c r="M28" s="99"/>
      <c r="N28" s="99"/>
      <c r="S28" s="99"/>
      <c r="T28" s="99" t="s">
        <v>188</v>
      </c>
      <c r="U28" s="99" t="s">
        <v>187</v>
      </c>
      <c r="V28" s="99"/>
      <c r="W28" s="26"/>
    </row>
    <row r="29" spans="1:23" x14ac:dyDescent="0.25">
      <c r="A29" s="32"/>
      <c r="B29" s="32"/>
      <c r="C29" s="32"/>
      <c r="D29" s="32"/>
      <c r="E29" s="110"/>
      <c r="J29" s="99" t="s">
        <v>186</v>
      </c>
      <c r="K29" s="99">
        <v>10</v>
      </c>
      <c r="L29" s="99">
        <v>95</v>
      </c>
      <c r="M29" s="99" t="s">
        <v>183</v>
      </c>
      <c r="N29" s="125">
        <f>K29/L29*1000</f>
        <v>105.26315789473684</v>
      </c>
      <c r="S29" s="99" t="s">
        <v>186</v>
      </c>
      <c r="T29" s="99">
        <v>10</v>
      </c>
      <c r="U29" s="99">
        <v>77.5</v>
      </c>
      <c r="V29" s="99" t="s">
        <v>183</v>
      </c>
      <c r="W29" s="125">
        <f>T29/U29*1000</f>
        <v>129.03225806451613</v>
      </c>
    </row>
    <row r="30" spans="1:23" x14ac:dyDescent="0.25">
      <c r="A30" s="32"/>
      <c r="B30" s="32"/>
      <c r="C30" s="32"/>
      <c r="D30" s="32"/>
      <c r="E30" s="110"/>
      <c r="J30" s="99" t="s">
        <v>185</v>
      </c>
      <c r="K30" s="99">
        <v>10</v>
      </c>
      <c r="L30" s="99">
        <v>88</v>
      </c>
      <c r="M30" s="99" t="s">
        <v>183</v>
      </c>
      <c r="N30" s="125">
        <f t="shared" ref="N30:N31" si="6">K30/L30*1000</f>
        <v>113.63636363636363</v>
      </c>
      <c r="S30" s="99" t="s">
        <v>185</v>
      </c>
      <c r="T30" s="99">
        <v>10</v>
      </c>
      <c r="U30" s="99">
        <v>80.2</v>
      </c>
      <c r="V30" s="99" t="s">
        <v>183</v>
      </c>
      <c r="W30" s="125">
        <f t="shared" ref="W30:W31" si="7">T30/U30*1000</f>
        <v>124.68827930174562</v>
      </c>
    </row>
    <row r="31" spans="1:23" x14ac:dyDescent="0.25">
      <c r="J31" s="99" t="s">
        <v>184</v>
      </c>
      <c r="K31" s="99">
        <v>10</v>
      </c>
      <c r="L31" s="99">
        <v>86</v>
      </c>
      <c r="M31" s="99" t="s">
        <v>183</v>
      </c>
      <c r="N31" s="125">
        <f t="shared" si="6"/>
        <v>116.27906976744185</v>
      </c>
      <c r="S31" s="99" t="s">
        <v>184</v>
      </c>
      <c r="T31" s="99">
        <v>10</v>
      </c>
      <c r="U31" s="99">
        <v>81</v>
      </c>
      <c r="V31" s="99" t="s">
        <v>183</v>
      </c>
      <c r="W31" s="125">
        <f t="shared" si="7"/>
        <v>123.45679012345678</v>
      </c>
    </row>
  </sheetData>
  <pageMargins left="0.7" right="0.7" top="0.75" bottom="0.75" header="0.3" footer="0.3"/>
  <pageSetup orientation="portrait" verticalDpi="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64"/>
  <sheetViews>
    <sheetView workbookViewId="0">
      <selection activeCell="I3" sqref="I3"/>
    </sheetView>
  </sheetViews>
  <sheetFormatPr defaultRowHeight="15" x14ac:dyDescent="0.25"/>
  <sheetData>
    <row r="1" spans="1:8" x14ac:dyDescent="0.25">
      <c r="A1" t="s">
        <v>206</v>
      </c>
    </row>
    <row r="2" spans="1:8" x14ac:dyDescent="0.25">
      <c r="A2" t="s">
        <v>207</v>
      </c>
    </row>
    <row r="4" spans="1:8" x14ac:dyDescent="0.25">
      <c r="A4" t="s">
        <v>208</v>
      </c>
      <c r="B4" t="s">
        <v>209</v>
      </c>
      <c r="C4" t="s">
        <v>210</v>
      </c>
      <c r="D4" t="s">
        <v>211</v>
      </c>
      <c r="F4" t="s">
        <v>212</v>
      </c>
    </row>
    <row r="5" spans="1:8" x14ac:dyDescent="0.25">
      <c r="A5">
        <v>400</v>
      </c>
      <c r="B5">
        <v>130</v>
      </c>
      <c r="C5">
        <v>220</v>
      </c>
      <c r="D5">
        <v>230</v>
      </c>
      <c r="F5">
        <f>A5</f>
        <v>400</v>
      </c>
      <c r="G5" t="s">
        <v>213</v>
      </c>
      <c r="H5">
        <f>AVERAGE($F$5:$F$64)</f>
        <v>225.91666666666666</v>
      </c>
    </row>
    <row r="6" spans="1:8" x14ac:dyDescent="0.25">
      <c r="A6">
        <v>300</v>
      </c>
      <c r="B6">
        <v>300</v>
      </c>
      <c r="C6">
        <v>230</v>
      </c>
      <c r="D6">
        <v>230</v>
      </c>
      <c r="F6" s="94">
        <f t="shared" ref="F6:F18" si="0">A6</f>
        <v>300</v>
      </c>
      <c r="G6" t="s">
        <v>214</v>
      </c>
      <c r="H6">
        <f>AVEDEV($F$5:$F$64)</f>
        <v>62.402777777777786</v>
      </c>
    </row>
    <row r="7" spans="1:8" x14ac:dyDescent="0.25">
      <c r="A7">
        <v>400</v>
      </c>
      <c r="B7">
        <v>280</v>
      </c>
      <c r="C7">
        <v>260</v>
      </c>
      <c r="D7">
        <v>210</v>
      </c>
      <c r="F7" s="94">
        <f t="shared" si="0"/>
        <v>400</v>
      </c>
    </row>
    <row r="8" spans="1:8" x14ac:dyDescent="0.25">
      <c r="A8">
        <v>200</v>
      </c>
      <c r="B8">
        <v>150</v>
      </c>
      <c r="C8">
        <v>290</v>
      </c>
      <c r="D8">
        <v>225</v>
      </c>
      <c r="F8" s="94">
        <f t="shared" si="0"/>
        <v>200</v>
      </c>
    </row>
    <row r="9" spans="1:8" x14ac:dyDescent="0.25">
      <c r="A9">
        <v>250</v>
      </c>
      <c r="B9">
        <v>150</v>
      </c>
      <c r="C9">
        <v>375</v>
      </c>
      <c r="D9">
        <v>200</v>
      </c>
      <c r="F9" s="94">
        <f t="shared" si="0"/>
        <v>250</v>
      </c>
    </row>
    <row r="10" spans="1:8" x14ac:dyDescent="0.25">
      <c r="A10">
        <v>180</v>
      </c>
      <c r="B10">
        <v>100</v>
      </c>
      <c r="C10">
        <v>240</v>
      </c>
      <c r="D10">
        <v>525</v>
      </c>
      <c r="F10" s="94">
        <f t="shared" si="0"/>
        <v>180</v>
      </c>
    </row>
    <row r="11" spans="1:8" x14ac:dyDescent="0.25">
      <c r="A11">
        <v>205</v>
      </c>
      <c r="B11">
        <v>150</v>
      </c>
      <c r="C11">
        <v>360</v>
      </c>
      <c r="D11">
        <v>140</v>
      </c>
      <c r="F11" s="94">
        <f t="shared" si="0"/>
        <v>205</v>
      </c>
    </row>
    <row r="12" spans="1:8" x14ac:dyDescent="0.25">
      <c r="A12">
        <v>200</v>
      </c>
      <c r="B12">
        <v>180</v>
      </c>
      <c r="C12">
        <v>250</v>
      </c>
      <c r="D12">
        <v>140</v>
      </c>
      <c r="F12" s="94">
        <f t="shared" si="0"/>
        <v>200</v>
      </c>
    </row>
    <row r="13" spans="1:8" x14ac:dyDescent="0.25">
      <c r="A13">
        <v>205</v>
      </c>
      <c r="B13">
        <v>450</v>
      </c>
      <c r="C13">
        <v>255</v>
      </c>
      <c r="D13">
        <v>250</v>
      </c>
      <c r="F13" s="94">
        <f t="shared" si="0"/>
        <v>205</v>
      </c>
    </row>
    <row r="14" spans="1:8" x14ac:dyDescent="0.25">
      <c r="A14">
        <v>200</v>
      </c>
      <c r="B14">
        <v>100</v>
      </c>
      <c r="C14">
        <v>270</v>
      </c>
      <c r="D14">
        <v>150</v>
      </c>
      <c r="F14" s="94">
        <f t="shared" si="0"/>
        <v>200</v>
      </c>
    </row>
    <row r="15" spans="1:8" x14ac:dyDescent="0.25">
      <c r="A15">
        <v>220</v>
      </c>
      <c r="B15">
        <v>150</v>
      </c>
      <c r="C15">
        <v>270</v>
      </c>
      <c r="D15">
        <v>160</v>
      </c>
      <c r="F15" s="94">
        <f t="shared" si="0"/>
        <v>220</v>
      </c>
    </row>
    <row r="16" spans="1:8" x14ac:dyDescent="0.25">
      <c r="A16">
        <v>180</v>
      </c>
      <c r="B16">
        <v>120</v>
      </c>
      <c r="C16">
        <v>150</v>
      </c>
      <c r="D16">
        <v>160</v>
      </c>
      <c r="F16" s="94">
        <f t="shared" si="0"/>
        <v>180</v>
      </c>
    </row>
    <row r="17" spans="1:6" x14ac:dyDescent="0.25">
      <c r="A17">
        <v>160</v>
      </c>
      <c r="B17">
        <v>220</v>
      </c>
      <c r="C17">
        <v>175</v>
      </c>
      <c r="D17">
        <v>320</v>
      </c>
      <c r="F17" s="94">
        <f t="shared" si="0"/>
        <v>160</v>
      </c>
    </row>
    <row r="18" spans="1:6" x14ac:dyDescent="0.25">
      <c r="A18">
        <v>190</v>
      </c>
      <c r="B18">
        <v>260</v>
      </c>
      <c r="C18">
        <v>175</v>
      </c>
      <c r="D18">
        <v>150</v>
      </c>
      <c r="F18" s="94">
        <f t="shared" si="0"/>
        <v>190</v>
      </c>
    </row>
    <row r="19" spans="1:6" x14ac:dyDescent="0.25">
      <c r="C19">
        <v>185</v>
      </c>
      <c r="D19">
        <v>295</v>
      </c>
      <c r="F19">
        <f>B5</f>
        <v>130</v>
      </c>
    </row>
    <row r="20" spans="1:6" x14ac:dyDescent="0.25">
      <c r="C20">
        <v>205</v>
      </c>
      <c r="D20">
        <v>230</v>
      </c>
      <c r="F20" s="94">
        <f t="shared" ref="F20:F32" si="1">B6</f>
        <v>300</v>
      </c>
    </row>
    <row r="21" spans="1:6" x14ac:dyDescent="0.25">
      <c r="F21" s="94">
        <f t="shared" si="1"/>
        <v>280</v>
      </c>
    </row>
    <row r="22" spans="1:6" x14ac:dyDescent="0.25">
      <c r="A22">
        <f>AVERAGE(A5:A18)</f>
        <v>235</v>
      </c>
      <c r="B22" s="94">
        <f t="shared" ref="B22" si="2">AVERAGE(B5:B18)</f>
        <v>195.71428571428572</v>
      </c>
      <c r="C22" s="94">
        <f>AVERAGE(C5:C20)</f>
        <v>244.375</v>
      </c>
      <c r="D22" s="94">
        <f>AVERAGE(D5:D20)</f>
        <v>225.9375</v>
      </c>
      <c r="F22" s="94">
        <f t="shared" si="1"/>
        <v>150</v>
      </c>
    </row>
    <row r="23" spans="1:6" x14ac:dyDescent="0.25">
      <c r="A23">
        <f>AVEDEV(A5:A18)</f>
        <v>58.571428571428569</v>
      </c>
      <c r="B23" s="94">
        <f t="shared" ref="B23" si="3">AVEDEV(B5:B18)</f>
        <v>75.91836734693878</v>
      </c>
      <c r="C23" s="94">
        <f>AVEDEV(C5:C20)</f>
        <v>46.875</v>
      </c>
      <c r="D23" s="94">
        <f>AVEDEV(D5:D20)</f>
        <v>62.3046875</v>
      </c>
      <c r="F23" s="94">
        <f t="shared" si="1"/>
        <v>150</v>
      </c>
    </row>
    <row r="24" spans="1:6" x14ac:dyDescent="0.25">
      <c r="F24" s="94">
        <f t="shared" si="1"/>
        <v>100</v>
      </c>
    </row>
    <row r="25" spans="1:6" x14ac:dyDescent="0.25">
      <c r="F25" s="94">
        <f t="shared" si="1"/>
        <v>150</v>
      </c>
    </row>
    <row r="26" spans="1:6" x14ac:dyDescent="0.25">
      <c r="F26" s="94">
        <f t="shared" si="1"/>
        <v>180</v>
      </c>
    </row>
    <row r="27" spans="1:6" x14ac:dyDescent="0.25">
      <c r="F27" s="94">
        <f t="shared" si="1"/>
        <v>450</v>
      </c>
    </row>
    <row r="28" spans="1:6" x14ac:dyDescent="0.25">
      <c r="F28" s="94">
        <f t="shared" si="1"/>
        <v>100</v>
      </c>
    </row>
    <row r="29" spans="1:6" x14ac:dyDescent="0.25">
      <c r="F29" s="94">
        <f t="shared" si="1"/>
        <v>150</v>
      </c>
    </row>
    <row r="30" spans="1:6" x14ac:dyDescent="0.25">
      <c r="F30" s="94">
        <f t="shared" si="1"/>
        <v>120</v>
      </c>
    </row>
    <row r="31" spans="1:6" x14ac:dyDescent="0.25">
      <c r="F31" s="94">
        <f t="shared" si="1"/>
        <v>220</v>
      </c>
    </row>
    <row r="32" spans="1:6" x14ac:dyDescent="0.25">
      <c r="F32" s="94">
        <f t="shared" si="1"/>
        <v>260</v>
      </c>
    </row>
    <row r="33" spans="6:6" x14ac:dyDescent="0.25">
      <c r="F33">
        <f>C5</f>
        <v>220</v>
      </c>
    </row>
    <row r="34" spans="6:6" x14ac:dyDescent="0.25">
      <c r="F34" s="94">
        <f t="shared" ref="F34:F48" si="4">C6</f>
        <v>230</v>
      </c>
    </row>
    <row r="35" spans="6:6" x14ac:dyDescent="0.25">
      <c r="F35" s="94">
        <f t="shared" si="4"/>
        <v>260</v>
      </c>
    </row>
    <row r="36" spans="6:6" x14ac:dyDescent="0.25">
      <c r="F36" s="94">
        <f t="shared" si="4"/>
        <v>290</v>
      </c>
    </row>
    <row r="37" spans="6:6" x14ac:dyDescent="0.25">
      <c r="F37" s="94">
        <f t="shared" si="4"/>
        <v>375</v>
      </c>
    </row>
    <row r="38" spans="6:6" x14ac:dyDescent="0.25">
      <c r="F38" s="94">
        <f t="shared" si="4"/>
        <v>240</v>
      </c>
    </row>
    <row r="39" spans="6:6" x14ac:dyDescent="0.25">
      <c r="F39" s="94">
        <f t="shared" si="4"/>
        <v>360</v>
      </c>
    </row>
    <row r="40" spans="6:6" x14ac:dyDescent="0.25">
      <c r="F40" s="94">
        <f t="shared" si="4"/>
        <v>250</v>
      </c>
    </row>
    <row r="41" spans="6:6" x14ac:dyDescent="0.25">
      <c r="F41" s="94">
        <f t="shared" si="4"/>
        <v>255</v>
      </c>
    </row>
    <row r="42" spans="6:6" x14ac:dyDescent="0.25">
      <c r="F42" s="94">
        <f t="shared" si="4"/>
        <v>270</v>
      </c>
    </row>
    <row r="43" spans="6:6" x14ac:dyDescent="0.25">
      <c r="F43" s="94">
        <f t="shared" si="4"/>
        <v>270</v>
      </c>
    </row>
    <row r="44" spans="6:6" x14ac:dyDescent="0.25">
      <c r="F44" s="94">
        <f t="shared" si="4"/>
        <v>150</v>
      </c>
    </row>
    <row r="45" spans="6:6" x14ac:dyDescent="0.25">
      <c r="F45" s="94">
        <f t="shared" si="4"/>
        <v>175</v>
      </c>
    </row>
    <row r="46" spans="6:6" x14ac:dyDescent="0.25">
      <c r="F46" s="94">
        <f t="shared" si="4"/>
        <v>175</v>
      </c>
    </row>
    <row r="47" spans="6:6" x14ac:dyDescent="0.25">
      <c r="F47" s="94">
        <f t="shared" si="4"/>
        <v>185</v>
      </c>
    </row>
    <row r="48" spans="6:6" x14ac:dyDescent="0.25">
      <c r="F48" s="94">
        <f t="shared" si="4"/>
        <v>205</v>
      </c>
    </row>
    <row r="49" spans="6:6" x14ac:dyDescent="0.25">
      <c r="F49">
        <f>D5</f>
        <v>230</v>
      </c>
    </row>
    <row r="50" spans="6:6" x14ac:dyDescent="0.25">
      <c r="F50" s="94">
        <f t="shared" ref="F50:F64" si="5">D6</f>
        <v>230</v>
      </c>
    </row>
    <row r="51" spans="6:6" x14ac:dyDescent="0.25">
      <c r="F51" s="94">
        <f t="shared" si="5"/>
        <v>210</v>
      </c>
    </row>
    <row r="52" spans="6:6" x14ac:dyDescent="0.25">
      <c r="F52" s="94">
        <f t="shared" si="5"/>
        <v>225</v>
      </c>
    </row>
    <row r="53" spans="6:6" x14ac:dyDescent="0.25">
      <c r="F53" s="94">
        <f t="shared" si="5"/>
        <v>200</v>
      </c>
    </row>
    <row r="54" spans="6:6" x14ac:dyDescent="0.25">
      <c r="F54" s="94">
        <f t="shared" si="5"/>
        <v>525</v>
      </c>
    </row>
    <row r="55" spans="6:6" x14ac:dyDescent="0.25">
      <c r="F55" s="94">
        <f t="shared" si="5"/>
        <v>140</v>
      </c>
    </row>
    <row r="56" spans="6:6" x14ac:dyDescent="0.25">
      <c r="F56" s="94">
        <f t="shared" si="5"/>
        <v>140</v>
      </c>
    </row>
    <row r="57" spans="6:6" x14ac:dyDescent="0.25">
      <c r="F57" s="94">
        <f t="shared" si="5"/>
        <v>250</v>
      </c>
    </row>
    <row r="58" spans="6:6" x14ac:dyDescent="0.25">
      <c r="F58" s="94">
        <f t="shared" si="5"/>
        <v>150</v>
      </c>
    </row>
    <row r="59" spans="6:6" x14ac:dyDescent="0.25">
      <c r="F59" s="94">
        <f t="shared" si="5"/>
        <v>160</v>
      </c>
    </row>
    <row r="60" spans="6:6" x14ac:dyDescent="0.25">
      <c r="F60" s="94">
        <f t="shared" si="5"/>
        <v>160</v>
      </c>
    </row>
    <row r="61" spans="6:6" x14ac:dyDescent="0.25">
      <c r="F61" s="94">
        <f t="shared" si="5"/>
        <v>320</v>
      </c>
    </row>
    <row r="62" spans="6:6" x14ac:dyDescent="0.25">
      <c r="F62" s="94">
        <f t="shared" si="5"/>
        <v>150</v>
      </c>
    </row>
    <row r="63" spans="6:6" x14ac:dyDescent="0.25">
      <c r="F63" s="94">
        <f t="shared" si="5"/>
        <v>295</v>
      </c>
    </row>
    <row r="64" spans="6:6" x14ac:dyDescent="0.25">
      <c r="F64" s="94">
        <f t="shared" si="5"/>
        <v>230</v>
      </c>
    </row>
  </sheetData>
  <pageMargins left="0.7" right="0.7" top="0.75" bottom="0.75" header="0.3" footer="0.3"/>
  <pageSetup orientation="portrait" verticalDpi="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AJ169"/>
  <sheetViews>
    <sheetView topLeftCell="AE50" zoomScaleNormal="100" workbookViewId="0">
      <selection activeCell="M60" sqref="M60"/>
    </sheetView>
  </sheetViews>
  <sheetFormatPr defaultRowHeight="15" x14ac:dyDescent="0.25"/>
  <cols>
    <col min="1" max="2" width="9.140625" style="94"/>
    <col min="3" max="3" width="9.140625" style="94" customWidth="1"/>
    <col min="4" max="5" width="10.42578125" style="94" customWidth="1"/>
    <col min="6" max="13" width="9.140625" style="94"/>
    <col min="14" max="15" width="10.42578125" style="94" customWidth="1"/>
    <col min="16" max="16" width="9.140625" style="94"/>
    <col min="17" max="19" width="10.42578125" style="94" customWidth="1"/>
    <col min="20" max="21" width="9.140625" style="94"/>
    <col min="22" max="22" width="9.7109375" style="94" customWidth="1"/>
    <col min="23" max="23" width="9.140625" style="94"/>
    <col min="24" max="25" width="10.42578125" style="94" customWidth="1"/>
    <col min="26" max="16384" width="9.140625" style="94"/>
  </cols>
  <sheetData>
    <row r="1" spans="2:29" ht="18.75" x14ac:dyDescent="0.25">
      <c r="B1" s="133" t="s">
        <v>249</v>
      </c>
      <c r="C1" s="145"/>
      <c r="D1" s="145"/>
      <c r="E1" s="145"/>
      <c r="F1" s="145"/>
      <c r="G1" s="145"/>
      <c r="H1" s="145"/>
      <c r="I1" s="145"/>
      <c r="J1" s="145"/>
      <c r="K1" s="145"/>
      <c r="L1" s="145"/>
      <c r="M1" s="144"/>
      <c r="N1" s="132"/>
      <c r="O1" s="132"/>
      <c r="P1" s="132"/>
      <c r="Q1" s="132"/>
      <c r="R1" s="132"/>
      <c r="S1" s="132"/>
      <c r="T1" s="132"/>
      <c r="U1" s="132"/>
      <c r="V1" s="131"/>
      <c r="W1" s="131"/>
      <c r="X1" s="6"/>
      <c r="Y1" s="6"/>
      <c r="Z1" s="6"/>
    </row>
    <row r="2" spans="2:29" ht="18.75" x14ac:dyDescent="0.25">
      <c r="B2" s="133"/>
      <c r="C2" s="145"/>
      <c r="D2" s="145"/>
      <c r="E2" s="145"/>
      <c r="F2" s="145"/>
      <c r="G2" s="145"/>
      <c r="H2" s="145"/>
      <c r="I2" s="145"/>
      <c r="J2" s="145"/>
      <c r="K2" s="145"/>
      <c r="L2" s="145"/>
      <c r="M2" s="144"/>
      <c r="N2" s="132"/>
      <c r="O2" s="132"/>
      <c r="P2" s="132"/>
      <c r="Q2" s="132"/>
      <c r="R2" s="132"/>
      <c r="S2" s="132"/>
      <c r="T2" s="132"/>
      <c r="U2" s="132"/>
      <c r="V2" s="131"/>
      <c r="W2" s="131"/>
      <c r="X2" s="6"/>
      <c r="Y2" s="6"/>
      <c r="Z2" s="6"/>
    </row>
    <row r="3" spans="2:29" ht="18.75" x14ac:dyDescent="0.25">
      <c r="B3" s="133" t="s">
        <v>248</v>
      </c>
      <c r="C3" s="145"/>
      <c r="D3" s="145"/>
      <c r="E3" s="145"/>
      <c r="F3" s="145"/>
      <c r="G3" s="145"/>
      <c r="H3" s="145"/>
      <c r="I3" s="145"/>
      <c r="J3" s="145"/>
      <c r="K3" s="145"/>
      <c r="L3" s="145"/>
      <c r="M3" s="144"/>
      <c r="N3" s="132"/>
      <c r="O3" s="133" t="s">
        <v>247</v>
      </c>
      <c r="P3" s="132"/>
      <c r="Q3" s="132"/>
      <c r="R3" s="132"/>
      <c r="S3" s="132"/>
      <c r="T3" s="132"/>
      <c r="U3" s="132"/>
      <c r="V3" s="131"/>
      <c r="W3" s="131"/>
      <c r="X3" s="6"/>
      <c r="Y3" s="6"/>
      <c r="Z3" s="133" t="s">
        <v>365</v>
      </c>
    </row>
    <row r="4" spans="2:29" ht="15.75" x14ac:dyDescent="0.25">
      <c r="B4" s="70"/>
      <c r="C4" s="70"/>
      <c r="D4" s="70"/>
      <c r="E4" s="70"/>
      <c r="F4" s="70"/>
      <c r="G4" s="70"/>
      <c r="H4" s="70"/>
      <c r="I4" s="70"/>
      <c r="J4" s="70"/>
      <c r="K4" s="70"/>
      <c r="L4" s="70"/>
      <c r="M4" s="126"/>
      <c r="N4" s="126"/>
      <c r="O4" s="126"/>
      <c r="P4" s="126"/>
      <c r="Q4" s="126"/>
      <c r="R4" s="126"/>
      <c r="S4" s="126"/>
      <c r="T4" s="126"/>
      <c r="U4" s="126"/>
      <c r="V4" s="126"/>
      <c r="W4" s="126"/>
    </row>
    <row r="5" spans="2:29" ht="15.75" x14ac:dyDescent="0.25">
      <c r="B5" s="41" t="s">
        <v>41</v>
      </c>
      <c r="C5" s="41" t="s">
        <v>134</v>
      </c>
      <c r="D5" s="41" t="s">
        <v>222</v>
      </c>
      <c r="E5" s="41" t="s">
        <v>221</v>
      </c>
      <c r="F5" s="41" t="s">
        <v>220</v>
      </c>
      <c r="G5" s="129" t="s">
        <v>219</v>
      </c>
      <c r="H5" s="128" t="s">
        <v>218</v>
      </c>
      <c r="I5" s="128" t="s">
        <v>250</v>
      </c>
      <c r="J5" s="128" t="s">
        <v>52</v>
      </c>
      <c r="K5" s="126"/>
      <c r="L5" s="126"/>
      <c r="M5" s="126"/>
      <c r="N5" s="126"/>
      <c r="O5" s="41" t="s">
        <v>41</v>
      </c>
      <c r="P5" s="41" t="s">
        <v>134</v>
      </c>
      <c r="Q5" s="41" t="s">
        <v>222</v>
      </c>
      <c r="R5" s="41" t="s">
        <v>221</v>
      </c>
      <c r="S5" s="41" t="s">
        <v>220</v>
      </c>
      <c r="T5" s="129" t="s">
        <v>219</v>
      </c>
      <c r="U5" s="146" t="s">
        <v>218</v>
      </c>
      <c r="V5" s="129" t="s">
        <v>250</v>
      </c>
      <c r="W5" s="151" t="s">
        <v>52</v>
      </c>
    </row>
    <row r="6" spans="2:29" ht="15.75" x14ac:dyDescent="0.25">
      <c r="B6" s="41">
        <v>1</v>
      </c>
      <c r="C6" s="24">
        <v>2510</v>
      </c>
      <c r="D6" s="24">
        <v>8.5</v>
      </c>
      <c r="E6" s="24">
        <v>19.600000000000001</v>
      </c>
      <c r="F6" s="127" t="s">
        <v>51</v>
      </c>
      <c r="G6" s="127">
        <v>6.9</v>
      </c>
      <c r="H6" s="127" t="s">
        <v>84</v>
      </c>
      <c r="I6" s="127" t="s">
        <v>83</v>
      </c>
      <c r="J6" s="127" t="s">
        <v>84</v>
      </c>
      <c r="K6" s="126"/>
      <c r="L6" s="126"/>
      <c r="M6" s="126"/>
      <c r="N6" s="126"/>
      <c r="O6" s="41">
        <v>1</v>
      </c>
      <c r="P6" s="24">
        <v>5311</v>
      </c>
      <c r="Q6" s="24">
        <v>7.2</v>
      </c>
      <c r="R6" s="24">
        <v>21</v>
      </c>
      <c r="S6" s="127" t="s">
        <v>51</v>
      </c>
      <c r="T6" s="127">
        <v>7.1</v>
      </c>
      <c r="U6" s="147" t="s">
        <v>84</v>
      </c>
      <c r="V6" s="156" t="s">
        <v>83</v>
      </c>
      <c r="W6" s="152" t="s">
        <v>84</v>
      </c>
      <c r="Z6" s="94">
        <f>P6</f>
        <v>5311</v>
      </c>
      <c r="AA6" s="94">
        <f t="shared" ref="AA6:AB6" si="0">Q6</f>
        <v>7.2</v>
      </c>
      <c r="AB6" s="94">
        <f t="shared" si="0"/>
        <v>21</v>
      </c>
      <c r="AC6" s="94">
        <f>T6</f>
        <v>7.1</v>
      </c>
    </row>
    <row r="7" spans="2:29" ht="15.75" x14ac:dyDescent="0.25">
      <c r="B7" s="41">
        <v>2</v>
      </c>
      <c r="C7" s="24">
        <v>2491</v>
      </c>
      <c r="D7" s="24">
        <v>90.4</v>
      </c>
      <c r="E7" s="24">
        <v>155.30000000000001</v>
      </c>
      <c r="F7" s="127" t="s">
        <v>51</v>
      </c>
      <c r="G7" s="134" t="s">
        <v>246</v>
      </c>
      <c r="H7" s="134" t="s">
        <v>83</v>
      </c>
      <c r="I7" s="134" t="s">
        <v>83</v>
      </c>
      <c r="J7" s="134" t="s">
        <v>83</v>
      </c>
      <c r="K7" s="126"/>
      <c r="L7" s="126"/>
      <c r="M7" s="126"/>
      <c r="N7" s="126"/>
      <c r="O7" s="41">
        <v>2</v>
      </c>
      <c r="P7" s="24">
        <v>5313</v>
      </c>
      <c r="Q7" s="24">
        <v>6.7</v>
      </c>
      <c r="R7" s="24">
        <v>13.2</v>
      </c>
      <c r="S7" s="127" t="s">
        <v>51</v>
      </c>
      <c r="T7" s="127">
        <v>7.1</v>
      </c>
      <c r="U7" s="147" t="s">
        <v>84</v>
      </c>
      <c r="V7" s="156" t="s">
        <v>83</v>
      </c>
      <c r="W7" s="152" t="s">
        <v>84</v>
      </c>
      <c r="Z7" s="94">
        <f t="shared" ref="Z7:Z11" si="1">P7</f>
        <v>5313</v>
      </c>
      <c r="AA7" s="94">
        <f t="shared" ref="AA7:AA11" si="2">Q7</f>
        <v>6.7</v>
      </c>
      <c r="AB7" s="94">
        <f t="shared" ref="AB7:AB11" si="3">R7</f>
        <v>13.2</v>
      </c>
      <c r="AC7" s="94">
        <f t="shared" ref="AC7:AC11" si="4">T7</f>
        <v>7.1</v>
      </c>
    </row>
    <row r="8" spans="2:29" ht="15.75" x14ac:dyDescent="0.25">
      <c r="B8" s="41">
        <v>3</v>
      </c>
      <c r="C8" s="24">
        <v>2503</v>
      </c>
      <c r="D8" s="24">
        <v>6</v>
      </c>
      <c r="E8" s="24">
        <v>11</v>
      </c>
      <c r="F8" s="127" t="s">
        <v>51</v>
      </c>
      <c r="G8" s="127">
        <v>6.9</v>
      </c>
      <c r="H8" s="127" t="s">
        <v>84</v>
      </c>
      <c r="I8" s="127" t="s">
        <v>83</v>
      </c>
      <c r="J8" s="127" t="s">
        <v>84</v>
      </c>
      <c r="K8" s="126"/>
      <c r="L8" s="126"/>
      <c r="M8" s="126"/>
      <c r="N8" s="126"/>
      <c r="O8" s="41">
        <v>3</v>
      </c>
      <c r="P8" s="24">
        <v>5312</v>
      </c>
      <c r="Q8" s="24">
        <v>10.4</v>
      </c>
      <c r="R8" s="24">
        <v>25.8</v>
      </c>
      <c r="S8" s="127" t="s">
        <v>51</v>
      </c>
      <c r="T8" s="127">
        <v>7</v>
      </c>
      <c r="U8" s="147" t="s">
        <v>84</v>
      </c>
      <c r="V8" s="156" t="s">
        <v>83</v>
      </c>
      <c r="W8" s="152" t="s">
        <v>84</v>
      </c>
      <c r="Z8" s="94">
        <f t="shared" si="1"/>
        <v>5312</v>
      </c>
      <c r="AA8" s="94">
        <f t="shared" si="2"/>
        <v>10.4</v>
      </c>
      <c r="AB8" s="94">
        <f t="shared" si="3"/>
        <v>25.8</v>
      </c>
      <c r="AC8" s="94">
        <f t="shared" si="4"/>
        <v>7</v>
      </c>
    </row>
    <row r="9" spans="2:29" ht="15.75" x14ac:dyDescent="0.25">
      <c r="B9" s="41">
        <v>4</v>
      </c>
      <c r="C9" s="24">
        <v>2515</v>
      </c>
      <c r="D9" s="24">
        <v>30.5</v>
      </c>
      <c r="E9" s="24">
        <v>53.1</v>
      </c>
      <c r="F9" s="127" t="s">
        <v>51</v>
      </c>
      <c r="G9" s="127">
        <v>6.9</v>
      </c>
      <c r="H9" s="127" t="s">
        <v>84</v>
      </c>
      <c r="I9" s="127" t="s">
        <v>83</v>
      </c>
      <c r="J9" s="127" t="s">
        <v>84</v>
      </c>
      <c r="K9" s="126"/>
      <c r="L9" s="126"/>
      <c r="M9" s="126"/>
      <c r="N9" s="126"/>
      <c r="O9" s="41">
        <v>4</v>
      </c>
      <c r="P9" s="24">
        <v>5314</v>
      </c>
      <c r="Q9" s="24">
        <v>6</v>
      </c>
      <c r="R9" s="24">
        <v>10.199999999999999</v>
      </c>
      <c r="S9" s="127" t="s">
        <v>51</v>
      </c>
      <c r="T9" s="127">
        <v>7.1</v>
      </c>
      <c r="U9" s="147" t="s">
        <v>84</v>
      </c>
      <c r="V9" s="157" t="s">
        <v>83</v>
      </c>
      <c r="W9" s="152" t="s">
        <v>84</v>
      </c>
      <c r="Z9" s="94">
        <f t="shared" si="1"/>
        <v>5314</v>
      </c>
      <c r="AA9" s="94">
        <f t="shared" si="2"/>
        <v>6</v>
      </c>
      <c r="AB9" s="94">
        <f t="shared" si="3"/>
        <v>10.199999999999999</v>
      </c>
      <c r="AC9" s="94">
        <f t="shared" si="4"/>
        <v>7.1</v>
      </c>
    </row>
    <row r="10" spans="2:29" ht="15.75" x14ac:dyDescent="0.25">
      <c r="B10" s="41">
        <v>5</v>
      </c>
      <c r="C10" s="24">
        <v>2511</v>
      </c>
      <c r="D10" s="24">
        <v>14.7</v>
      </c>
      <c r="E10" s="24">
        <v>38.799999999999997</v>
      </c>
      <c r="F10" s="127" t="s">
        <v>51</v>
      </c>
      <c r="G10" s="127">
        <v>7</v>
      </c>
      <c r="H10" s="127" t="s">
        <v>84</v>
      </c>
      <c r="I10" s="127" t="s">
        <v>83</v>
      </c>
      <c r="J10" s="127" t="s">
        <v>84</v>
      </c>
      <c r="K10" s="126"/>
      <c r="L10" s="126"/>
      <c r="M10" s="126"/>
      <c r="N10" s="126"/>
      <c r="O10" s="41">
        <v>5</v>
      </c>
      <c r="P10" s="24">
        <v>5392</v>
      </c>
      <c r="Q10" s="24">
        <v>9.5</v>
      </c>
      <c r="R10" s="24">
        <v>31</v>
      </c>
      <c r="S10" s="127" t="s">
        <v>51</v>
      </c>
      <c r="T10" s="127">
        <v>7</v>
      </c>
      <c r="U10" s="147" t="s">
        <v>84</v>
      </c>
      <c r="V10" s="157" t="s">
        <v>83</v>
      </c>
      <c r="W10" s="152" t="s">
        <v>84</v>
      </c>
      <c r="Z10" s="94">
        <f t="shared" si="1"/>
        <v>5392</v>
      </c>
      <c r="AA10" s="94">
        <f t="shared" si="2"/>
        <v>9.5</v>
      </c>
      <c r="AB10" s="94">
        <f t="shared" si="3"/>
        <v>31</v>
      </c>
      <c r="AC10" s="94">
        <f t="shared" si="4"/>
        <v>7</v>
      </c>
    </row>
    <row r="11" spans="2:29" ht="15.75" x14ac:dyDescent="0.25">
      <c r="B11" s="41">
        <v>6</v>
      </c>
      <c r="C11" s="24">
        <v>2335</v>
      </c>
      <c r="D11" s="24">
        <v>35</v>
      </c>
      <c r="E11" s="24">
        <v>98.5</v>
      </c>
      <c r="F11" s="127" t="s">
        <v>51</v>
      </c>
      <c r="G11" s="127">
        <v>6.9</v>
      </c>
      <c r="H11" s="143" t="s">
        <v>84</v>
      </c>
      <c r="I11" s="143" t="s">
        <v>83</v>
      </c>
      <c r="J11" s="143" t="s">
        <v>84</v>
      </c>
      <c r="K11" s="126"/>
      <c r="L11" s="126"/>
      <c r="M11" s="126"/>
      <c r="N11" s="126"/>
      <c r="O11" s="41">
        <v>6</v>
      </c>
      <c r="P11" s="24">
        <v>5393</v>
      </c>
      <c r="Q11" s="24">
        <v>14.4</v>
      </c>
      <c r="R11" s="24">
        <v>42.2</v>
      </c>
      <c r="S11" s="127" t="s">
        <v>51</v>
      </c>
      <c r="T11" s="127">
        <v>7</v>
      </c>
      <c r="U11" s="147" t="s">
        <v>84</v>
      </c>
      <c r="V11" s="157" t="s">
        <v>83</v>
      </c>
      <c r="W11" s="152" t="s">
        <v>84</v>
      </c>
      <c r="Z11" s="94">
        <f t="shared" si="1"/>
        <v>5393</v>
      </c>
      <c r="AA11" s="94">
        <f t="shared" si="2"/>
        <v>14.4</v>
      </c>
      <c r="AB11" s="94">
        <f t="shared" si="3"/>
        <v>42.2</v>
      </c>
      <c r="AC11" s="94">
        <f t="shared" si="4"/>
        <v>7</v>
      </c>
    </row>
    <row r="12" spans="2:29" ht="15.75" x14ac:dyDescent="0.25">
      <c r="B12" s="41"/>
      <c r="C12" s="24"/>
      <c r="D12" s="24"/>
      <c r="E12" s="24"/>
      <c r="F12" s="24"/>
      <c r="G12" s="127"/>
      <c r="H12" s="127"/>
      <c r="I12" s="127"/>
      <c r="J12" s="127"/>
      <c r="K12" s="126"/>
      <c r="L12" s="126"/>
      <c r="M12" s="126"/>
      <c r="N12" s="126"/>
      <c r="O12" s="41"/>
      <c r="P12" s="24"/>
      <c r="Q12" s="24"/>
      <c r="R12" s="24"/>
      <c r="S12" s="24"/>
      <c r="T12" s="127"/>
      <c r="U12" s="147"/>
      <c r="V12" s="156"/>
      <c r="W12" s="152"/>
      <c r="Z12" s="196">
        <f>P15</f>
        <v>5328</v>
      </c>
      <c r="AA12" s="94">
        <f t="shared" ref="AA12:AB12" si="5">Q15</f>
        <v>7</v>
      </c>
      <c r="AB12" s="94">
        <f t="shared" si="5"/>
        <v>16</v>
      </c>
      <c r="AC12" s="94">
        <f>T15</f>
        <v>7</v>
      </c>
    </row>
    <row r="13" spans="2:29" ht="15.75" x14ac:dyDescent="0.25">
      <c r="B13" s="41"/>
      <c r="C13" s="24"/>
      <c r="D13" s="24"/>
      <c r="E13" s="24"/>
      <c r="F13" s="24"/>
      <c r="G13" s="127"/>
      <c r="H13" s="127"/>
      <c r="I13" s="127"/>
      <c r="J13" s="127"/>
      <c r="K13" s="126"/>
      <c r="L13" s="126"/>
      <c r="M13" s="126"/>
      <c r="N13" s="126"/>
      <c r="O13" s="41"/>
      <c r="P13" s="24"/>
      <c r="Q13" s="24"/>
      <c r="R13" s="24"/>
      <c r="S13" s="24"/>
      <c r="T13" s="127"/>
      <c r="U13" s="147"/>
      <c r="V13" s="156"/>
      <c r="W13" s="152"/>
      <c r="Z13" s="94">
        <f t="shared" ref="Z13:Z17" si="6">P16</f>
        <v>5330</v>
      </c>
      <c r="AA13" s="94">
        <f t="shared" ref="AA13:AA17" si="7">Q16</f>
        <v>12.5</v>
      </c>
      <c r="AB13" s="94">
        <f t="shared" ref="AB13:AB17" si="8">R16</f>
        <v>27.2</v>
      </c>
      <c r="AC13" s="94">
        <f t="shared" ref="AC13:AC17" si="9">T16</f>
        <v>7</v>
      </c>
    </row>
    <row r="14" spans="2:29" ht="15.75" x14ac:dyDescent="0.25">
      <c r="B14" s="41" t="s">
        <v>47</v>
      </c>
      <c r="C14" s="41" t="s">
        <v>134</v>
      </c>
      <c r="D14" s="41" t="s">
        <v>222</v>
      </c>
      <c r="E14" s="41" t="s">
        <v>221</v>
      </c>
      <c r="F14" s="41" t="s">
        <v>220</v>
      </c>
      <c r="G14" s="129" t="s">
        <v>219</v>
      </c>
      <c r="H14" s="128" t="s">
        <v>218</v>
      </c>
      <c r="I14" s="128"/>
      <c r="J14" s="128" t="s">
        <v>52</v>
      </c>
      <c r="K14" s="126"/>
      <c r="L14" s="126"/>
      <c r="M14" s="126"/>
      <c r="N14" s="126"/>
      <c r="O14" s="41" t="s">
        <v>47</v>
      </c>
      <c r="P14" s="41" t="s">
        <v>134</v>
      </c>
      <c r="Q14" s="41" t="s">
        <v>222</v>
      </c>
      <c r="R14" s="41" t="s">
        <v>221</v>
      </c>
      <c r="S14" s="41" t="s">
        <v>220</v>
      </c>
      <c r="T14" s="129" t="s">
        <v>219</v>
      </c>
      <c r="U14" s="146" t="s">
        <v>218</v>
      </c>
      <c r="V14" s="156"/>
      <c r="W14" s="151" t="s">
        <v>52</v>
      </c>
      <c r="Z14" s="94">
        <f t="shared" si="6"/>
        <v>5331</v>
      </c>
      <c r="AA14" s="94">
        <f t="shared" si="7"/>
        <v>18</v>
      </c>
      <c r="AB14" s="94">
        <f t="shared" si="8"/>
        <v>38.799999999999997</v>
      </c>
      <c r="AC14" s="94">
        <f t="shared" si="9"/>
        <v>7.3</v>
      </c>
    </row>
    <row r="15" spans="2:29" ht="15.75" x14ac:dyDescent="0.25">
      <c r="B15" s="41">
        <v>1</v>
      </c>
      <c r="C15" s="24">
        <v>3503</v>
      </c>
      <c r="D15" s="24">
        <v>24.6</v>
      </c>
      <c r="E15" s="24">
        <v>38.200000000000003</v>
      </c>
      <c r="F15" s="24" t="s">
        <v>51</v>
      </c>
      <c r="G15" s="127">
        <v>6.85</v>
      </c>
      <c r="H15" s="127" t="s">
        <v>84</v>
      </c>
      <c r="I15" s="127" t="s">
        <v>83</v>
      </c>
      <c r="J15" s="127" t="s">
        <v>84</v>
      </c>
      <c r="K15" s="126"/>
      <c r="L15" s="126"/>
      <c r="M15" s="126"/>
      <c r="N15" s="126"/>
      <c r="O15" s="41">
        <v>1</v>
      </c>
      <c r="P15" s="24">
        <v>5328</v>
      </c>
      <c r="Q15" s="24">
        <v>7</v>
      </c>
      <c r="R15" s="24">
        <v>16</v>
      </c>
      <c r="S15" s="24" t="s">
        <v>51</v>
      </c>
      <c r="T15" s="127">
        <v>7</v>
      </c>
      <c r="U15" s="147" t="s">
        <v>84</v>
      </c>
      <c r="V15" s="156" t="s">
        <v>83</v>
      </c>
      <c r="W15" s="152" t="s">
        <v>84</v>
      </c>
      <c r="Z15" s="94">
        <f t="shared" si="6"/>
        <v>5329</v>
      </c>
      <c r="AA15" s="94">
        <f t="shared" si="7"/>
        <v>46.7</v>
      </c>
      <c r="AB15" s="94">
        <f t="shared" si="8"/>
        <v>98.5</v>
      </c>
      <c r="AC15" s="94">
        <f t="shared" si="9"/>
        <v>7</v>
      </c>
    </row>
    <row r="16" spans="2:29" ht="15.75" x14ac:dyDescent="0.25">
      <c r="B16" s="41">
        <v>2</v>
      </c>
      <c r="C16" s="24">
        <v>3500</v>
      </c>
      <c r="D16" s="24">
        <v>28.9</v>
      </c>
      <c r="E16" s="24">
        <v>47.2</v>
      </c>
      <c r="F16" s="24" t="s">
        <v>51</v>
      </c>
      <c r="G16" s="127">
        <v>7.1</v>
      </c>
      <c r="H16" s="127" t="s">
        <v>84</v>
      </c>
      <c r="I16" s="127" t="s">
        <v>83</v>
      </c>
      <c r="J16" s="127" t="s">
        <v>84</v>
      </c>
      <c r="K16" s="126"/>
      <c r="L16" s="126"/>
      <c r="M16" s="126"/>
      <c r="N16" s="126"/>
      <c r="O16" s="41">
        <v>2</v>
      </c>
      <c r="P16" s="24">
        <v>5330</v>
      </c>
      <c r="Q16" s="24">
        <v>12.5</v>
      </c>
      <c r="R16" s="24">
        <v>27.2</v>
      </c>
      <c r="S16" s="24" t="s">
        <v>51</v>
      </c>
      <c r="T16" s="127">
        <v>7</v>
      </c>
      <c r="U16" s="147" t="s">
        <v>84</v>
      </c>
      <c r="V16" s="156" t="s">
        <v>83</v>
      </c>
      <c r="W16" s="152" t="s">
        <v>84</v>
      </c>
      <c r="Z16" s="94">
        <f t="shared" si="6"/>
        <v>5386</v>
      </c>
      <c r="AA16" s="94">
        <f t="shared" si="7"/>
        <v>31.5</v>
      </c>
      <c r="AB16" s="94">
        <f t="shared" si="8"/>
        <v>198</v>
      </c>
      <c r="AC16" s="94">
        <f t="shared" si="9"/>
        <v>6.85</v>
      </c>
    </row>
    <row r="17" spans="2:29" ht="15.75" x14ac:dyDescent="0.25">
      <c r="B17" s="41">
        <v>3</v>
      </c>
      <c r="C17" s="24">
        <v>3528</v>
      </c>
      <c r="D17" s="24" t="s">
        <v>245</v>
      </c>
      <c r="E17" s="24" t="s">
        <v>244</v>
      </c>
      <c r="F17" s="24" t="s">
        <v>51</v>
      </c>
      <c r="G17" s="127">
        <v>7</v>
      </c>
      <c r="H17" s="135" t="s">
        <v>236</v>
      </c>
      <c r="I17" s="135" t="s">
        <v>84</v>
      </c>
      <c r="J17" s="135" t="s">
        <v>83</v>
      </c>
      <c r="K17" s="126"/>
      <c r="L17" s="126"/>
      <c r="M17" s="126"/>
      <c r="N17" s="126"/>
      <c r="O17" s="41">
        <v>3</v>
      </c>
      <c r="P17" s="24">
        <v>5331</v>
      </c>
      <c r="Q17" s="24">
        <v>18</v>
      </c>
      <c r="R17" s="24">
        <v>38.799999999999997</v>
      </c>
      <c r="S17" s="24" t="s">
        <v>51</v>
      </c>
      <c r="T17" s="127">
        <v>7.3</v>
      </c>
      <c r="U17" s="147" t="s">
        <v>84</v>
      </c>
      <c r="V17" s="156" t="s">
        <v>83</v>
      </c>
      <c r="W17" s="152" t="s">
        <v>84</v>
      </c>
      <c r="Z17" s="94">
        <f t="shared" si="6"/>
        <v>5387</v>
      </c>
      <c r="AA17" s="94">
        <f t="shared" si="7"/>
        <v>20.3</v>
      </c>
      <c r="AB17" s="94">
        <f t="shared" si="8"/>
        <v>84</v>
      </c>
      <c r="AC17" s="94">
        <f t="shared" si="9"/>
        <v>6.95</v>
      </c>
    </row>
    <row r="18" spans="2:29" ht="15.75" x14ac:dyDescent="0.25">
      <c r="B18" s="41">
        <v>4</v>
      </c>
      <c r="C18" s="24">
        <v>3461</v>
      </c>
      <c r="D18" s="24" t="s">
        <v>243</v>
      </c>
      <c r="E18" s="24" t="s">
        <v>242</v>
      </c>
      <c r="F18" s="24" t="s">
        <v>51</v>
      </c>
      <c r="G18" s="134" t="s">
        <v>241</v>
      </c>
      <c r="H18" s="134" t="s">
        <v>83</v>
      </c>
      <c r="I18" s="134" t="s">
        <v>84</v>
      </c>
      <c r="J18" s="134" t="s">
        <v>83</v>
      </c>
      <c r="K18" s="126"/>
      <c r="L18" s="126"/>
      <c r="M18" s="126"/>
      <c r="N18" s="126"/>
      <c r="O18" s="41">
        <v>4</v>
      </c>
      <c r="P18" s="24">
        <v>5329</v>
      </c>
      <c r="Q18" s="24">
        <v>46.7</v>
      </c>
      <c r="R18" s="24">
        <v>98.5</v>
      </c>
      <c r="S18" s="24" t="s">
        <v>51</v>
      </c>
      <c r="T18" s="127">
        <v>7</v>
      </c>
      <c r="U18" s="148" t="s">
        <v>236</v>
      </c>
      <c r="V18" s="158" t="s">
        <v>84</v>
      </c>
      <c r="W18" s="153" t="s">
        <v>83</v>
      </c>
      <c r="Z18" s="94">
        <f>P24</f>
        <v>5409</v>
      </c>
      <c r="AA18" s="94">
        <f t="shared" ref="AA18:AB18" si="10">Q24</f>
        <v>61.7</v>
      </c>
      <c r="AB18" s="94">
        <f t="shared" si="10"/>
        <v>208.3</v>
      </c>
      <c r="AC18" s="94">
        <f>T24</f>
        <v>7</v>
      </c>
    </row>
    <row r="19" spans="2:29" ht="15.75" x14ac:dyDescent="0.25">
      <c r="B19" s="41">
        <v>5</v>
      </c>
      <c r="C19" s="24">
        <v>3523</v>
      </c>
      <c r="D19" s="24" t="s">
        <v>240</v>
      </c>
      <c r="E19" s="24" t="s">
        <v>239</v>
      </c>
      <c r="F19" s="24" t="s">
        <v>51</v>
      </c>
      <c r="G19" s="127">
        <v>6.8</v>
      </c>
      <c r="H19" s="142" t="s">
        <v>236</v>
      </c>
      <c r="I19" s="142" t="s">
        <v>84</v>
      </c>
      <c r="J19" s="142" t="s">
        <v>83</v>
      </c>
      <c r="K19" s="126"/>
      <c r="L19" s="126"/>
      <c r="M19" s="126"/>
      <c r="N19" s="126"/>
      <c r="O19" s="41">
        <v>5</v>
      </c>
      <c r="P19" s="24">
        <v>5386</v>
      </c>
      <c r="Q19" s="24">
        <v>31.5</v>
      </c>
      <c r="R19" s="24">
        <v>198</v>
      </c>
      <c r="S19" s="24" t="s">
        <v>51</v>
      </c>
      <c r="T19" s="127">
        <v>6.85</v>
      </c>
      <c r="U19" s="147" t="s">
        <v>84</v>
      </c>
      <c r="V19" s="157" t="s">
        <v>83</v>
      </c>
      <c r="W19" s="152" t="s">
        <v>84</v>
      </c>
      <c r="Z19" s="94">
        <f t="shared" ref="Z19:Z23" si="11">P25</f>
        <v>5410</v>
      </c>
      <c r="AA19" s="94">
        <f t="shared" ref="AA19:AA23" si="12">Q25</f>
        <v>11.4</v>
      </c>
      <c r="AB19" s="94">
        <f t="shared" ref="AB19:AB23" si="13">R25</f>
        <v>20.2</v>
      </c>
      <c r="AC19" s="94">
        <f t="shared" ref="AC19:AC23" si="14">T25</f>
        <v>7.1</v>
      </c>
    </row>
    <row r="20" spans="2:29" ht="15.75" x14ac:dyDescent="0.25">
      <c r="B20" s="41">
        <v>6</v>
      </c>
      <c r="C20" s="24">
        <v>3504</v>
      </c>
      <c r="D20" s="24">
        <v>12.2</v>
      </c>
      <c r="E20" s="24">
        <v>21.9</v>
      </c>
      <c r="F20" s="24" t="s">
        <v>51</v>
      </c>
      <c r="G20" s="127">
        <v>6.8</v>
      </c>
      <c r="H20" s="127" t="s">
        <v>84</v>
      </c>
      <c r="I20" s="127" t="s">
        <v>83</v>
      </c>
      <c r="J20" s="127" t="s">
        <v>84</v>
      </c>
      <c r="K20" s="126"/>
      <c r="L20" s="126"/>
      <c r="M20" s="126"/>
      <c r="N20" s="126"/>
      <c r="O20" s="41">
        <v>6</v>
      </c>
      <c r="P20" s="24">
        <v>5387</v>
      </c>
      <c r="Q20" s="24">
        <v>20.3</v>
      </c>
      <c r="R20" s="24">
        <v>84</v>
      </c>
      <c r="S20" s="24" t="s">
        <v>51</v>
      </c>
      <c r="T20" s="127">
        <v>6.95</v>
      </c>
      <c r="U20" s="148" t="s">
        <v>236</v>
      </c>
      <c r="V20" s="158" t="s">
        <v>84</v>
      </c>
      <c r="W20" s="153" t="s">
        <v>83</v>
      </c>
      <c r="Z20" s="94">
        <f t="shared" si="11"/>
        <v>5241</v>
      </c>
      <c r="AA20" s="94">
        <f t="shared" si="12"/>
        <v>10.9</v>
      </c>
      <c r="AB20" s="94">
        <f t="shared" si="13"/>
        <v>23.6</v>
      </c>
      <c r="AC20" s="94">
        <f t="shared" si="14"/>
        <v>7.1</v>
      </c>
    </row>
    <row r="21" spans="2:29" ht="15.75" x14ac:dyDescent="0.25">
      <c r="B21" s="141"/>
      <c r="C21" s="140"/>
      <c r="D21" s="140"/>
      <c r="E21" s="140"/>
      <c r="F21" s="140"/>
      <c r="G21" s="139"/>
      <c r="H21" s="139"/>
      <c r="I21" s="139"/>
      <c r="J21" s="139"/>
      <c r="K21" s="126"/>
      <c r="L21" s="126"/>
      <c r="M21" s="126"/>
      <c r="N21" s="126"/>
      <c r="O21" s="41"/>
      <c r="P21" s="24"/>
      <c r="Q21" s="24"/>
      <c r="R21" s="24"/>
      <c r="S21" s="24"/>
      <c r="T21" s="127"/>
      <c r="U21" s="147"/>
      <c r="V21" s="156"/>
      <c r="W21" s="152"/>
      <c r="Z21" s="94">
        <f t="shared" si="11"/>
        <v>5161</v>
      </c>
      <c r="AA21" s="94">
        <f t="shared" si="12"/>
        <v>202.5</v>
      </c>
      <c r="AB21" s="94">
        <f t="shared" si="13"/>
        <v>334</v>
      </c>
      <c r="AC21" s="94">
        <f t="shared" si="14"/>
        <v>7</v>
      </c>
    </row>
    <row r="22" spans="2:29" ht="15.75" x14ac:dyDescent="0.25">
      <c r="B22" s="141"/>
      <c r="C22" s="140"/>
      <c r="D22" s="140"/>
      <c r="E22" s="140"/>
      <c r="F22" s="140"/>
      <c r="G22" s="139"/>
      <c r="H22" s="139"/>
      <c r="I22" s="139"/>
      <c r="J22" s="139"/>
      <c r="K22" s="126"/>
      <c r="L22" s="126"/>
      <c r="M22" s="126"/>
      <c r="N22" s="126"/>
      <c r="O22" s="130"/>
      <c r="P22" s="130"/>
      <c r="Q22" s="130"/>
      <c r="R22" s="130"/>
      <c r="S22" s="130"/>
      <c r="T22" s="130"/>
      <c r="U22" s="149"/>
      <c r="V22" s="156"/>
      <c r="W22" s="154"/>
      <c r="Z22" s="94">
        <f t="shared" si="11"/>
        <v>5154</v>
      </c>
      <c r="AA22" s="94">
        <f t="shared" si="12"/>
        <v>990</v>
      </c>
      <c r="AB22" s="94">
        <f t="shared" si="13"/>
        <v>3100</v>
      </c>
      <c r="AC22" s="94">
        <f t="shared" si="14"/>
        <v>7.1</v>
      </c>
    </row>
    <row r="23" spans="2:29" ht="15.75" x14ac:dyDescent="0.25">
      <c r="B23" s="126"/>
      <c r="C23" s="126"/>
      <c r="D23" s="126"/>
      <c r="E23" s="126"/>
      <c r="F23" s="126"/>
      <c r="G23" s="126"/>
      <c r="H23" s="126"/>
      <c r="I23" s="126"/>
      <c r="J23" s="126"/>
      <c r="K23" s="126"/>
      <c r="L23" s="126"/>
      <c r="M23" s="126"/>
      <c r="N23" s="126"/>
      <c r="O23" s="41" t="s">
        <v>48</v>
      </c>
      <c r="P23" s="41" t="s">
        <v>134</v>
      </c>
      <c r="Q23" s="41" t="s">
        <v>222</v>
      </c>
      <c r="R23" s="41" t="s">
        <v>221</v>
      </c>
      <c r="S23" s="41" t="s">
        <v>220</v>
      </c>
      <c r="T23" s="129" t="s">
        <v>219</v>
      </c>
      <c r="U23" s="146" t="s">
        <v>218</v>
      </c>
      <c r="V23" s="156"/>
      <c r="W23" s="151" t="s">
        <v>52</v>
      </c>
      <c r="Z23" s="94">
        <f t="shared" si="11"/>
        <v>5244</v>
      </c>
      <c r="AA23" s="94">
        <f t="shared" si="12"/>
        <v>43</v>
      </c>
      <c r="AB23" s="94">
        <f t="shared" si="13"/>
        <v>163</v>
      </c>
      <c r="AC23" s="94">
        <f t="shared" si="14"/>
        <v>7.7</v>
      </c>
    </row>
    <row r="24" spans="2:29" ht="15.75" x14ac:dyDescent="0.25">
      <c r="B24" s="126"/>
      <c r="C24" s="126"/>
      <c r="D24" s="126"/>
      <c r="E24" s="126"/>
      <c r="F24" s="126"/>
      <c r="G24" s="126"/>
      <c r="H24" s="126"/>
      <c r="I24" s="126"/>
      <c r="J24" s="126"/>
      <c r="K24" s="126"/>
      <c r="L24" s="126"/>
      <c r="M24" s="126"/>
      <c r="N24" s="126"/>
      <c r="O24" s="41">
        <v>1</v>
      </c>
      <c r="P24" s="24">
        <v>5409</v>
      </c>
      <c r="Q24" s="24">
        <v>61.7</v>
      </c>
      <c r="R24" s="24">
        <v>208.3</v>
      </c>
      <c r="S24" s="127" t="s">
        <v>51</v>
      </c>
      <c r="T24" s="127">
        <v>7</v>
      </c>
      <c r="U24" s="148" t="s">
        <v>236</v>
      </c>
      <c r="V24" s="156" t="s">
        <v>83</v>
      </c>
      <c r="W24" s="153" t="s">
        <v>83</v>
      </c>
      <c r="Z24" s="94">
        <f>P33</f>
        <v>5255</v>
      </c>
      <c r="AA24" s="94">
        <f t="shared" ref="AA24:AB24" si="15">Q33</f>
        <v>14</v>
      </c>
      <c r="AB24" s="94">
        <f t="shared" si="15"/>
        <v>45.6</v>
      </c>
      <c r="AC24" s="94">
        <f>T33</f>
        <v>7.6</v>
      </c>
    </row>
    <row r="25" spans="2:29" ht="15.75" customHeight="1" x14ac:dyDescent="0.3">
      <c r="B25" s="138" t="s">
        <v>238</v>
      </c>
      <c r="C25" s="137"/>
      <c r="D25" s="137"/>
      <c r="E25" s="137"/>
      <c r="F25" s="137"/>
      <c r="G25" s="137"/>
      <c r="H25" s="137"/>
      <c r="I25" s="137"/>
      <c r="J25" s="137"/>
      <c r="K25" s="137"/>
      <c r="L25" s="137"/>
      <c r="M25" s="136"/>
      <c r="N25" s="126"/>
      <c r="O25" s="41">
        <v>2</v>
      </c>
      <c r="P25" s="24">
        <v>5410</v>
      </c>
      <c r="Q25" s="24">
        <v>11.4</v>
      </c>
      <c r="R25" s="24">
        <v>20.2</v>
      </c>
      <c r="S25" s="127" t="s">
        <v>51</v>
      </c>
      <c r="T25" s="127">
        <v>7.1</v>
      </c>
      <c r="U25" s="147" t="s">
        <v>84</v>
      </c>
      <c r="V25" s="156" t="s">
        <v>83</v>
      </c>
      <c r="W25" s="152" t="s">
        <v>84</v>
      </c>
      <c r="Z25" s="94">
        <f t="shared" ref="Z25:Z29" si="16">P34</f>
        <v>5407</v>
      </c>
      <c r="AA25" s="94">
        <f t="shared" ref="AA25:AA29" si="17">Q34</f>
        <v>19.2</v>
      </c>
      <c r="AB25" s="94">
        <f t="shared" ref="AB25:AB29" si="18">R34</f>
        <v>41.8</v>
      </c>
      <c r="AC25" s="94">
        <f t="shared" ref="AC25:AC29" si="19">T34</f>
        <v>7</v>
      </c>
    </row>
    <row r="26" spans="2:29" ht="15.75" x14ac:dyDescent="0.25">
      <c r="B26" s="126"/>
      <c r="C26" s="126"/>
      <c r="D26" s="126"/>
      <c r="E26" s="126"/>
      <c r="F26" s="126"/>
      <c r="G26" s="126"/>
      <c r="H26" s="126"/>
      <c r="I26" s="126"/>
      <c r="J26" s="126"/>
      <c r="K26" s="126"/>
      <c r="L26" s="126"/>
      <c r="M26" s="126"/>
      <c r="N26" s="126"/>
      <c r="O26" s="41">
        <v>3</v>
      </c>
      <c r="P26" s="24">
        <v>5241</v>
      </c>
      <c r="Q26" s="24">
        <v>10.9</v>
      </c>
      <c r="R26" s="24">
        <v>23.6</v>
      </c>
      <c r="S26" s="127" t="s">
        <v>51</v>
      </c>
      <c r="T26" s="127">
        <v>7.1</v>
      </c>
      <c r="U26" s="147" t="s">
        <v>84</v>
      </c>
      <c r="V26" s="156" t="s">
        <v>83</v>
      </c>
      <c r="W26" s="152" t="s">
        <v>84</v>
      </c>
      <c r="Z26" s="94">
        <f t="shared" si="16"/>
        <v>5253</v>
      </c>
      <c r="AA26" s="94">
        <f t="shared" si="17"/>
        <v>21.9</v>
      </c>
      <c r="AB26" s="94">
        <f t="shared" si="18"/>
        <v>41.7</v>
      </c>
      <c r="AC26" s="94">
        <f t="shared" si="19"/>
        <v>7</v>
      </c>
    </row>
    <row r="27" spans="2:29" ht="15.75" customHeight="1" x14ac:dyDescent="0.3">
      <c r="B27" s="136" t="s">
        <v>237</v>
      </c>
      <c r="C27" s="136"/>
      <c r="D27" s="136"/>
      <c r="E27" s="136"/>
      <c r="F27" s="136"/>
      <c r="G27" s="136"/>
      <c r="H27" s="136"/>
      <c r="I27" s="136"/>
      <c r="J27" s="126"/>
      <c r="K27" s="126"/>
      <c r="L27" s="126"/>
      <c r="M27" s="126"/>
      <c r="N27" s="126"/>
      <c r="O27" s="41">
        <v>4</v>
      </c>
      <c r="P27" s="24">
        <v>5161</v>
      </c>
      <c r="Q27" s="24">
        <v>202.5</v>
      </c>
      <c r="R27" s="24">
        <v>334</v>
      </c>
      <c r="S27" s="127" t="s">
        <v>51</v>
      </c>
      <c r="T27" s="127">
        <v>7</v>
      </c>
      <c r="U27" s="148" t="s">
        <v>236</v>
      </c>
      <c r="V27" s="157" t="s">
        <v>84</v>
      </c>
      <c r="W27" s="153" t="s">
        <v>83</v>
      </c>
      <c r="Z27" s="94">
        <f t="shared" si="16"/>
        <v>3634</v>
      </c>
      <c r="AA27" s="94">
        <f t="shared" si="17"/>
        <v>920</v>
      </c>
      <c r="AB27" s="94">
        <f t="shared" si="18"/>
        <v>2700</v>
      </c>
      <c r="AC27" s="94">
        <f t="shared" si="19"/>
        <v>7</v>
      </c>
    </row>
    <row r="28" spans="2:29" ht="15.75" customHeight="1" x14ac:dyDescent="0.3">
      <c r="B28" s="136"/>
      <c r="C28" s="136"/>
      <c r="D28" s="136"/>
      <c r="E28" s="136"/>
      <c r="F28" s="136"/>
      <c r="G28" s="136"/>
      <c r="H28" s="136"/>
      <c r="I28" s="136"/>
      <c r="J28" s="126"/>
      <c r="K28" s="126"/>
      <c r="L28" s="126"/>
      <c r="M28" s="126"/>
      <c r="N28" s="126"/>
      <c r="O28" s="41">
        <v>5</v>
      </c>
      <c r="P28" s="24">
        <v>5154</v>
      </c>
      <c r="Q28" s="24">
        <v>990</v>
      </c>
      <c r="R28" s="24">
        <v>3100</v>
      </c>
      <c r="S28" s="127" t="s">
        <v>51</v>
      </c>
      <c r="T28" s="127">
        <v>7.1</v>
      </c>
      <c r="U28" s="150" t="s">
        <v>83</v>
      </c>
      <c r="V28" s="157" t="s">
        <v>84</v>
      </c>
      <c r="W28" s="155" t="s">
        <v>83</v>
      </c>
      <c r="Z28" s="94">
        <f t="shared" si="16"/>
        <v>5388</v>
      </c>
      <c r="AA28" s="94">
        <f t="shared" si="17"/>
        <v>20.7</v>
      </c>
      <c r="AB28" s="94">
        <f t="shared" si="18"/>
        <v>37</v>
      </c>
      <c r="AC28" s="94">
        <f t="shared" si="19"/>
        <v>7</v>
      </c>
    </row>
    <row r="29" spans="2:29" ht="15.75" x14ac:dyDescent="0.25">
      <c r="B29" s="126"/>
      <c r="C29" s="126"/>
      <c r="D29" s="126"/>
      <c r="E29" s="126"/>
      <c r="F29" s="126"/>
      <c r="G29" s="126"/>
      <c r="H29" s="126"/>
      <c r="I29" s="126"/>
      <c r="J29" s="126"/>
      <c r="K29" s="126"/>
      <c r="L29" s="126"/>
      <c r="M29" s="126"/>
      <c r="N29" s="126"/>
      <c r="O29" s="41">
        <v>6</v>
      </c>
      <c r="P29" s="24">
        <v>5244</v>
      </c>
      <c r="Q29" s="24">
        <v>43</v>
      </c>
      <c r="R29" s="24">
        <v>163</v>
      </c>
      <c r="S29" s="127" t="s">
        <v>51</v>
      </c>
      <c r="T29" s="127">
        <v>7.7</v>
      </c>
      <c r="U29" s="148" t="s">
        <v>236</v>
      </c>
      <c r="V29" s="157" t="s">
        <v>84</v>
      </c>
      <c r="W29" s="153" t="s">
        <v>83</v>
      </c>
      <c r="Z29" s="94">
        <f t="shared" si="16"/>
        <v>5389</v>
      </c>
      <c r="AA29" s="94">
        <f t="shared" si="17"/>
        <v>25</v>
      </c>
      <c r="AB29" s="94">
        <f t="shared" si="18"/>
        <v>124.5</v>
      </c>
      <c r="AC29" s="94">
        <f t="shared" si="19"/>
        <v>7</v>
      </c>
    </row>
    <row r="30" spans="2:29" ht="15.75" x14ac:dyDescent="0.25">
      <c r="B30" s="126"/>
      <c r="C30" s="126"/>
      <c r="D30" s="126"/>
      <c r="E30" s="126"/>
      <c r="F30" s="126"/>
      <c r="G30" s="126"/>
      <c r="H30" s="126"/>
      <c r="I30" s="126"/>
      <c r="J30" s="126"/>
      <c r="K30" s="126"/>
      <c r="L30" s="126"/>
      <c r="M30" s="126"/>
      <c r="N30" s="126"/>
      <c r="O30" s="41"/>
      <c r="P30" s="24"/>
      <c r="Q30" s="24"/>
      <c r="R30" s="24"/>
      <c r="S30" s="24"/>
      <c r="T30" s="127"/>
      <c r="U30" s="147"/>
      <c r="V30" s="156"/>
      <c r="W30" s="152"/>
      <c r="Z30" s="196">
        <v>2510</v>
      </c>
      <c r="AA30" s="196">
        <v>8.5</v>
      </c>
      <c r="AB30" s="196">
        <v>19.600000000000001</v>
      </c>
    </row>
    <row r="31" spans="2:29" ht="15.75" x14ac:dyDescent="0.25">
      <c r="B31" s="126"/>
      <c r="C31" s="126"/>
      <c r="D31" s="126"/>
      <c r="E31" s="126"/>
      <c r="F31" s="126"/>
      <c r="G31" s="126"/>
      <c r="H31" s="126"/>
      <c r="I31" s="126"/>
      <c r="J31" s="126"/>
      <c r="K31" s="126"/>
      <c r="L31" s="126"/>
      <c r="M31" s="126"/>
      <c r="N31" s="126"/>
      <c r="O31" s="41"/>
      <c r="P31" s="24"/>
      <c r="Q31" s="24"/>
      <c r="R31" s="24"/>
      <c r="S31" s="24"/>
      <c r="T31" s="127"/>
      <c r="U31" s="147"/>
      <c r="V31" s="156"/>
      <c r="W31" s="152"/>
      <c r="Z31" s="196">
        <v>2491</v>
      </c>
      <c r="AA31" s="196">
        <v>90.4</v>
      </c>
      <c r="AB31" s="196">
        <v>155.30000000000001</v>
      </c>
    </row>
    <row r="32" spans="2:29" ht="15.75" x14ac:dyDescent="0.25">
      <c r="B32" s="126"/>
      <c r="C32" s="126"/>
      <c r="D32" s="126"/>
      <c r="E32" s="126"/>
      <c r="F32" s="126"/>
      <c r="G32" s="126"/>
      <c r="H32" s="126"/>
      <c r="I32" s="126"/>
      <c r="J32" s="126"/>
      <c r="K32" s="126"/>
      <c r="L32" s="126"/>
      <c r="M32" s="126"/>
      <c r="N32" s="126"/>
      <c r="O32" s="41" t="s">
        <v>49</v>
      </c>
      <c r="P32" s="41" t="s">
        <v>134</v>
      </c>
      <c r="Q32" s="41" t="s">
        <v>222</v>
      </c>
      <c r="R32" s="41" t="s">
        <v>221</v>
      </c>
      <c r="S32" s="41" t="s">
        <v>220</v>
      </c>
      <c r="T32" s="129" t="s">
        <v>219</v>
      </c>
      <c r="U32" s="146" t="s">
        <v>218</v>
      </c>
      <c r="V32" s="156"/>
      <c r="W32" s="151" t="s">
        <v>52</v>
      </c>
      <c r="Z32" s="196">
        <v>2503</v>
      </c>
      <c r="AA32" s="196">
        <v>6</v>
      </c>
      <c r="AB32" s="196">
        <v>11</v>
      </c>
    </row>
    <row r="33" spans="2:36" ht="15.75" x14ac:dyDescent="0.25">
      <c r="B33" s="126"/>
      <c r="C33" s="126"/>
      <c r="D33" s="126"/>
      <c r="E33" s="126"/>
      <c r="F33" s="126"/>
      <c r="G33" s="126"/>
      <c r="H33" s="126"/>
      <c r="I33" s="126"/>
      <c r="J33" s="126"/>
      <c r="K33" s="126"/>
      <c r="L33" s="126"/>
      <c r="M33" s="126"/>
      <c r="N33" s="126"/>
      <c r="O33" s="41">
        <v>1</v>
      </c>
      <c r="P33" s="24">
        <v>5255</v>
      </c>
      <c r="Q33" s="24">
        <v>14</v>
      </c>
      <c r="R33" s="24">
        <v>45.6</v>
      </c>
      <c r="S33" s="24" t="s">
        <v>51</v>
      </c>
      <c r="T33" s="127">
        <v>7.6</v>
      </c>
      <c r="U33" s="147" t="s">
        <v>84</v>
      </c>
      <c r="V33" s="156" t="s">
        <v>83</v>
      </c>
      <c r="W33" s="152" t="s">
        <v>84</v>
      </c>
      <c r="Z33" s="196">
        <v>2515</v>
      </c>
      <c r="AA33" s="196">
        <v>30.5</v>
      </c>
      <c r="AB33" s="196">
        <v>53.1</v>
      </c>
    </row>
    <row r="34" spans="2:36" ht="15.75" x14ac:dyDescent="0.25">
      <c r="B34" s="126"/>
      <c r="C34" s="126"/>
      <c r="D34" s="126"/>
      <c r="E34" s="126"/>
      <c r="F34" s="126"/>
      <c r="G34" s="126"/>
      <c r="H34" s="126"/>
      <c r="I34" s="126"/>
      <c r="J34" s="126"/>
      <c r="K34" s="126"/>
      <c r="L34" s="126"/>
      <c r="M34" s="126"/>
      <c r="N34" s="126"/>
      <c r="O34" s="41">
        <v>2</v>
      </c>
      <c r="P34" s="24">
        <v>5407</v>
      </c>
      <c r="Q34" s="24">
        <v>19.2</v>
      </c>
      <c r="R34" s="24">
        <v>41.8</v>
      </c>
      <c r="S34" s="24" t="s">
        <v>51</v>
      </c>
      <c r="T34" s="127">
        <v>7</v>
      </c>
      <c r="U34" s="147" t="s">
        <v>84</v>
      </c>
      <c r="V34" s="156" t="s">
        <v>83</v>
      </c>
      <c r="W34" s="152" t="s">
        <v>84</v>
      </c>
      <c r="Z34" s="196">
        <v>2511</v>
      </c>
      <c r="AA34" s="196">
        <v>14.7</v>
      </c>
      <c r="AB34" s="196">
        <v>38.799999999999997</v>
      </c>
    </row>
    <row r="35" spans="2:36" ht="15.75" x14ac:dyDescent="0.25">
      <c r="B35" s="126"/>
      <c r="C35" s="126"/>
      <c r="D35" s="126"/>
      <c r="E35" s="126"/>
      <c r="F35" s="126"/>
      <c r="G35" s="126"/>
      <c r="H35" s="126"/>
      <c r="I35" s="126"/>
      <c r="J35" s="126"/>
      <c r="K35" s="126"/>
      <c r="L35" s="126"/>
      <c r="M35" s="126"/>
      <c r="N35" s="126"/>
      <c r="O35" s="41">
        <v>3</v>
      </c>
      <c r="P35" s="24">
        <v>5253</v>
      </c>
      <c r="Q35" s="24">
        <v>21.9</v>
      </c>
      <c r="R35" s="24">
        <v>41.7</v>
      </c>
      <c r="S35" s="24" t="s">
        <v>51</v>
      </c>
      <c r="T35" s="127">
        <v>7</v>
      </c>
      <c r="U35" s="147" t="s">
        <v>84</v>
      </c>
      <c r="V35" s="156" t="s">
        <v>83</v>
      </c>
      <c r="W35" s="152" t="s">
        <v>84</v>
      </c>
      <c r="Z35" s="196">
        <v>2335</v>
      </c>
      <c r="AA35" s="196">
        <v>35</v>
      </c>
      <c r="AB35" s="196">
        <v>98.5</v>
      </c>
    </row>
    <row r="36" spans="2:36" ht="15.75" x14ac:dyDescent="0.25">
      <c r="B36" s="126"/>
      <c r="C36" s="126"/>
      <c r="D36" s="126"/>
      <c r="E36" s="126"/>
      <c r="F36" s="126"/>
      <c r="G36" s="126"/>
      <c r="H36" s="126"/>
      <c r="I36" s="126"/>
      <c r="J36" s="126"/>
      <c r="K36" s="126"/>
      <c r="L36" s="126"/>
      <c r="M36" s="126"/>
      <c r="N36" s="126"/>
      <c r="O36" s="41">
        <v>4</v>
      </c>
      <c r="P36" s="24">
        <v>3634</v>
      </c>
      <c r="Q36" s="24">
        <v>920</v>
      </c>
      <c r="R36" s="24">
        <v>2700</v>
      </c>
      <c r="S36" s="1" t="s">
        <v>51</v>
      </c>
      <c r="T36" s="127">
        <v>7</v>
      </c>
      <c r="U36" s="150" t="s">
        <v>83</v>
      </c>
      <c r="V36" s="156" t="s">
        <v>83</v>
      </c>
      <c r="W36" s="155" t="s">
        <v>83</v>
      </c>
      <c r="Z36" s="196">
        <v>3503</v>
      </c>
      <c r="AA36" s="196">
        <v>24.6</v>
      </c>
      <c r="AB36" s="196">
        <v>38.200000000000003</v>
      </c>
    </row>
    <row r="37" spans="2:36" ht="15.75" x14ac:dyDescent="0.25">
      <c r="B37" s="126"/>
      <c r="C37" s="126"/>
      <c r="D37" s="126"/>
      <c r="E37" s="126"/>
      <c r="F37" s="126"/>
      <c r="G37" s="126"/>
      <c r="H37" s="126"/>
      <c r="I37" s="126"/>
      <c r="J37" s="126"/>
      <c r="K37" s="126"/>
      <c r="L37" s="126"/>
      <c r="M37" s="126"/>
      <c r="N37" s="126"/>
      <c r="O37" s="41">
        <v>5</v>
      </c>
      <c r="P37" s="24">
        <v>5388</v>
      </c>
      <c r="Q37" s="24">
        <v>20.7</v>
      </c>
      <c r="R37" s="24">
        <v>37</v>
      </c>
      <c r="S37" s="24" t="s">
        <v>51</v>
      </c>
      <c r="T37" s="127">
        <v>7</v>
      </c>
      <c r="U37" s="147" t="s">
        <v>84</v>
      </c>
      <c r="V37" s="156" t="s">
        <v>83</v>
      </c>
      <c r="W37" s="152" t="s">
        <v>84</v>
      </c>
      <c r="Z37" s="196">
        <v>3500</v>
      </c>
      <c r="AA37" s="196">
        <v>28.9</v>
      </c>
      <c r="AB37" s="196">
        <v>47.2</v>
      </c>
    </row>
    <row r="38" spans="2:36" ht="15.75" x14ac:dyDescent="0.25">
      <c r="B38" s="126"/>
      <c r="C38" s="126"/>
      <c r="D38" s="126"/>
      <c r="E38" s="126"/>
      <c r="F38" s="126"/>
      <c r="G38" s="126"/>
      <c r="H38" s="126"/>
      <c r="I38" s="126"/>
      <c r="J38" s="126"/>
      <c r="K38" s="126"/>
      <c r="L38" s="126"/>
      <c r="M38" s="126"/>
      <c r="N38" s="126"/>
      <c r="O38" s="41">
        <v>6</v>
      </c>
      <c r="P38" s="24">
        <v>5389</v>
      </c>
      <c r="Q38" s="24">
        <v>25</v>
      </c>
      <c r="R38" s="24">
        <v>124.5</v>
      </c>
      <c r="S38" s="24" t="s">
        <v>51</v>
      </c>
      <c r="T38" s="127">
        <v>7</v>
      </c>
      <c r="U38" s="147" t="s">
        <v>84</v>
      </c>
      <c r="V38" s="156" t="s">
        <v>83</v>
      </c>
      <c r="W38" s="152" t="s">
        <v>84</v>
      </c>
      <c r="Z38" s="196">
        <v>3528</v>
      </c>
      <c r="AA38" s="196">
        <v>76.8</v>
      </c>
      <c r="AB38" s="196">
        <v>113</v>
      </c>
    </row>
    <row r="39" spans="2:36" ht="15.75" x14ac:dyDescent="0.25">
      <c r="B39" s="126"/>
      <c r="C39" s="126"/>
      <c r="D39" s="126"/>
      <c r="E39" s="126"/>
      <c r="F39" s="126"/>
      <c r="G39" s="126"/>
      <c r="H39" s="126"/>
      <c r="I39" s="126"/>
      <c r="J39" s="126"/>
      <c r="K39" s="126"/>
      <c r="L39" s="126"/>
      <c r="M39" s="126"/>
      <c r="N39" s="126"/>
      <c r="O39" s="126"/>
      <c r="P39" s="126"/>
      <c r="Q39" s="126"/>
      <c r="R39" s="126"/>
      <c r="S39" s="126"/>
      <c r="T39" s="126"/>
      <c r="U39" s="126"/>
      <c r="V39" s="126"/>
      <c r="W39" s="126"/>
      <c r="Z39" s="196">
        <v>3461</v>
      </c>
      <c r="AA39" s="196">
        <v>1268</v>
      </c>
      <c r="AB39" s="196">
        <v>4000</v>
      </c>
    </row>
    <row r="40" spans="2:36" ht="15.75" x14ac:dyDescent="0.25">
      <c r="B40" s="126"/>
      <c r="C40" s="126"/>
      <c r="D40" s="126"/>
      <c r="E40" s="126"/>
      <c r="F40" s="126"/>
      <c r="G40" s="126"/>
      <c r="H40" s="126"/>
      <c r="I40" s="126"/>
      <c r="J40" s="126"/>
      <c r="K40" s="126"/>
      <c r="L40" s="126"/>
      <c r="M40" s="126"/>
      <c r="N40" s="126"/>
      <c r="O40" s="126"/>
      <c r="P40" s="126"/>
      <c r="Q40" s="126"/>
      <c r="R40" s="126"/>
      <c r="S40" s="126"/>
      <c r="T40" s="126"/>
      <c r="U40" s="126"/>
      <c r="V40" s="126"/>
      <c r="W40" s="126"/>
      <c r="Z40" s="196">
        <v>3523</v>
      </c>
      <c r="AA40" s="196">
        <v>87.5</v>
      </c>
      <c r="AB40" s="196">
        <v>875</v>
      </c>
    </row>
    <row r="41" spans="2:36" ht="15.75" x14ac:dyDescent="0.25">
      <c r="B41" s="126"/>
      <c r="C41" s="126"/>
      <c r="D41" s="126"/>
      <c r="E41" s="126"/>
      <c r="F41" s="126"/>
      <c r="G41" s="126"/>
      <c r="H41" s="126"/>
      <c r="I41" s="126"/>
      <c r="J41" s="126"/>
      <c r="K41" s="126"/>
      <c r="L41" s="126"/>
      <c r="M41" s="126"/>
      <c r="N41" s="126"/>
      <c r="O41" s="126"/>
      <c r="P41" s="126"/>
      <c r="Q41" s="126"/>
      <c r="R41" s="126"/>
      <c r="S41" s="126"/>
      <c r="T41" s="126"/>
      <c r="U41" s="126"/>
      <c r="V41" s="126"/>
      <c r="W41" s="126"/>
      <c r="Z41" s="196">
        <v>3504</v>
      </c>
      <c r="AA41" s="196">
        <v>12.2</v>
      </c>
      <c r="AB41" s="196">
        <v>21.9</v>
      </c>
    </row>
    <row r="42" spans="2:36" ht="15.75" x14ac:dyDescent="0.25">
      <c r="B42" s="126"/>
      <c r="C42" s="126"/>
      <c r="D42" s="126"/>
      <c r="E42" s="126"/>
      <c r="F42" s="126"/>
      <c r="G42" s="126"/>
      <c r="H42" s="126"/>
      <c r="I42" s="126"/>
      <c r="J42" s="126"/>
      <c r="K42" s="126"/>
      <c r="L42" s="126"/>
      <c r="M42" s="126"/>
      <c r="N42" s="126"/>
      <c r="O42" s="126"/>
      <c r="P42" s="126"/>
      <c r="Q42" s="126"/>
      <c r="R42" s="126"/>
      <c r="S42" s="126"/>
      <c r="T42" s="126"/>
      <c r="U42" s="126"/>
      <c r="V42" s="126"/>
      <c r="W42" s="126"/>
    </row>
    <row r="43" spans="2:36" ht="15.75" x14ac:dyDescent="0.25">
      <c r="B43" s="126"/>
      <c r="C43" s="126"/>
      <c r="D43" s="126"/>
      <c r="E43" s="126"/>
      <c r="F43" s="126"/>
      <c r="G43" s="126"/>
      <c r="H43" s="126"/>
      <c r="I43" s="126"/>
      <c r="J43" s="126"/>
      <c r="K43" s="126"/>
      <c r="L43" s="126"/>
      <c r="M43" s="126"/>
      <c r="N43" s="126"/>
      <c r="O43" s="126"/>
      <c r="P43" s="126"/>
      <c r="Q43" s="126"/>
      <c r="R43" s="126"/>
      <c r="S43" s="126"/>
      <c r="T43" s="126"/>
      <c r="U43" s="126"/>
      <c r="V43" s="126"/>
      <c r="W43" s="126"/>
    </row>
    <row r="44" spans="2:36" ht="18.75" x14ac:dyDescent="0.3">
      <c r="B44" s="133" t="s">
        <v>235</v>
      </c>
      <c r="C44" s="132"/>
      <c r="D44" s="132"/>
      <c r="E44" s="132"/>
      <c r="F44" s="132"/>
      <c r="G44" s="132"/>
      <c r="H44" s="131"/>
      <c r="I44" s="131"/>
      <c r="J44" s="131"/>
      <c r="K44" s="126"/>
      <c r="L44" s="126"/>
      <c r="M44" s="126"/>
      <c r="N44" s="126"/>
      <c r="O44" s="126"/>
      <c r="P44" s="126"/>
      <c r="Q44" s="126"/>
      <c r="R44" s="126"/>
      <c r="S44" s="126"/>
      <c r="T44" s="126"/>
      <c r="U44" s="126"/>
      <c r="V44" s="126"/>
      <c r="W44" s="126"/>
      <c r="AG44" s="100" t="s">
        <v>251</v>
      </c>
    </row>
    <row r="45" spans="2:36" ht="15.75" x14ac:dyDescent="0.25">
      <c r="B45" s="126"/>
      <c r="C45" s="126"/>
      <c r="D45" s="126"/>
      <c r="E45" s="126"/>
      <c r="F45" s="126"/>
      <c r="G45" s="126"/>
      <c r="H45" s="126"/>
      <c r="I45" s="126"/>
      <c r="J45" s="126"/>
      <c r="K45" s="126"/>
      <c r="L45" s="126"/>
      <c r="M45" s="126"/>
      <c r="N45" s="126"/>
      <c r="O45" s="126"/>
      <c r="P45" s="126"/>
      <c r="Q45" s="126"/>
      <c r="R45" s="126"/>
      <c r="S45" s="126"/>
      <c r="T45" s="126"/>
      <c r="U45" s="126"/>
      <c r="V45" s="126"/>
      <c r="W45" s="126"/>
    </row>
    <row r="46" spans="2:36" ht="15.75" x14ac:dyDescent="0.25">
      <c r="B46" s="41" t="s">
        <v>234</v>
      </c>
      <c r="C46" s="41" t="s">
        <v>134</v>
      </c>
      <c r="D46" s="41" t="s">
        <v>222</v>
      </c>
      <c r="E46" s="41" t="s">
        <v>221</v>
      </c>
      <c r="F46" s="41" t="s">
        <v>220</v>
      </c>
      <c r="G46" s="129" t="s">
        <v>219</v>
      </c>
      <c r="H46" s="128" t="s">
        <v>218</v>
      </c>
      <c r="I46" s="128" t="s">
        <v>250</v>
      </c>
      <c r="J46" s="128" t="s">
        <v>52</v>
      </c>
      <c r="K46" s="126"/>
      <c r="L46" s="41" t="s">
        <v>233</v>
      </c>
      <c r="M46" s="41" t="s">
        <v>134</v>
      </c>
      <c r="N46" s="41" t="s">
        <v>222</v>
      </c>
      <c r="O46" s="41" t="s">
        <v>221</v>
      </c>
      <c r="P46" s="41" t="s">
        <v>220</v>
      </c>
      <c r="Q46" s="129" t="s">
        <v>219</v>
      </c>
      <c r="R46" s="128" t="s">
        <v>218</v>
      </c>
      <c r="S46" s="128" t="s">
        <v>250</v>
      </c>
      <c r="T46" s="128" t="s">
        <v>52</v>
      </c>
      <c r="U46" s="126"/>
      <c r="V46" s="41" t="s">
        <v>232</v>
      </c>
      <c r="W46" s="41" t="s">
        <v>134</v>
      </c>
      <c r="X46" s="41" t="s">
        <v>222</v>
      </c>
      <c r="Y46" s="41" t="s">
        <v>221</v>
      </c>
      <c r="Z46" s="41" t="s">
        <v>220</v>
      </c>
      <c r="AA46" s="129" t="s">
        <v>219</v>
      </c>
      <c r="AB46" s="128" t="s">
        <v>218</v>
      </c>
      <c r="AC46" s="128" t="s">
        <v>250</v>
      </c>
      <c r="AD46" s="128" t="s">
        <v>52</v>
      </c>
    </row>
    <row r="47" spans="2:36" ht="15.75" x14ac:dyDescent="0.25">
      <c r="B47" s="41">
        <v>1</v>
      </c>
      <c r="C47" s="160">
        <v>5272</v>
      </c>
      <c r="D47" s="160">
        <v>20.7</v>
      </c>
      <c r="E47" s="160">
        <v>50.4</v>
      </c>
      <c r="F47" s="161" t="s">
        <v>51</v>
      </c>
      <c r="G47" s="161">
        <v>6.9</v>
      </c>
      <c r="H47" s="161" t="s">
        <v>84</v>
      </c>
      <c r="I47" s="127" t="s">
        <v>83</v>
      </c>
      <c r="J47" s="163" t="s">
        <v>84</v>
      </c>
      <c r="K47" s="126"/>
      <c r="L47" s="41">
        <v>1</v>
      </c>
      <c r="M47" s="24">
        <v>5658</v>
      </c>
      <c r="N47" s="24">
        <v>6.8</v>
      </c>
      <c r="O47" s="24">
        <v>20</v>
      </c>
      <c r="P47" s="127" t="s">
        <v>51</v>
      </c>
      <c r="Q47" s="127">
        <v>7.6</v>
      </c>
      <c r="R47" s="127" t="s">
        <v>84</v>
      </c>
      <c r="S47" s="127" t="s">
        <v>83</v>
      </c>
      <c r="T47" s="127" t="s">
        <v>84</v>
      </c>
      <c r="U47" s="126"/>
      <c r="V47" s="41">
        <v>1</v>
      </c>
      <c r="W47" s="190">
        <v>5316</v>
      </c>
      <c r="X47" s="190">
        <v>8.3000000000000007</v>
      </c>
      <c r="Y47" s="190">
        <v>31.2</v>
      </c>
      <c r="Z47" s="191" t="s">
        <v>51</v>
      </c>
      <c r="AA47" s="191">
        <v>7.1</v>
      </c>
      <c r="AB47" s="191" t="s">
        <v>84</v>
      </c>
      <c r="AC47" s="127" t="s">
        <v>83</v>
      </c>
      <c r="AD47" s="192" t="s">
        <v>84</v>
      </c>
      <c r="AF47" s="94" t="s">
        <v>252</v>
      </c>
      <c r="AG47" s="94">
        <f>C47</f>
        <v>5272</v>
      </c>
      <c r="AH47" s="196">
        <f t="shared" ref="AH47:AI47" si="20">D47</f>
        <v>20.7</v>
      </c>
      <c r="AI47" s="196">
        <f t="shared" si="20"/>
        <v>50.4</v>
      </c>
      <c r="AJ47" s="94">
        <f>G47</f>
        <v>6.9</v>
      </c>
    </row>
    <row r="48" spans="2:36" ht="15.75" x14ac:dyDescent="0.25">
      <c r="B48" s="41">
        <v>2</v>
      </c>
      <c r="C48" s="160">
        <v>5292</v>
      </c>
      <c r="D48" s="160">
        <v>31</v>
      </c>
      <c r="E48" s="160">
        <v>221.3</v>
      </c>
      <c r="F48" s="161" t="s">
        <v>51</v>
      </c>
      <c r="G48" s="161">
        <v>6.9</v>
      </c>
      <c r="H48" s="161" t="s">
        <v>84</v>
      </c>
      <c r="I48" s="127" t="s">
        <v>83</v>
      </c>
      <c r="J48" s="163" t="s">
        <v>84</v>
      </c>
      <c r="K48" s="126"/>
      <c r="L48" s="41">
        <v>2</v>
      </c>
      <c r="M48" s="24">
        <v>5657</v>
      </c>
      <c r="N48" s="24">
        <v>8.5</v>
      </c>
      <c r="O48" s="24">
        <v>34.200000000000003</v>
      </c>
      <c r="P48" s="127" t="s">
        <v>51</v>
      </c>
      <c r="Q48" s="127">
        <v>7.5</v>
      </c>
      <c r="R48" s="127" t="s">
        <v>84</v>
      </c>
      <c r="S48" s="127" t="s">
        <v>83</v>
      </c>
      <c r="T48" s="127" t="s">
        <v>84</v>
      </c>
      <c r="U48" s="126"/>
      <c r="V48" s="41">
        <v>2</v>
      </c>
      <c r="W48" s="190">
        <v>5317</v>
      </c>
      <c r="X48" s="190">
        <v>5.9</v>
      </c>
      <c r="Y48" s="190">
        <v>11.6</v>
      </c>
      <c r="Z48" s="191" t="s">
        <v>51</v>
      </c>
      <c r="AA48" s="191">
        <v>7.3</v>
      </c>
      <c r="AB48" s="191" t="s">
        <v>84</v>
      </c>
      <c r="AC48" s="127" t="s">
        <v>83</v>
      </c>
      <c r="AD48" s="192" t="s">
        <v>84</v>
      </c>
      <c r="AG48" s="196">
        <f t="shared" ref="AG48:AG52" si="21">C48</f>
        <v>5292</v>
      </c>
      <c r="AH48" s="196">
        <f t="shared" ref="AH48:AH52" si="22">D48</f>
        <v>31</v>
      </c>
      <c r="AI48" s="196">
        <f t="shared" ref="AI48:AI52" si="23">E48</f>
        <v>221.3</v>
      </c>
      <c r="AJ48" s="196">
        <f t="shared" ref="AJ48:AJ52" si="24">G48</f>
        <v>6.9</v>
      </c>
    </row>
    <row r="49" spans="2:36" ht="15.75" x14ac:dyDescent="0.25">
      <c r="B49" s="41">
        <v>3</v>
      </c>
      <c r="C49" s="160">
        <v>5297</v>
      </c>
      <c r="D49" s="160">
        <v>7</v>
      </c>
      <c r="E49" s="160">
        <v>26.1</v>
      </c>
      <c r="F49" s="161" t="s">
        <v>51</v>
      </c>
      <c r="G49" s="161">
        <v>6.9</v>
      </c>
      <c r="H49" s="161" t="s">
        <v>84</v>
      </c>
      <c r="I49" s="127" t="s">
        <v>83</v>
      </c>
      <c r="J49" s="163" t="s">
        <v>84</v>
      </c>
      <c r="K49" s="126"/>
      <c r="L49" s="41">
        <v>3</v>
      </c>
      <c r="M49" s="24">
        <v>5678</v>
      </c>
      <c r="N49" s="24">
        <v>6.1</v>
      </c>
      <c r="O49" s="24">
        <v>19.7</v>
      </c>
      <c r="P49" s="127" t="s">
        <v>51</v>
      </c>
      <c r="Q49" s="127">
        <v>7.7</v>
      </c>
      <c r="R49" s="127" t="s">
        <v>84</v>
      </c>
      <c r="S49" s="127" t="s">
        <v>83</v>
      </c>
      <c r="T49" s="127" t="s">
        <v>84</v>
      </c>
      <c r="U49" s="126"/>
      <c r="V49" s="41">
        <v>3</v>
      </c>
      <c r="W49" s="190">
        <v>5315</v>
      </c>
      <c r="X49" s="190">
        <v>8.4</v>
      </c>
      <c r="Y49" s="190">
        <v>17.399999999999999</v>
      </c>
      <c r="Z49" s="191" t="s">
        <v>51</v>
      </c>
      <c r="AA49" s="191">
        <v>7</v>
      </c>
      <c r="AB49" s="191" t="s">
        <v>84</v>
      </c>
      <c r="AC49" s="127" t="s">
        <v>83</v>
      </c>
      <c r="AD49" s="192" t="s">
        <v>84</v>
      </c>
      <c r="AG49" s="196">
        <f t="shared" si="21"/>
        <v>5297</v>
      </c>
      <c r="AH49" s="196">
        <f t="shared" si="22"/>
        <v>7</v>
      </c>
      <c r="AI49" s="196">
        <f t="shared" si="23"/>
        <v>26.1</v>
      </c>
      <c r="AJ49" s="196">
        <f t="shared" si="24"/>
        <v>6.9</v>
      </c>
    </row>
    <row r="50" spans="2:36" ht="15.75" x14ac:dyDescent="0.25">
      <c r="B50" s="41">
        <v>4</v>
      </c>
      <c r="C50" s="160">
        <v>5271</v>
      </c>
      <c r="D50" s="160">
        <v>39</v>
      </c>
      <c r="E50" s="160">
        <v>116</v>
      </c>
      <c r="F50" s="161" t="s">
        <v>51</v>
      </c>
      <c r="G50" s="161">
        <v>7</v>
      </c>
      <c r="H50" s="162" t="s">
        <v>236</v>
      </c>
      <c r="I50" s="127" t="s">
        <v>84</v>
      </c>
      <c r="J50" s="164" t="s">
        <v>83</v>
      </c>
      <c r="K50" s="126"/>
      <c r="L50" s="41">
        <v>4</v>
      </c>
      <c r="M50" s="24">
        <v>5680</v>
      </c>
      <c r="N50" s="24">
        <v>8.8000000000000007</v>
      </c>
      <c r="O50" s="24">
        <v>48.3</v>
      </c>
      <c r="P50" s="127" t="s">
        <v>51</v>
      </c>
      <c r="Q50" s="127">
        <v>7.5</v>
      </c>
      <c r="R50" s="127" t="s">
        <v>84</v>
      </c>
      <c r="S50" s="127" t="s">
        <v>83</v>
      </c>
      <c r="T50" s="127" t="s">
        <v>84</v>
      </c>
      <c r="U50" s="126"/>
      <c r="V50" s="41">
        <v>4</v>
      </c>
      <c r="W50" s="190">
        <v>5339</v>
      </c>
      <c r="X50" s="190">
        <v>5.3</v>
      </c>
      <c r="Y50" s="190">
        <v>16.2</v>
      </c>
      <c r="Z50" s="191" t="s">
        <v>51</v>
      </c>
      <c r="AA50" s="191">
        <v>7</v>
      </c>
      <c r="AB50" s="191" t="s">
        <v>84</v>
      </c>
      <c r="AC50" s="127" t="s">
        <v>83</v>
      </c>
      <c r="AD50" s="192" t="s">
        <v>84</v>
      </c>
      <c r="AG50" s="196">
        <f t="shared" si="21"/>
        <v>5271</v>
      </c>
      <c r="AH50" s="196">
        <f t="shared" si="22"/>
        <v>39</v>
      </c>
      <c r="AI50" s="196">
        <f t="shared" si="23"/>
        <v>116</v>
      </c>
      <c r="AJ50" s="196">
        <f t="shared" si="24"/>
        <v>7</v>
      </c>
    </row>
    <row r="51" spans="2:36" ht="15.75" x14ac:dyDescent="0.25">
      <c r="B51" s="41">
        <v>5</v>
      </c>
      <c r="C51" s="160">
        <v>5301</v>
      </c>
      <c r="D51" s="160">
        <v>32.799999999999997</v>
      </c>
      <c r="E51" s="160">
        <v>208</v>
      </c>
      <c r="F51" s="161" t="s">
        <v>51</v>
      </c>
      <c r="G51" s="161">
        <v>7</v>
      </c>
      <c r="H51" s="162" t="s">
        <v>236</v>
      </c>
      <c r="I51" s="127" t="s">
        <v>84</v>
      </c>
      <c r="J51" s="164" t="s">
        <v>83</v>
      </c>
      <c r="K51" s="126"/>
      <c r="L51" s="41">
        <v>5</v>
      </c>
      <c r="M51" s="24">
        <v>5656</v>
      </c>
      <c r="N51" s="24">
        <v>16.2</v>
      </c>
      <c r="O51" s="24">
        <v>67.400000000000006</v>
      </c>
      <c r="P51" s="127" t="s">
        <v>51</v>
      </c>
      <c r="Q51" s="127">
        <v>7.6</v>
      </c>
      <c r="R51" s="127" t="s">
        <v>84</v>
      </c>
      <c r="S51" s="127" t="s">
        <v>83</v>
      </c>
      <c r="T51" s="127" t="s">
        <v>84</v>
      </c>
      <c r="U51" s="126"/>
      <c r="V51" s="41">
        <v>5</v>
      </c>
      <c r="W51" s="190">
        <v>5338</v>
      </c>
      <c r="X51" s="190">
        <v>7.9</v>
      </c>
      <c r="Y51" s="190">
        <v>16.2</v>
      </c>
      <c r="Z51" s="191" t="s">
        <v>51</v>
      </c>
      <c r="AA51" s="191">
        <v>7.1</v>
      </c>
      <c r="AB51" s="191" t="s">
        <v>84</v>
      </c>
      <c r="AC51" s="127" t="s">
        <v>83</v>
      </c>
      <c r="AD51" s="192" t="s">
        <v>84</v>
      </c>
      <c r="AG51" s="196">
        <f t="shared" si="21"/>
        <v>5301</v>
      </c>
      <c r="AH51" s="196">
        <f t="shared" si="22"/>
        <v>32.799999999999997</v>
      </c>
      <c r="AI51" s="196">
        <f t="shared" si="23"/>
        <v>208</v>
      </c>
      <c r="AJ51" s="196">
        <f t="shared" si="24"/>
        <v>7</v>
      </c>
    </row>
    <row r="52" spans="2:36" ht="15.75" x14ac:dyDescent="0.25">
      <c r="B52" s="41">
        <v>6</v>
      </c>
      <c r="C52" s="160">
        <v>5293</v>
      </c>
      <c r="D52" s="160">
        <v>27.4</v>
      </c>
      <c r="E52" s="160">
        <v>78.8</v>
      </c>
      <c r="F52" s="161" t="s">
        <v>51</v>
      </c>
      <c r="G52" s="161">
        <v>6.85</v>
      </c>
      <c r="H52" s="162" t="s">
        <v>236</v>
      </c>
      <c r="I52" s="127" t="s">
        <v>83</v>
      </c>
      <c r="J52" s="164" t="s">
        <v>83</v>
      </c>
      <c r="K52" s="126"/>
      <c r="L52" s="41">
        <v>6</v>
      </c>
      <c r="M52" s="24">
        <v>5681</v>
      </c>
      <c r="N52" s="24">
        <v>5.5</v>
      </c>
      <c r="O52" s="24">
        <v>11</v>
      </c>
      <c r="P52" s="127" t="s">
        <v>51</v>
      </c>
      <c r="Q52" s="127">
        <v>7.65</v>
      </c>
      <c r="R52" s="127" t="s">
        <v>84</v>
      </c>
      <c r="S52" s="127" t="s">
        <v>83</v>
      </c>
      <c r="T52" s="127" t="s">
        <v>84</v>
      </c>
      <c r="U52" s="126"/>
      <c r="V52" s="41">
        <v>6</v>
      </c>
      <c r="W52" s="190">
        <v>5337</v>
      </c>
      <c r="X52" s="190">
        <v>6.2</v>
      </c>
      <c r="Y52" s="190">
        <v>15.7</v>
      </c>
      <c r="Z52" s="191" t="s">
        <v>51</v>
      </c>
      <c r="AA52" s="191">
        <v>7.1</v>
      </c>
      <c r="AB52" s="191" t="s">
        <v>84</v>
      </c>
      <c r="AC52" s="127" t="s">
        <v>83</v>
      </c>
      <c r="AD52" s="192" t="s">
        <v>84</v>
      </c>
      <c r="AG52" s="196">
        <f t="shared" si="21"/>
        <v>5293</v>
      </c>
      <c r="AH52" s="196">
        <f t="shared" si="22"/>
        <v>27.4</v>
      </c>
      <c r="AI52" s="196">
        <f t="shared" si="23"/>
        <v>78.8</v>
      </c>
      <c r="AJ52" s="196">
        <f t="shared" si="24"/>
        <v>6.85</v>
      </c>
    </row>
    <row r="53" spans="2:36" ht="15.75" x14ac:dyDescent="0.25">
      <c r="B53" s="41"/>
      <c r="C53" s="24"/>
      <c r="D53" s="24"/>
      <c r="E53" s="24"/>
      <c r="F53" s="24"/>
      <c r="G53" s="127"/>
      <c r="H53" s="127"/>
      <c r="I53" s="127"/>
      <c r="J53" s="127"/>
      <c r="K53" s="126"/>
      <c r="L53" s="41"/>
      <c r="M53" s="24"/>
      <c r="N53" s="24"/>
      <c r="O53" s="24"/>
      <c r="P53" s="24"/>
      <c r="Q53" s="127"/>
      <c r="R53" s="127"/>
      <c r="S53" s="127"/>
      <c r="T53" s="127"/>
      <c r="U53" s="126"/>
      <c r="V53" s="41"/>
      <c r="W53" s="24"/>
      <c r="X53" s="24"/>
      <c r="Y53" s="24"/>
      <c r="Z53" s="24"/>
      <c r="AA53" s="127"/>
      <c r="AB53" s="127"/>
      <c r="AC53" s="127"/>
      <c r="AD53" s="127"/>
      <c r="AF53" s="94" t="s">
        <v>253</v>
      </c>
      <c r="AG53" s="94">
        <f>C56</f>
        <v>5249</v>
      </c>
      <c r="AH53" s="196">
        <f t="shared" ref="AH53:AI53" si="25">D56</f>
        <v>4.7</v>
      </c>
      <c r="AI53" s="196">
        <f t="shared" si="25"/>
        <v>9.8000000000000007</v>
      </c>
      <c r="AJ53" s="94">
        <f>G56</f>
        <v>7</v>
      </c>
    </row>
    <row r="54" spans="2:36" ht="15.75" x14ac:dyDescent="0.25">
      <c r="B54" s="41"/>
      <c r="C54" s="24"/>
      <c r="D54" s="24"/>
      <c r="E54" s="24"/>
      <c r="F54" s="24"/>
      <c r="G54" s="127"/>
      <c r="H54" s="127"/>
      <c r="I54" s="127"/>
      <c r="J54" s="127"/>
      <c r="K54" s="126"/>
      <c r="L54" s="41"/>
      <c r="M54" s="24"/>
      <c r="N54" s="24"/>
      <c r="O54" s="24"/>
      <c r="P54" s="24"/>
      <c r="Q54" s="127"/>
      <c r="R54" s="127"/>
      <c r="S54" s="127"/>
      <c r="T54" s="127"/>
      <c r="U54" s="126"/>
      <c r="V54" s="41"/>
      <c r="W54" s="24"/>
      <c r="X54" s="24"/>
      <c r="Y54" s="24"/>
      <c r="Z54" s="24"/>
      <c r="AA54" s="127"/>
      <c r="AB54" s="127"/>
      <c r="AC54" s="127"/>
      <c r="AD54" s="127"/>
      <c r="AG54" s="196">
        <f t="shared" ref="AG54:AG58" si="26">C57</f>
        <v>5186</v>
      </c>
      <c r="AH54" s="196">
        <f t="shared" ref="AH54:AH58" si="27">D57</f>
        <v>6.4</v>
      </c>
      <c r="AI54" s="196">
        <f t="shared" ref="AI54:AI58" si="28">E57</f>
        <v>14.1</v>
      </c>
      <c r="AJ54" s="196">
        <f t="shared" ref="AJ54:AJ58" si="29">G57</f>
        <v>6.9</v>
      </c>
    </row>
    <row r="55" spans="2:36" ht="15.75" x14ac:dyDescent="0.25">
      <c r="B55" s="41" t="s">
        <v>231</v>
      </c>
      <c r="C55" s="41" t="s">
        <v>134</v>
      </c>
      <c r="D55" s="41" t="s">
        <v>222</v>
      </c>
      <c r="E55" s="41" t="s">
        <v>221</v>
      </c>
      <c r="F55" s="41" t="s">
        <v>220</v>
      </c>
      <c r="G55" s="129" t="s">
        <v>219</v>
      </c>
      <c r="H55" s="128" t="s">
        <v>218</v>
      </c>
      <c r="I55" s="128"/>
      <c r="J55" s="128" t="s">
        <v>52</v>
      </c>
      <c r="K55" s="126"/>
      <c r="L55" s="41" t="s">
        <v>230</v>
      </c>
      <c r="M55" s="41" t="s">
        <v>134</v>
      </c>
      <c r="N55" s="41" t="s">
        <v>222</v>
      </c>
      <c r="O55" s="41" t="s">
        <v>221</v>
      </c>
      <c r="P55" s="41" t="s">
        <v>220</v>
      </c>
      <c r="Q55" s="129" t="s">
        <v>219</v>
      </c>
      <c r="R55" s="128" t="s">
        <v>218</v>
      </c>
      <c r="S55" s="128"/>
      <c r="T55" s="128" t="s">
        <v>52</v>
      </c>
      <c r="U55" s="126"/>
      <c r="V55" s="41" t="s">
        <v>229</v>
      </c>
      <c r="W55" s="41" t="s">
        <v>134</v>
      </c>
      <c r="X55" s="41" t="s">
        <v>222</v>
      </c>
      <c r="Y55" s="41" t="s">
        <v>221</v>
      </c>
      <c r="Z55" s="41" t="s">
        <v>220</v>
      </c>
      <c r="AA55" s="129" t="s">
        <v>219</v>
      </c>
      <c r="AB55" s="128" t="s">
        <v>218</v>
      </c>
      <c r="AC55" s="128"/>
      <c r="AD55" s="128" t="s">
        <v>52</v>
      </c>
      <c r="AG55" s="196">
        <f t="shared" si="26"/>
        <v>5296</v>
      </c>
      <c r="AH55" s="196">
        <f t="shared" si="27"/>
        <v>6.8</v>
      </c>
      <c r="AI55" s="196">
        <f t="shared" si="28"/>
        <v>17.5</v>
      </c>
      <c r="AJ55" s="196">
        <f t="shared" si="29"/>
        <v>6.9</v>
      </c>
    </row>
    <row r="56" spans="2:36" ht="15.75" x14ac:dyDescent="0.25">
      <c r="B56" s="41">
        <v>1</v>
      </c>
      <c r="C56" s="165">
        <v>5249</v>
      </c>
      <c r="D56" s="165">
        <v>4.7</v>
      </c>
      <c r="E56" s="165">
        <v>9.8000000000000007</v>
      </c>
      <c r="F56" s="166" t="s">
        <v>51</v>
      </c>
      <c r="G56" s="166">
        <v>7</v>
      </c>
      <c r="H56" s="166" t="s">
        <v>84</v>
      </c>
      <c r="I56" s="127" t="s">
        <v>83</v>
      </c>
      <c r="J56" s="168" t="s">
        <v>84</v>
      </c>
      <c r="K56" s="126"/>
      <c r="L56" s="41">
        <v>1</v>
      </c>
      <c r="M56" s="175">
        <v>5341</v>
      </c>
      <c r="N56" s="175">
        <v>6.5</v>
      </c>
      <c r="O56" s="175">
        <v>16.3</v>
      </c>
      <c r="P56" s="176" t="s">
        <v>51</v>
      </c>
      <c r="Q56" s="176">
        <v>7</v>
      </c>
      <c r="R56" s="176" t="s">
        <v>84</v>
      </c>
      <c r="S56" s="127" t="s">
        <v>83</v>
      </c>
      <c r="T56" s="178" t="s">
        <v>84</v>
      </c>
      <c r="U56" s="126"/>
      <c r="V56" s="41">
        <v>1</v>
      </c>
      <c r="W56" s="193">
        <v>5275</v>
      </c>
      <c r="X56" s="193">
        <v>4.5</v>
      </c>
      <c r="Y56" s="193">
        <v>8.1</v>
      </c>
      <c r="Z56" s="194" t="s">
        <v>51</v>
      </c>
      <c r="AA56" s="194">
        <v>7.2</v>
      </c>
      <c r="AB56" s="194" t="s">
        <v>84</v>
      </c>
      <c r="AC56" s="127" t="s">
        <v>83</v>
      </c>
      <c r="AD56" s="202" t="s">
        <v>84</v>
      </c>
      <c r="AG56" s="196">
        <f t="shared" si="26"/>
        <v>5280</v>
      </c>
      <c r="AH56" s="196">
        <f t="shared" si="27"/>
        <v>24.9</v>
      </c>
      <c r="AI56" s="196">
        <f t="shared" si="28"/>
        <v>36.5</v>
      </c>
      <c r="AJ56" s="196">
        <f t="shared" si="29"/>
        <v>6.9</v>
      </c>
    </row>
    <row r="57" spans="2:36" ht="15.75" x14ac:dyDescent="0.25">
      <c r="B57" s="41">
        <v>2</v>
      </c>
      <c r="C57" s="165">
        <v>5186</v>
      </c>
      <c r="D57" s="165">
        <v>6.4</v>
      </c>
      <c r="E57" s="165">
        <v>14.1</v>
      </c>
      <c r="F57" s="166" t="s">
        <v>51</v>
      </c>
      <c r="G57" s="166">
        <v>6.9</v>
      </c>
      <c r="H57" s="166" t="s">
        <v>84</v>
      </c>
      <c r="I57" s="127" t="s">
        <v>83</v>
      </c>
      <c r="J57" s="168" t="s">
        <v>84</v>
      </c>
      <c r="K57" s="126"/>
      <c r="L57" s="41">
        <v>2</v>
      </c>
      <c r="M57" s="175">
        <v>5273</v>
      </c>
      <c r="N57" s="175">
        <v>89.5</v>
      </c>
      <c r="O57" s="175">
        <v>878</v>
      </c>
      <c r="P57" s="176" t="s">
        <v>51</v>
      </c>
      <c r="Q57" s="176">
        <v>7</v>
      </c>
      <c r="R57" s="177" t="s">
        <v>236</v>
      </c>
      <c r="S57" s="127" t="s">
        <v>83</v>
      </c>
      <c r="T57" s="179" t="s">
        <v>83</v>
      </c>
      <c r="U57" s="126"/>
      <c r="V57" s="41">
        <v>2</v>
      </c>
      <c r="W57" s="193">
        <v>5294</v>
      </c>
      <c r="X57" s="193">
        <v>49.3</v>
      </c>
      <c r="Y57" s="193">
        <v>800</v>
      </c>
      <c r="Z57" s="194" t="s">
        <v>51</v>
      </c>
      <c r="AA57" s="194">
        <v>7</v>
      </c>
      <c r="AB57" s="195" t="s">
        <v>236</v>
      </c>
      <c r="AC57" s="127" t="s">
        <v>84</v>
      </c>
      <c r="AD57" s="204" t="s">
        <v>83</v>
      </c>
      <c r="AG57" s="196">
        <f t="shared" si="26"/>
        <v>5284</v>
      </c>
      <c r="AH57" s="196">
        <f t="shared" si="27"/>
        <v>70</v>
      </c>
      <c r="AI57" s="196">
        <f t="shared" si="28"/>
        <v>1048</v>
      </c>
      <c r="AJ57" s="196">
        <f t="shared" si="29"/>
        <v>6.8</v>
      </c>
    </row>
    <row r="58" spans="2:36" ht="15.75" x14ac:dyDescent="0.25">
      <c r="B58" s="41">
        <v>3</v>
      </c>
      <c r="C58" s="165">
        <v>5296</v>
      </c>
      <c r="D58" s="165">
        <v>6.8</v>
      </c>
      <c r="E58" s="165">
        <v>17.5</v>
      </c>
      <c r="F58" s="166" t="s">
        <v>51</v>
      </c>
      <c r="G58" s="166">
        <v>6.9</v>
      </c>
      <c r="H58" s="166" t="s">
        <v>84</v>
      </c>
      <c r="I58" s="127" t="s">
        <v>83</v>
      </c>
      <c r="J58" s="168" t="s">
        <v>84</v>
      </c>
      <c r="K58" s="126"/>
      <c r="L58" s="41">
        <v>3</v>
      </c>
      <c r="M58" s="175">
        <v>5279</v>
      </c>
      <c r="N58" s="175">
        <v>28.6</v>
      </c>
      <c r="O58" s="175">
        <v>41.1</v>
      </c>
      <c r="P58" s="176" t="s">
        <v>51</v>
      </c>
      <c r="Q58" s="176">
        <v>7</v>
      </c>
      <c r="R58" s="177" t="s">
        <v>236</v>
      </c>
      <c r="S58" s="127" t="s">
        <v>83</v>
      </c>
      <c r="T58" s="179" t="s">
        <v>83</v>
      </c>
      <c r="U58" s="126"/>
      <c r="V58" s="41">
        <v>3</v>
      </c>
      <c r="W58" s="193">
        <v>5268</v>
      </c>
      <c r="X58" s="193">
        <v>16.100000000000001</v>
      </c>
      <c r="Y58" s="193">
        <v>31.2</v>
      </c>
      <c r="Z58" s="194" t="s">
        <v>51</v>
      </c>
      <c r="AA58" s="194">
        <v>6.9</v>
      </c>
      <c r="AB58" s="194" t="s">
        <v>84</v>
      </c>
      <c r="AC58" s="127" t="s">
        <v>83</v>
      </c>
      <c r="AD58" s="202" t="s">
        <v>84</v>
      </c>
      <c r="AG58" s="196">
        <f t="shared" si="26"/>
        <v>5299</v>
      </c>
      <c r="AH58" s="196">
        <f t="shared" si="27"/>
        <v>16.899999999999999</v>
      </c>
      <c r="AI58" s="196">
        <f t="shared" si="28"/>
        <v>36.700000000000003</v>
      </c>
      <c r="AJ58" s="196">
        <f t="shared" si="29"/>
        <v>7</v>
      </c>
    </row>
    <row r="59" spans="2:36" ht="15.75" x14ac:dyDescent="0.25">
      <c r="B59" s="41">
        <v>4</v>
      </c>
      <c r="C59" s="165">
        <v>5280</v>
      </c>
      <c r="D59" s="165">
        <v>24.9</v>
      </c>
      <c r="E59" s="165">
        <v>36.5</v>
      </c>
      <c r="F59" s="166" t="s">
        <v>51</v>
      </c>
      <c r="G59" s="166">
        <v>6.9</v>
      </c>
      <c r="H59" s="167" t="s">
        <v>236</v>
      </c>
      <c r="I59" s="127" t="s">
        <v>83</v>
      </c>
      <c r="J59" s="169" t="s">
        <v>83</v>
      </c>
      <c r="K59" s="126"/>
      <c r="L59" s="41">
        <v>4</v>
      </c>
      <c r="M59" s="175">
        <v>5340</v>
      </c>
      <c r="N59" s="175">
        <v>7.1</v>
      </c>
      <c r="O59" s="175">
        <v>17.600000000000001</v>
      </c>
      <c r="P59" s="176" t="s">
        <v>51</v>
      </c>
      <c r="Q59" s="176">
        <v>7.2</v>
      </c>
      <c r="R59" s="176" t="s">
        <v>84</v>
      </c>
      <c r="S59" s="127" t="s">
        <v>83</v>
      </c>
      <c r="T59" s="178" t="s">
        <v>84</v>
      </c>
      <c r="U59" s="126"/>
      <c r="V59" s="41">
        <v>4</v>
      </c>
      <c r="W59" s="193">
        <v>5267</v>
      </c>
      <c r="X59" s="193">
        <v>21.4</v>
      </c>
      <c r="Y59" s="193">
        <v>44</v>
      </c>
      <c r="Z59" s="194" t="s">
        <v>51</v>
      </c>
      <c r="AA59" s="194">
        <v>6.9</v>
      </c>
      <c r="AB59" s="194" t="s">
        <v>84</v>
      </c>
      <c r="AC59" s="127" t="s">
        <v>83</v>
      </c>
      <c r="AD59" s="202" t="s">
        <v>84</v>
      </c>
      <c r="AF59" s="94" t="s">
        <v>254</v>
      </c>
      <c r="AG59" s="94">
        <f>C65</f>
        <v>5239</v>
      </c>
      <c r="AH59" s="94">
        <f t="shared" ref="AH59:AI59" si="30">D65</f>
        <v>6.1</v>
      </c>
      <c r="AI59" s="94">
        <f t="shared" si="30"/>
        <v>24.2</v>
      </c>
      <c r="AJ59" s="94">
        <f>G65</f>
        <v>7.6</v>
      </c>
    </row>
    <row r="60" spans="2:36" ht="15.75" x14ac:dyDescent="0.25">
      <c r="B60" s="41">
        <v>5</v>
      </c>
      <c r="C60" s="165">
        <v>5284</v>
      </c>
      <c r="D60" s="165">
        <v>70</v>
      </c>
      <c r="E60" s="165">
        <v>1048</v>
      </c>
      <c r="F60" s="166" t="s">
        <v>51</v>
      </c>
      <c r="G60" s="166">
        <v>6.8</v>
      </c>
      <c r="H60" s="167" t="s">
        <v>236</v>
      </c>
      <c r="I60" s="127" t="s">
        <v>84</v>
      </c>
      <c r="J60" s="169" t="s">
        <v>83</v>
      </c>
      <c r="K60" s="126"/>
      <c r="L60" s="41">
        <v>5</v>
      </c>
      <c r="M60" s="175">
        <v>5342</v>
      </c>
      <c r="N60" s="175">
        <v>4.9000000000000004</v>
      </c>
      <c r="O60" s="175">
        <v>9.6999999999999993</v>
      </c>
      <c r="P60" s="176" t="s">
        <v>51</v>
      </c>
      <c r="Q60" s="176">
        <v>6.95</v>
      </c>
      <c r="R60" s="176" t="s">
        <v>84</v>
      </c>
      <c r="S60" s="127" t="s">
        <v>83</v>
      </c>
      <c r="T60" s="178" t="s">
        <v>84</v>
      </c>
      <c r="U60" s="126"/>
      <c r="V60" s="41">
        <v>5</v>
      </c>
      <c r="W60" s="193">
        <v>5290</v>
      </c>
      <c r="X60" s="193">
        <v>4.5</v>
      </c>
      <c r="Y60" s="193">
        <v>13</v>
      </c>
      <c r="Z60" s="194" t="s">
        <v>51</v>
      </c>
      <c r="AA60" s="194">
        <v>6.9</v>
      </c>
      <c r="AB60" s="194" t="s">
        <v>84</v>
      </c>
      <c r="AC60" s="127" t="s">
        <v>83</v>
      </c>
      <c r="AD60" s="202" t="s">
        <v>84</v>
      </c>
      <c r="AG60" s="94">
        <f t="shared" ref="AG60:AG64" si="31">C66</f>
        <v>5304</v>
      </c>
      <c r="AH60" s="94">
        <f t="shared" ref="AH60:AH64" si="32">D66</f>
        <v>7</v>
      </c>
      <c r="AI60" s="94">
        <f t="shared" ref="AI60:AI64" si="33">E66</f>
        <v>16</v>
      </c>
      <c r="AJ60" s="94">
        <f t="shared" ref="AJ60:AJ64" si="34">G66</f>
        <v>7</v>
      </c>
    </row>
    <row r="61" spans="2:36" ht="15.75" x14ac:dyDescent="0.25">
      <c r="B61" s="41">
        <v>6</v>
      </c>
      <c r="C61" s="165">
        <v>5299</v>
      </c>
      <c r="D61" s="165">
        <v>16.899999999999999</v>
      </c>
      <c r="E61" s="165">
        <v>36.700000000000003</v>
      </c>
      <c r="F61" s="166" t="s">
        <v>51</v>
      </c>
      <c r="G61" s="166">
        <v>7</v>
      </c>
      <c r="H61" s="166" t="s">
        <v>84</v>
      </c>
      <c r="I61" s="127" t="s">
        <v>83</v>
      </c>
      <c r="J61" s="168" t="s">
        <v>84</v>
      </c>
      <c r="K61" s="126"/>
      <c r="L61" s="41">
        <v>6</v>
      </c>
      <c r="M61" s="175">
        <v>5343</v>
      </c>
      <c r="N61" s="175">
        <v>4.4000000000000004</v>
      </c>
      <c r="O61" s="175">
        <v>8.8000000000000007</v>
      </c>
      <c r="P61" s="176" t="s">
        <v>51</v>
      </c>
      <c r="Q61" s="176">
        <v>6.9</v>
      </c>
      <c r="R61" s="176" t="s">
        <v>84</v>
      </c>
      <c r="S61" s="127" t="s">
        <v>83</v>
      </c>
      <c r="T61" s="178" t="s">
        <v>84</v>
      </c>
      <c r="U61" s="126"/>
      <c r="V61" s="41">
        <v>6</v>
      </c>
      <c r="W61" s="193">
        <v>5298</v>
      </c>
      <c r="X61" s="193">
        <v>13.1</v>
      </c>
      <c r="Y61" s="193">
        <v>23.3</v>
      </c>
      <c r="Z61" s="194" t="s">
        <v>51</v>
      </c>
      <c r="AA61" s="194">
        <v>7.1</v>
      </c>
      <c r="AB61" s="194" t="s">
        <v>84</v>
      </c>
      <c r="AC61" s="127" t="s">
        <v>83</v>
      </c>
      <c r="AD61" s="202" t="s">
        <v>84</v>
      </c>
      <c r="AG61" s="94">
        <f t="shared" si="31"/>
        <v>5269</v>
      </c>
      <c r="AH61" s="94">
        <f t="shared" si="32"/>
        <v>25.8</v>
      </c>
      <c r="AI61" s="94">
        <f t="shared" si="33"/>
        <v>106.5</v>
      </c>
      <c r="AJ61" s="94">
        <f t="shared" si="34"/>
        <v>6.9</v>
      </c>
    </row>
    <row r="62" spans="2:36" ht="15.75" x14ac:dyDescent="0.25">
      <c r="B62" s="41"/>
      <c r="C62" s="24"/>
      <c r="D62" s="24"/>
      <c r="E62" s="24"/>
      <c r="F62" s="24"/>
      <c r="G62" s="127"/>
      <c r="H62" s="127"/>
      <c r="I62" s="127"/>
      <c r="J62" s="127"/>
      <c r="K62" s="126"/>
      <c r="L62" s="41"/>
      <c r="M62" s="24"/>
      <c r="N62" s="24"/>
      <c r="O62" s="24"/>
      <c r="P62" s="24"/>
      <c r="Q62" s="127"/>
      <c r="R62" s="127"/>
      <c r="S62" s="127"/>
      <c r="T62" s="127"/>
      <c r="U62" s="126"/>
      <c r="V62" s="41"/>
      <c r="W62" s="24"/>
      <c r="X62" s="24"/>
      <c r="Y62" s="24"/>
      <c r="Z62" s="24"/>
      <c r="AA62" s="127"/>
      <c r="AB62" s="127"/>
      <c r="AC62" s="127"/>
      <c r="AD62" s="127"/>
      <c r="AG62" s="94">
        <f t="shared" si="31"/>
        <v>5234</v>
      </c>
      <c r="AH62" s="94">
        <f t="shared" si="32"/>
        <v>8.8000000000000007</v>
      </c>
      <c r="AI62" s="94">
        <f t="shared" si="33"/>
        <v>14.1</v>
      </c>
      <c r="AJ62" s="94">
        <f t="shared" si="34"/>
        <v>7.6</v>
      </c>
    </row>
    <row r="63" spans="2:36" ht="15.75" x14ac:dyDescent="0.25">
      <c r="B63" s="130"/>
      <c r="C63" s="130"/>
      <c r="D63" s="130"/>
      <c r="E63" s="130"/>
      <c r="F63" s="130"/>
      <c r="G63" s="130"/>
      <c r="H63" s="130"/>
      <c r="I63" s="130"/>
      <c r="J63" s="130"/>
      <c r="K63" s="126"/>
      <c r="L63" s="130"/>
      <c r="M63" s="130"/>
      <c r="N63" s="130"/>
      <c r="O63" s="130"/>
      <c r="P63" s="130"/>
      <c r="Q63" s="130"/>
      <c r="R63" s="130"/>
      <c r="S63" s="130"/>
      <c r="T63" s="130"/>
      <c r="U63" s="126"/>
      <c r="V63" s="130"/>
      <c r="W63" s="130"/>
      <c r="X63" s="130"/>
      <c r="Y63" s="130"/>
      <c r="Z63" s="130"/>
      <c r="AA63" s="130"/>
      <c r="AB63" s="130"/>
      <c r="AC63" s="130"/>
      <c r="AD63" s="130"/>
      <c r="AG63" s="94">
        <f t="shared" si="31"/>
        <v>5281</v>
      </c>
      <c r="AH63" s="94">
        <f t="shared" si="32"/>
        <v>19</v>
      </c>
      <c r="AI63" s="94">
        <f t="shared" si="33"/>
        <v>29.2</v>
      </c>
      <c r="AJ63" s="94">
        <f t="shared" si="34"/>
        <v>6.85</v>
      </c>
    </row>
    <row r="64" spans="2:36" ht="15.75" x14ac:dyDescent="0.25">
      <c r="B64" s="41" t="s">
        <v>228</v>
      </c>
      <c r="C64" s="41" t="s">
        <v>134</v>
      </c>
      <c r="D64" s="41" t="s">
        <v>222</v>
      </c>
      <c r="E64" s="41" t="s">
        <v>221</v>
      </c>
      <c r="F64" s="41" t="s">
        <v>220</v>
      </c>
      <c r="G64" s="129" t="s">
        <v>219</v>
      </c>
      <c r="H64" s="128" t="s">
        <v>218</v>
      </c>
      <c r="I64" s="128"/>
      <c r="J64" s="128" t="s">
        <v>52</v>
      </c>
      <c r="K64" s="126"/>
      <c r="L64" s="41" t="s">
        <v>227</v>
      </c>
      <c r="M64" s="41" t="s">
        <v>134</v>
      </c>
      <c r="N64" s="41" t="s">
        <v>222</v>
      </c>
      <c r="O64" s="41" t="s">
        <v>221</v>
      </c>
      <c r="P64" s="41" t="s">
        <v>220</v>
      </c>
      <c r="Q64" s="129" t="s">
        <v>219</v>
      </c>
      <c r="R64" s="128" t="s">
        <v>218</v>
      </c>
      <c r="S64" s="128"/>
      <c r="T64" s="128" t="s">
        <v>52</v>
      </c>
      <c r="U64" s="126"/>
      <c r="V64" s="41" t="s">
        <v>226</v>
      </c>
      <c r="W64" s="41" t="s">
        <v>134</v>
      </c>
      <c r="X64" s="41" t="s">
        <v>222</v>
      </c>
      <c r="Y64" s="41" t="s">
        <v>221</v>
      </c>
      <c r="Z64" s="41" t="s">
        <v>220</v>
      </c>
      <c r="AA64" s="129" t="s">
        <v>219</v>
      </c>
      <c r="AB64" s="128" t="s">
        <v>218</v>
      </c>
      <c r="AC64" s="128"/>
      <c r="AD64" s="128" t="s">
        <v>52</v>
      </c>
      <c r="AG64" s="94">
        <f t="shared" si="31"/>
        <v>5240</v>
      </c>
      <c r="AH64" s="94">
        <f t="shared" si="32"/>
        <v>8.4</v>
      </c>
      <c r="AI64" s="94">
        <f t="shared" si="33"/>
        <v>13.3</v>
      </c>
      <c r="AJ64" s="94">
        <f t="shared" si="34"/>
        <v>7.2</v>
      </c>
    </row>
    <row r="65" spans="2:36" ht="15.75" x14ac:dyDescent="0.25">
      <c r="B65" s="41">
        <v>1</v>
      </c>
      <c r="C65" s="24">
        <v>5239</v>
      </c>
      <c r="D65" s="24">
        <v>6.1</v>
      </c>
      <c r="E65" s="24">
        <v>24.2</v>
      </c>
      <c r="F65" s="127" t="s">
        <v>51</v>
      </c>
      <c r="G65" s="127">
        <v>7.6</v>
      </c>
      <c r="H65" s="127" t="s">
        <v>84</v>
      </c>
      <c r="I65" s="127" t="s">
        <v>83</v>
      </c>
      <c r="J65" s="127" t="s">
        <v>84</v>
      </c>
      <c r="K65" s="126"/>
      <c r="L65" s="41">
        <v>1</v>
      </c>
      <c r="M65" s="180">
        <v>5385</v>
      </c>
      <c r="N65" s="180">
        <v>10.8</v>
      </c>
      <c r="O65" s="180">
        <v>40.6</v>
      </c>
      <c r="P65" s="181" t="s">
        <v>51</v>
      </c>
      <c r="Q65" s="181">
        <v>6.9</v>
      </c>
      <c r="R65" s="181" t="s">
        <v>84</v>
      </c>
      <c r="S65" s="127" t="s">
        <v>83</v>
      </c>
      <c r="T65" s="183" t="s">
        <v>84</v>
      </c>
      <c r="U65" s="126"/>
      <c r="V65" s="41">
        <v>1</v>
      </c>
      <c r="W65" s="24">
        <v>5307</v>
      </c>
      <c r="X65" s="24">
        <v>11.4</v>
      </c>
      <c r="Y65" s="24">
        <v>32</v>
      </c>
      <c r="Z65" s="127" t="s">
        <v>51</v>
      </c>
      <c r="AA65" s="127">
        <v>7</v>
      </c>
      <c r="AB65" s="127" t="s">
        <v>84</v>
      </c>
      <c r="AC65" s="127" t="s">
        <v>83</v>
      </c>
      <c r="AD65" s="127" t="s">
        <v>84</v>
      </c>
      <c r="AF65" s="196" t="s">
        <v>259</v>
      </c>
      <c r="AG65" s="196">
        <f>C65</f>
        <v>5239</v>
      </c>
      <c r="AH65" s="196">
        <f t="shared" ref="AH65:AI65" si="35">D65</f>
        <v>6.1</v>
      </c>
      <c r="AI65" s="196">
        <f t="shared" si="35"/>
        <v>24.2</v>
      </c>
      <c r="AJ65" s="196">
        <f>G74</f>
        <v>7</v>
      </c>
    </row>
    <row r="66" spans="2:36" ht="15.75" x14ac:dyDescent="0.25">
      <c r="B66" s="41">
        <v>2</v>
      </c>
      <c r="C66" s="24">
        <v>5304</v>
      </c>
      <c r="D66" s="24">
        <v>7</v>
      </c>
      <c r="E66" s="24">
        <v>16</v>
      </c>
      <c r="F66" s="127" t="s">
        <v>51</v>
      </c>
      <c r="G66" s="127">
        <v>7</v>
      </c>
      <c r="H66" s="127" t="s">
        <v>84</v>
      </c>
      <c r="I66" s="127" t="s">
        <v>83</v>
      </c>
      <c r="J66" s="127" t="s">
        <v>84</v>
      </c>
      <c r="K66" s="126"/>
      <c r="L66" s="41">
        <v>2</v>
      </c>
      <c r="M66" s="180">
        <v>5384</v>
      </c>
      <c r="N66" s="180">
        <v>9.5</v>
      </c>
      <c r="O66" s="180">
        <v>46.2</v>
      </c>
      <c r="P66" s="181" t="s">
        <v>51</v>
      </c>
      <c r="Q66" s="181">
        <v>6.9</v>
      </c>
      <c r="R66" s="181" t="s">
        <v>84</v>
      </c>
      <c r="S66" s="127" t="s">
        <v>83</v>
      </c>
      <c r="T66" s="183" t="s">
        <v>84</v>
      </c>
      <c r="U66" s="126"/>
      <c r="V66" s="41">
        <v>2</v>
      </c>
      <c r="W66" s="24">
        <v>5308</v>
      </c>
      <c r="X66" s="24">
        <v>10</v>
      </c>
      <c r="Y66" s="24">
        <v>19.399999999999999</v>
      </c>
      <c r="Z66" s="127" t="s">
        <v>51</v>
      </c>
      <c r="AA66" s="127">
        <v>7</v>
      </c>
      <c r="AB66" s="127" t="s">
        <v>84</v>
      </c>
      <c r="AC66" s="127" t="s">
        <v>83</v>
      </c>
      <c r="AD66" s="127" t="s">
        <v>84</v>
      </c>
      <c r="AF66" s="196"/>
      <c r="AG66" s="196">
        <f t="shared" ref="AG66:AG70" si="36">C66</f>
        <v>5304</v>
      </c>
      <c r="AH66" s="196">
        <f t="shared" ref="AH66:AH70" si="37">D66</f>
        <v>7</v>
      </c>
      <c r="AI66" s="196">
        <f t="shared" ref="AI66:AI70" si="38">E66</f>
        <v>16</v>
      </c>
      <c r="AJ66" s="196">
        <f t="shared" ref="AJ66:AJ70" si="39">G75</f>
        <v>7.65</v>
      </c>
    </row>
    <row r="67" spans="2:36" ht="15.75" x14ac:dyDescent="0.25">
      <c r="B67" s="41">
        <v>3</v>
      </c>
      <c r="C67" s="24">
        <v>5269</v>
      </c>
      <c r="D67" s="24">
        <v>25.8</v>
      </c>
      <c r="E67" s="24">
        <v>106.5</v>
      </c>
      <c r="F67" s="127" t="s">
        <v>51</v>
      </c>
      <c r="G67" s="127">
        <v>6.9</v>
      </c>
      <c r="H67" s="127" t="s">
        <v>84</v>
      </c>
      <c r="I67" s="127" t="s">
        <v>83</v>
      </c>
      <c r="J67" s="127" t="s">
        <v>84</v>
      </c>
      <c r="K67" s="126"/>
      <c r="L67" s="41">
        <v>3</v>
      </c>
      <c r="M67" s="180">
        <v>5383</v>
      </c>
      <c r="N67" s="180">
        <v>8.8000000000000007</v>
      </c>
      <c r="O67" s="180">
        <v>30</v>
      </c>
      <c r="P67" s="181" t="s">
        <v>51</v>
      </c>
      <c r="Q67" s="181">
        <v>6.9</v>
      </c>
      <c r="R67" s="181" t="s">
        <v>84</v>
      </c>
      <c r="S67" s="127" t="s">
        <v>83</v>
      </c>
      <c r="T67" s="183" t="s">
        <v>84</v>
      </c>
      <c r="U67" s="126"/>
      <c r="V67" s="41">
        <v>3</v>
      </c>
      <c r="W67" s="24">
        <v>5309</v>
      </c>
      <c r="X67" s="24">
        <v>11.4</v>
      </c>
      <c r="Y67" s="24">
        <v>31.2</v>
      </c>
      <c r="Z67" s="127" t="s">
        <v>51</v>
      </c>
      <c r="AA67" s="127">
        <v>7.1</v>
      </c>
      <c r="AB67" s="127" t="s">
        <v>84</v>
      </c>
      <c r="AC67" s="127" t="s">
        <v>83</v>
      </c>
      <c r="AD67" s="127" t="s">
        <v>84</v>
      </c>
      <c r="AF67" s="196"/>
      <c r="AG67" s="196">
        <f t="shared" si="36"/>
        <v>5269</v>
      </c>
      <c r="AH67" s="196">
        <f t="shared" si="37"/>
        <v>25.8</v>
      </c>
      <c r="AI67" s="196">
        <f t="shared" si="38"/>
        <v>106.5</v>
      </c>
      <c r="AJ67" s="196">
        <f t="shared" si="39"/>
        <v>7</v>
      </c>
    </row>
    <row r="68" spans="2:36" ht="15.75" x14ac:dyDescent="0.25">
      <c r="B68" s="41">
        <v>4</v>
      </c>
      <c r="C68" s="24">
        <v>5234</v>
      </c>
      <c r="D68" s="24">
        <v>8.8000000000000007</v>
      </c>
      <c r="E68" s="24">
        <v>14.1</v>
      </c>
      <c r="F68" s="127" t="s">
        <v>51</v>
      </c>
      <c r="G68" s="127">
        <v>7.6</v>
      </c>
      <c r="H68" s="127" t="s">
        <v>84</v>
      </c>
      <c r="I68" s="127" t="s">
        <v>83</v>
      </c>
      <c r="J68" s="127" t="s">
        <v>84</v>
      </c>
      <c r="K68" s="126"/>
      <c r="L68" s="41">
        <v>4</v>
      </c>
      <c r="M68" s="180">
        <v>5382</v>
      </c>
      <c r="N68" s="180">
        <v>4.9000000000000004</v>
      </c>
      <c r="O68" s="180">
        <v>9.8000000000000007</v>
      </c>
      <c r="P68" s="181" t="s">
        <v>51</v>
      </c>
      <c r="Q68" s="181">
        <v>7</v>
      </c>
      <c r="R68" s="181" t="s">
        <v>84</v>
      </c>
      <c r="S68" s="127" t="s">
        <v>83</v>
      </c>
      <c r="T68" s="183" t="s">
        <v>84</v>
      </c>
      <c r="U68" s="126"/>
      <c r="V68" s="41">
        <v>4</v>
      </c>
      <c r="W68" s="24">
        <v>5310</v>
      </c>
      <c r="X68" s="24">
        <v>18</v>
      </c>
      <c r="Y68" s="24">
        <v>32.200000000000003</v>
      </c>
      <c r="Z68" s="127" t="s">
        <v>51</v>
      </c>
      <c r="AA68" s="127">
        <v>7.2</v>
      </c>
      <c r="AB68" s="127" t="s">
        <v>84</v>
      </c>
      <c r="AC68" s="127" t="s">
        <v>83</v>
      </c>
      <c r="AD68" s="127" t="s">
        <v>84</v>
      </c>
      <c r="AF68" s="196"/>
      <c r="AG68" s="196">
        <f t="shared" si="36"/>
        <v>5234</v>
      </c>
      <c r="AH68" s="196">
        <f t="shared" si="37"/>
        <v>8.8000000000000007</v>
      </c>
      <c r="AI68" s="196">
        <f t="shared" si="38"/>
        <v>14.1</v>
      </c>
      <c r="AJ68" s="196">
        <f t="shared" si="39"/>
        <v>7</v>
      </c>
    </row>
    <row r="69" spans="2:36" ht="15.75" x14ac:dyDescent="0.25">
      <c r="B69" s="41">
        <v>5</v>
      </c>
      <c r="C69" s="24">
        <v>5281</v>
      </c>
      <c r="D69" s="24">
        <v>19</v>
      </c>
      <c r="E69" s="24">
        <v>29.2</v>
      </c>
      <c r="F69" s="127" t="s">
        <v>51</v>
      </c>
      <c r="G69" s="127">
        <v>6.85</v>
      </c>
      <c r="H69" s="127" t="s">
        <v>84</v>
      </c>
      <c r="I69" s="127" t="s">
        <v>83</v>
      </c>
      <c r="J69" s="127" t="s">
        <v>84</v>
      </c>
      <c r="K69" s="126"/>
      <c r="L69" s="41">
        <v>5</v>
      </c>
      <c r="M69" s="180">
        <v>5336</v>
      </c>
      <c r="N69" s="180">
        <v>6.4</v>
      </c>
      <c r="O69" s="180">
        <v>20.3</v>
      </c>
      <c r="P69" s="181" t="s">
        <v>51</v>
      </c>
      <c r="Q69" s="181">
        <v>7.3</v>
      </c>
      <c r="R69" s="181" t="s">
        <v>84</v>
      </c>
      <c r="S69" s="127" t="s">
        <v>83</v>
      </c>
      <c r="T69" s="183" t="s">
        <v>84</v>
      </c>
      <c r="U69" s="126"/>
      <c r="V69" s="41">
        <v>5</v>
      </c>
      <c r="W69" s="24">
        <v>5667</v>
      </c>
      <c r="X69" s="24">
        <v>11</v>
      </c>
      <c r="Y69" s="24">
        <v>34.799999999999997</v>
      </c>
      <c r="Z69" s="127" t="s">
        <v>51</v>
      </c>
      <c r="AA69" s="127">
        <v>7</v>
      </c>
      <c r="AB69" s="127" t="s">
        <v>84</v>
      </c>
      <c r="AC69" s="127" t="s">
        <v>83</v>
      </c>
      <c r="AD69" s="127" t="s">
        <v>84</v>
      </c>
      <c r="AF69" s="196"/>
      <c r="AG69" s="196">
        <f t="shared" si="36"/>
        <v>5281</v>
      </c>
      <c r="AH69" s="196">
        <f t="shared" si="37"/>
        <v>19</v>
      </c>
      <c r="AI69" s="196">
        <f t="shared" si="38"/>
        <v>29.2</v>
      </c>
      <c r="AJ69" s="196">
        <f t="shared" si="39"/>
        <v>6.8</v>
      </c>
    </row>
    <row r="70" spans="2:36" ht="15.75" x14ac:dyDescent="0.25">
      <c r="B70" s="41">
        <v>6</v>
      </c>
      <c r="C70" s="24">
        <v>5240</v>
      </c>
      <c r="D70" s="24">
        <v>8.4</v>
      </c>
      <c r="E70" s="24">
        <v>13.3</v>
      </c>
      <c r="F70" s="127" t="s">
        <v>51</v>
      </c>
      <c r="G70" s="127">
        <v>7.2</v>
      </c>
      <c r="H70" s="127" t="s">
        <v>84</v>
      </c>
      <c r="I70" s="127" t="s">
        <v>83</v>
      </c>
      <c r="J70" s="127" t="s">
        <v>84</v>
      </c>
      <c r="K70" s="126"/>
      <c r="L70" s="41">
        <v>6</v>
      </c>
      <c r="M70" s="180">
        <v>5659</v>
      </c>
      <c r="N70" s="180">
        <v>5.0999999999999996</v>
      </c>
      <c r="O70" s="180">
        <v>11</v>
      </c>
      <c r="P70" s="181" t="s">
        <v>51</v>
      </c>
      <c r="Q70" s="181">
        <v>7.6</v>
      </c>
      <c r="R70" s="182" t="s">
        <v>258</v>
      </c>
      <c r="S70" s="127" t="s">
        <v>83</v>
      </c>
      <c r="T70" s="184" t="s">
        <v>83</v>
      </c>
      <c r="U70" s="126"/>
      <c r="V70" s="41">
        <v>6</v>
      </c>
      <c r="W70" s="24">
        <v>5668</v>
      </c>
      <c r="X70" s="24">
        <v>5</v>
      </c>
      <c r="Y70" s="24">
        <v>9.6999999999999993</v>
      </c>
      <c r="Z70" s="127" t="s">
        <v>51</v>
      </c>
      <c r="AA70" s="127">
        <v>7.5</v>
      </c>
      <c r="AB70" s="127" t="s">
        <v>84</v>
      </c>
      <c r="AC70" s="127" t="s">
        <v>83</v>
      </c>
      <c r="AD70" s="127" t="s">
        <v>84</v>
      </c>
      <c r="AF70" s="196"/>
      <c r="AG70" s="196">
        <f t="shared" si="36"/>
        <v>5240</v>
      </c>
      <c r="AH70" s="196">
        <f t="shared" si="37"/>
        <v>8.4</v>
      </c>
      <c r="AI70" s="196">
        <f t="shared" si="38"/>
        <v>13.3</v>
      </c>
      <c r="AJ70" s="196">
        <f t="shared" si="39"/>
        <v>7</v>
      </c>
    </row>
    <row r="71" spans="2:36" ht="15.75" x14ac:dyDescent="0.25">
      <c r="B71" s="41"/>
      <c r="C71" s="24"/>
      <c r="D71" s="24"/>
      <c r="E71" s="24"/>
      <c r="F71" s="24"/>
      <c r="G71" s="127"/>
      <c r="H71" s="127"/>
      <c r="I71" s="127"/>
      <c r="J71" s="127"/>
      <c r="K71" s="126"/>
      <c r="L71" s="41"/>
      <c r="M71" s="24"/>
      <c r="N71" s="24"/>
      <c r="O71" s="24"/>
      <c r="P71" s="24"/>
      <c r="Q71" s="127"/>
      <c r="R71" s="127"/>
      <c r="S71" s="127"/>
      <c r="T71" s="127"/>
      <c r="U71" s="126"/>
      <c r="V71" s="41"/>
      <c r="W71" s="24"/>
      <c r="X71" s="24"/>
      <c r="Y71" s="24"/>
      <c r="Z71" s="24"/>
      <c r="AA71" s="127"/>
      <c r="AB71" s="127"/>
      <c r="AC71" s="127"/>
      <c r="AD71" s="127"/>
      <c r="AF71" s="159" t="s">
        <v>255</v>
      </c>
      <c r="AG71" s="94">
        <f>M47</f>
        <v>5658</v>
      </c>
      <c r="AH71" s="94">
        <f t="shared" ref="AH71:AI71" si="40">N47</f>
        <v>6.8</v>
      </c>
      <c r="AI71" s="94">
        <f t="shared" si="40"/>
        <v>20</v>
      </c>
      <c r="AJ71" s="94">
        <f>Q47</f>
        <v>7.6</v>
      </c>
    </row>
    <row r="72" spans="2:36" ht="15.75" x14ac:dyDescent="0.25">
      <c r="B72" s="41"/>
      <c r="C72" s="24"/>
      <c r="D72" s="24"/>
      <c r="E72" s="24"/>
      <c r="F72" s="24"/>
      <c r="G72" s="127"/>
      <c r="H72" s="127"/>
      <c r="I72" s="127"/>
      <c r="J72" s="127"/>
      <c r="K72" s="126"/>
      <c r="L72" s="41"/>
      <c r="M72" s="24"/>
      <c r="N72" s="24"/>
      <c r="O72" s="24"/>
      <c r="P72" s="24"/>
      <c r="Q72" s="127"/>
      <c r="R72" s="127"/>
      <c r="S72" s="127"/>
      <c r="T72" s="127"/>
      <c r="U72" s="126"/>
      <c r="V72" s="41"/>
      <c r="W72" s="24"/>
      <c r="X72" s="24"/>
      <c r="Y72" s="24"/>
      <c r="Z72" s="24"/>
      <c r="AA72" s="127"/>
      <c r="AB72" s="127"/>
      <c r="AC72" s="127"/>
      <c r="AD72" s="127"/>
      <c r="AG72" s="94">
        <f t="shared" ref="AG72:AG76" si="41">M48</f>
        <v>5657</v>
      </c>
      <c r="AH72" s="94">
        <f t="shared" ref="AH72:AH76" si="42">N48</f>
        <v>8.5</v>
      </c>
      <c r="AI72" s="94">
        <f t="shared" ref="AI72:AI76" si="43">O48</f>
        <v>34.200000000000003</v>
      </c>
      <c r="AJ72" s="94">
        <f t="shared" ref="AJ72:AJ76" si="44">Q48</f>
        <v>7.5</v>
      </c>
    </row>
    <row r="73" spans="2:36" ht="15.75" x14ac:dyDescent="0.25">
      <c r="B73" s="41" t="s">
        <v>225</v>
      </c>
      <c r="C73" s="41" t="s">
        <v>134</v>
      </c>
      <c r="D73" s="41" t="s">
        <v>222</v>
      </c>
      <c r="E73" s="41" t="s">
        <v>221</v>
      </c>
      <c r="F73" s="41" t="s">
        <v>220</v>
      </c>
      <c r="G73" s="129" t="s">
        <v>219</v>
      </c>
      <c r="H73" s="128" t="s">
        <v>218</v>
      </c>
      <c r="I73" s="128"/>
      <c r="J73" s="128" t="s">
        <v>52</v>
      </c>
      <c r="K73" s="126"/>
      <c r="L73" s="41" t="s">
        <v>224</v>
      </c>
      <c r="M73" s="41" t="s">
        <v>134</v>
      </c>
      <c r="N73" s="41" t="s">
        <v>222</v>
      </c>
      <c r="O73" s="41" t="s">
        <v>221</v>
      </c>
      <c r="P73" s="41" t="s">
        <v>220</v>
      </c>
      <c r="Q73" s="129" t="s">
        <v>219</v>
      </c>
      <c r="R73" s="128" t="s">
        <v>218</v>
      </c>
      <c r="S73" s="128"/>
      <c r="T73" s="128" t="s">
        <v>52</v>
      </c>
      <c r="U73" s="126"/>
      <c r="V73" s="41" t="s">
        <v>223</v>
      </c>
      <c r="W73" s="41" t="s">
        <v>134</v>
      </c>
      <c r="X73" s="41" t="s">
        <v>222</v>
      </c>
      <c r="Y73" s="41" t="s">
        <v>221</v>
      </c>
      <c r="Z73" s="41" t="s">
        <v>220</v>
      </c>
      <c r="AA73" s="129" t="s">
        <v>219</v>
      </c>
      <c r="AB73" s="128" t="s">
        <v>218</v>
      </c>
      <c r="AC73" s="128"/>
      <c r="AD73" s="128" t="s">
        <v>52</v>
      </c>
      <c r="AG73" s="94">
        <f t="shared" si="41"/>
        <v>5678</v>
      </c>
      <c r="AH73" s="94">
        <f t="shared" si="42"/>
        <v>6.1</v>
      </c>
      <c r="AI73" s="94">
        <f t="shared" si="43"/>
        <v>19.7</v>
      </c>
      <c r="AJ73" s="94">
        <f t="shared" si="44"/>
        <v>7.7</v>
      </c>
    </row>
    <row r="74" spans="2:36" ht="15.75" x14ac:dyDescent="0.25">
      <c r="B74" s="41">
        <v>1</v>
      </c>
      <c r="C74" s="170">
        <v>5289</v>
      </c>
      <c r="D74" s="170">
        <v>5</v>
      </c>
      <c r="E74" s="170">
        <v>10.6</v>
      </c>
      <c r="F74" s="171" t="s">
        <v>51</v>
      </c>
      <c r="G74" s="171">
        <v>7</v>
      </c>
      <c r="H74" s="171" t="s">
        <v>84</v>
      </c>
      <c r="I74" s="127" t="s">
        <v>83</v>
      </c>
      <c r="J74" s="173" t="s">
        <v>84</v>
      </c>
      <c r="K74" s="126"/>
      <c r="L74" s="41">
        <v>1</v>
      </c>
      <c r="M74" s="185">
        <v>5424</v>
      </c>
      <c r="N74" s="185">
        <v>7.2</v>
      </c>
      <c r="O74" s="185">
        <v>18.100000000000001</v>
      </c>
      <c r="P74" s="186" t="s">
        <v>51</v>
      </c>
      <c r="Q74" s="186">
        <v>7</v>
      </c>
      <c r="R74" s="186" t="s">
        <v>84</v>
      </c>
      <c r="S74" s="127" t="s">
        <v>83</v>
      </c>
      <c r="T74" s="188" t="s">
        <v>84</v>
      </c>
      <c r="U74" s="126"/>
      <c r="V74" s="41">
        <v>1</v>
      </c>
      <c r="W74" s="24">
        <v>5238</v>
      </c>
      <c r="X74" s="24">
        <v>4</v>
      </c>
      <c r="Y74" s="24">
        <v>9.6</v>
      </c>
      <c r="Z74" s="24" t="s">
        <v>51</v>
      </c>
      <c r="AA74" s="127">
        <v>7</v>
      </c>
      <c r="AB74" s="127" t="s">
        <v>84</v>
      </c>
      <c r="AC74" s="127" t="s">
        <v>83</v>
      </c>
      <c r="AD74" s="127" t="s">
        <v>84</v>
      </c>
      <c r="AG74" s="94">
        <f t="shared" si="41"/>
        <v>5680</v>
      </c>
      <c r="AH74" s="94">
        <f t="shared" si="42"/>
        <v>8.8000000000000007</v>
      </c>
      <c r="AI74" s="94">
        <f t="shared" si="43"/>
        <v>48.3</v>
      </c>
      <c r="AJ74" s="94">
        <f t="shared" si="44"/>
        <v>7.5</v>
      </c>
    </row>
    <row r="75" spans="2:36" ht="15.75" x14ac:dyDescent="0.25">
      <c r="B75" s="41">
        <v>2</v>
      </c>
      <c r="C75" s="170">
        <v>5236</v>
      </c>
      <c r="D75" s="170">
        <v>5.6</v>
      </c>
      <c r="E75" s="170">
        <v>11</v>
      </c>
      <c r="F75" s="171" t="s">
        <v>51</v>
      </c>
      <c r="G75" s="171">
        <v>7.65</v>
      </c>
      <c r="H75" s="171" t="s">
        <v>84</v>
      </c>
      <c r="I75" s="127" t="s">
        <v>83</v>
      </c>
      <c r="J75" s="173" t="s">
        <v>84</v>
      </c>
      <c r="K75" s="126"/>
      <c r="L75" s="41">
        <v>2</v>
      </c>
      <c r="M75" s="185">
        <v>5424</v>
      </c>
      <c r="N75" s="185">
        <v>8.8000000000000007</v>
      </c>
      <c r="O75" s="185">
        <v>17.2</v>
      </c>
      <c r="P75" s="186" t="s">
        <v>51</v>
      </c>
      <c r="Q75" s="186">
        <v>7.4</v>
      </c>
      <c r="R75" s="186" t="s">
        <v>84</v>
      </c>
      <c r="S75" s="127" t="s">
        <v>83</v>
      </c>
      <c r="T75" s="188" t="s">
        <v>84</v>
      </c>
      <c r="U75" s="126"/>
      <c r="V75" s="41">
        <v>2</v>
      </c>
      <c r="W75" s="24">
        <v>5266</v>
      </c>
      <c r="X75" s="24">
        <v>6.6</v>
      </c>
      <c r="Y75" s="24">
        <v>13.3</v>
      </c>
      <c r="Z75" s="24" t="s">
        <v>51</v>
      </c>
      <c r="AA75" s="127">
        <v>7.1</v>
      </c>
      <c r="AB75" s="127" t="s">
        <v>84</v>
      </c>
      <c r="AC75" s="127" t="s">
        <v>83</v>
      </c>
      <c r="AD75" s="127" t="s">
        <v>84</v>
      </c>
      <c r="AG75" s="94">
        <f t="shared" si="41"/>
        <v>5656</v>
      </c>
      <c r="AH75" s="94">
        <f t="shared" si="42"/>
        <v>16.2</v>
      </c>
      <c r="AI75" s="94">
        <f t="shared" si="43"/>
        <v>67.400000000000006</v>
      </c>
      <c r="AJ75" s="94">
        <f t="shared" si="44"/>
        <v>7.6</v>
      </c>
    </row>
    <row r="76" spans="2:36" ht="15.75" x14ac:dyDescent="0.25">
      <c r="B76" s="41">
        <v>3</v>
      </c>
      <c r="C76" s="170">
        <v>5306</v>
      </c>
      <c r="D76" s="170">
        <v>132.19999999999999</v>
      </c>
      <c r="E76" s="170">
        <v>2000</v>
      </c>
      <c r="F76" s="171" t="s">
        <v>51</v>
      </c>
      <c r="G76" s="171">
        <v>7</v>
      </c>
      <c r="H76" s="172" t="s">
        <v>236</v>
      </c>
      <c r="I76" s="127" t="s">
        <v>83</v>
      </c>
      <c r="J76" s="174" t="s">
        <v>83</v>
      </c>
      <c r="K76" s="126"/>
      <c r="L76" s="41">
        <v>3</v>
      </c>
      <c r="M76" s="185">
        <v>5425</v>
      </c>
      <c r="N76" s="185">
        <v>13.5</v>
      </c>
      <c r="O76" s="185">
        <v>41.7</v>
      </c>
      <c r="P76" s="186" t="s">
        <v>51</v>
      </c>
      <c r="Q76" s="186">
        <v>7.35</v>
      </c>
      <c r="R76" s="186" t="s">
        <v>84</v>
      </c>
      <c r="S76" s="127" t="s">
        <v>83</v>
      </c>
      <c r="T76" s="188" t="s">
        <v>84</v>
      </c>
      <c r="U76" s="126"/>
      <c r="V76" s="41">
        <v>3</v>
      </c>
      <c r="W76" s="24">
        <v>5295</v>
      </c>
      <c r="X76" s="24">
        <v>31.7</v>
      </c>
      <c r="Y76" s="24">
        <v>98</v>
      </c>
      <c r="Z76" s="24" t="s">
        <v>51</v>
      </c>
      <c r="AA76" s="127">
        <v>7</v>
      </c>
      <c r="AB76" s="127" t="s">
        <v>84</v>
      </c>
      <c r="AC76" s="127" t="s">
        <v>83</v>
      </c>
      <c r="AD76" s="127" t="s">
        <v>84</v>
      </c>
      <c r="AG76" s="94">
        <f t="shared" si="41"/>
        <v>5681</v>
      </c>
      <c r="AH76" s="94">
        <f t="shared" si="42"/>
        <v>5.5</v>
      </c>
      <c r="AI76" s="94">
        <f t="shared" si="43"/>
        <v>11</v>
      </c>
      <c r="AJ76" s="94">
        <f t="shared" si="44"/>
        <v>7.65</v>
      </c>
    </row>
    <row r="77" spans="2:36" ht="15.75" x14ac:dyDescent="0.25">
      <c r="B77" s="41">
        <v>4</v>
      </c>
      <c r="C77" s="170">
        <v>5274</v>
      </c>
      <c r="D77" s="170">
        <v>10.199999999999999</v>
      </c>
      <c r="E77" s="170">
        <v>20</v>
      </c>
      <c r="F77" s="171" t="s">
        <v>51</v>
      </c>
      <c r="G77" s="171">
        <v>7</v>
      </c>
      <c r="H77" s="171" t="s">
        <v>84</v>
      </c>
      <c r="I77" s="127" t="s">
        <v>83</v>
      </c>
      <c r="J77" s="173" t="s">
        <v>84</v>
      </c>
      <c r="K77" s="126"/>
      <c r="L77" s="41">
        <v>4</v>
      </c>
      <c r="M77" s="185">
        <v>5426</v>
      </c>
      <c r="N77" s="185">
        <v>18.8</v>
      </c>
      <c r="O77" s="185">
        <v>49</v>
      </c>
      <c r="P77" s="186" t="s">
        <v>51</v>
      </c>
      <c r="Q77" s="186">
        <v>7.2</v>
      </c>
      <c r="R77" s="186" t="s">
        <v>84</v>
      </c>
      <c r="S77" s="127" t="s">
        <v>83</v>
      </c>
      <c r="T77" s="188" t="s">
        <v>84</v>
      </c>
      <c r="U77" s="126"/>
      <c r="V77" s="41">
        <v>4</v>
      </c>
      <c r="W77" s="24">
        <v>5288</v>
      </c>
      <c r="X77" s="24">
        <v>20</v>
      </c>
      <c r="Y77" s="24">
        <v>145</v>
      </c>
      <c r="Z77" s="24" t="s">
        <v>51</v>
      </c>
      <c r="AA77" s="127">
        <v>7.6</v>
      </c>
      <c r="AB77" s="127" t="s">
        <v>84</v>
      </c>
      <c r="AC77" s="127" t="s">
        <v>83</v>
      </c>
      <c r="AD77" s="127" t="s">
        <v>84</v>
      </c>
      <c r="AF77" s="196" t="s">
        <v>260</v>
      </c>
      <c r="AG77" s="196">
        <f>M56</f>
        <v>5341</v>
      </c>
      <c r="AH77" s="196">
        <f t="shared" ref="AH77:AI77" si="45">N56</f>
        <v>6.5</v>
      </c>
      <c r="AI77" s="196">
        <f t="shared" si="45"/>
        <v>16.3</v>
      </c>
      <c r="AJ77" s="196">
        <f>Q56</f>
        <v>7</v>
      </c>
    </row>
    <row r="78" spans="2:36" ht="15.75" x14ac:dyDescent="0.25">
      <c r="B78" s="41">
        <v>5</v>
      </c>
      <c r="C78" s="170">
        <v>5278</v>
      </c>
      <c r="D78" s="170">
        <v>14.3</v>
      </c>
      <c r="E78" s="170">
        <v>21.8</v>
      </c>
      <c r="F78" s="171" t="s">
        <v>51</v>
      </c>
      <c r="G78" s="171">
        <v>6.8</v>
      </c>
      <c r="H78" s="172" t="s">
        <v>236</v>
      </c>
      <c r="I78" s="127" t="s">
        <v>83</v>
      </c>
      <c r="J78" s="174" t="s">
        <v>83</v>
      </c>
      <c r="K78" s="126"/>
      <c r="L78" s="41">
        <v>5</v>
      </c>
      <c r="M78" s="185">
        <v>5264</v>
      </c>
      <c r="N78" s="185">
        <v>112.2</v>
      </c>
      <c r="O78" s="185">
        <v>978</v>
      </c>
      <c r="P78" s="186" t="s">
        <v>51</v>
      </c>
      <c r="Q78" s="186">
        <v>7</v>
      </c>
      <c r="R78" s="187" t="s">
        <v>236</v>
      </c>
      <c r="S78" s="127" t="s">
        <v>83</v>
      </c>
      <c r="T78" s="189" t="s">
        <v>83</v>
      </c>
      <c r="U78" s="126"/>
      <c r="V78" s="41">
        <v>5</v>
      </c>
      <c r="W78" s="24">
        <v>5258</v>
      </c>
      <c r="X78" s="24">
        <v>13.9</v>
      </c>
      <c r="Y78" s="24">
        <v>47.5</v>
      </c>
      <c r="Z78" s="24" t="s">
        <v>51</v>
      </c>
      <c r="AA78" s="127">
        <v>7.1</v>
      </c>
      <c r="AB78" s="127" t="s">
        <v>84</v>
      </c>
      <c r="AC78" s="127" t="s">
        <v>83</v>
      </c>
      <c r="AD78" s="127" t="s">
        <v>84</v>
      </c>
      <c r="AF78" s="196"/>
      <c r="AG78" s="196">
        <f t="shared" ref="AG78:AG82" si="46">M57</f>
        <v>5273</v>
      </c>
      <c r="AH78" s="196">
        <f t="shared" ref="AH78:AH82" si="47">N57</f>
        <v>89.5</v>
      </c>
      <c r="AI78" s="196">
        <f t="shared" ref="AI78:AI82" si="48">O57</f>
        <v>878</v>
      </c>
      <c r="AJ78" s="196">
        <f t="shared" ref="AJ78:AJ82" si="49">Q57</f>
        <v>7</v>
      </c>
    </row>
    <row r="79" spans="2:36" ht="15.75" x14ac:dyDescent="0.25">
      <c r="B79" s="41">
        <v>6</v>
      </c>
      <c r="C79" s="170">
        <v>5303</v>
      </c>
      <c r="D79" s="170">
        <v>9.9</v>
      </c>
      <c r="E79" s="170">
        <v>24.3</v>
      </c>
      <c r="F79" s="171" t="s">
        <v>51</v>
      </c>
      <c r="G79" s="171">
        <v>7</v>
      </c>
      <c r="H79" s="171" t="s">
        <v>84</v>
      </c>
      <c r="I79" s="127" t="s">
        <v>83</v>
      </c>
      <c r="J79" s="173" t="s">
        <v>84</v>
      </c>
      <c r="K79" s="126"/>
      <c r="L79" s="41">
        <v>6</v>
      </c>
      <c r="M79" s="185">
        <v>5270</v>
      </c>
      <c r="N79" s="185">
        <v>6.2</v>
      </c>
      <c r="O79" s="185">
        <v>16.7</v>
      </c>
      <c r="P79" s="186" t="s">
        <v>51</v>
      </c>
      <c r="Q79" s="186">
        <v>7</v>
      </c>
      <c r="R79" s="186" t="s">
        <v>84</v>
      </c>
      <c r="S79" s="127" t="s">
        <v>83</v>
      </c>
      <c r="T79" s="188" t="s">
        <v>84</v>
      </c>
      <c r="U79" s="126"/>
      <c r="V79" s="41">
        <v>6</v>
      </c>
      <c r="W79" s="24">
        <v>5283</v>
      </c>
      <c r="X79" s="24">
        <v>6.3</v>
      </c>
      <c r="Y79" s="24">
        <v>13.3</v>
      </c>
      <c r="Z79" s="24" t="s">
        <v>51</v>
      </c>
      <c r="AA79" s="127">
        <v>6.85</v>
      </c>
      <c r="AB79" s="127" t="s">
        <v>84</v>
      </c>
      <c r="AC79" s="127" t="s">
        <v>83</v>
      </c>
      <c r="AD79" s="127" t="s">
        <v>84</v>
      </c>
      <c r="AF79" s="196"/>
      <c r="AG79" s="196">
        <f t="shared" si="46"/>
        <v>5279</v>
      </c>
      <c r="AH79" s="196">
        <f t="shared" si="47"/>
        <v>28.6</v>
      </c>
      <c r="AI79" s="196">
        <f t="shared" si="48"/>
        <v>41.1</v>
      </c>
      <c r="AJ79" s="196">
        <f t="shared" si="49"/>
        <v>7</v>
      </c>
    </row>
    <row r="80" spans="2:36" ht="15.75" x14ac:dyDescent="0.25">
      <c r="B80" s="126"/>
      <c r="C80" s="126"/>
      <c r="D80" s="126"/>
      <c r="E80" s="126"/>
      <c r="F80" s="126"/>
      <c r="G80" s="126"/>
      <c r="H80" s="126"/>
      <c r="I80" s="126"/>
      <c r="J80" s="126"/>
      <c r="K80" s="126"/>
      <c r="L80" s="126"/>
      <c r="M80" s="126"/>
      <c r="N80" s="126"/>
      <c r="O80" s="126"/>
      <c r="P80" s="126"/>
      <c r="Q80" s="126"/>
      <c r="R80" s="126"/>
      <c r="S80" s="126"/>
      <c r="T80" s="126"/>
      <c r="U80" s="126"/>
      <c r="V80" s="126"/>
      <c r="W80" s="126"/>
      <c r="AF80" s="196"/>
      <c r="AG80" s="196">
        <f t="shared" si="46"/>
        <v>5340</v>
      </c>
      <c r="AH80" s="196">
        <f t="shared" si="47"/>
        <v>7.1</v>
      </c>
      <c r="AI80" s="196">
        <f t="shared" si="48"/>
        <v>17.600000000000001</v>
      </c>
      <c r="AJ80" s="196">
        <f t="shared" si="49"/>
        <v>7.2</v>
      </c>
    </row>
    <row r="81" spans="2:36" ht="15.75" x14ac:dyDescent="0.25">
      <c r="B81" s="126"/>
      <c r="C81" s="126"/>
      <c r="D81" s="126"/>
      <c r="E81" s="126"/>
      <c r="F81" s="126"/>
      <c r="G81" s="126"/>
      <c r="H81" s="126"/>
      <c r="I81" s="126"/>
      <c r="J81" s="126"/>
      <c r="K81" s="126"/>
      <c r="L81" s="126"/>
      <c r="M81" s="126"/>
      <c r="N81" s="126"/>
      <c r="O81" s="126"/>
      <c r="P81" s="126"/>
      <c r="Q81" s="126"/>
      <c r="R81" s="126"/>
      <c r="S81" s="126"/>
      <c r="T81" s="126"/>
      <c r="U81" s="126"/>
      <c r="V81" s="126"/>
      <c r="W81" s="126"/>
      <c r="AF81" s="196"/>
      <c r="AG81" s="196">
        <f t="shared" si="46"/>
        <v>5342</v>
      </c>
      <c r="AH81" s="196">
        <f t="shared" si="47"/>
        <v>4.9000000000000004</v>
      </c>
      <c r="AI81" s="196">
        <f t="shared" si="48"/>
        <v>9.6999999999999993</v>
      </c>
      <c r="AJ81" s="196">
        <f t="shared" si="49"/>
        <v>6.95</v>
      </c>
    </row>
    <row r="82" spans="2:36" ht="15.75" x14ac:dyDescent="0.25">
      <c r="B82" s="126"/>
      <c r="C82" s="126"/>
      <c r="D82" s="126"/>
      <c r="E82" s="126"/>
      <c r="F82" s="126"/>
      <c r="G82" s="126"/>
      <c r="H82" s="126"/>
      <c r="I82" s="126"/>
      <c r="J82" s="126"/>
      <c r="K82" s="126"/>
      <c r="L82" s="126"/>
      <c r="M82" s="126"/>
      <c r="N82" s="126"/>
      <c r="O82" s="126"/>
      <c r="P82" s="126"/>
      <c r="Q82" s="126"/>
      <c r="R82" s="126"/>
      <c r="S82" s="126"/>
      <c r="T82" s="126"/>
      <c r="U82" s="126"/>
      <c r="V82" s="126"/>
      <c r="W82" s="126"/>
      <c r="AF82" s="196"/>
      <c r="AG82" s="196">
        <f t="shared" si="46"/>
        <v>5343</v>
      </c>
      <c r="AH82" s="196">
        <f t="shared" si="47"/>
        <v>4.4000000000000004</v>
      </c>
      <c r="AI82" s="196">
        <f t="shared" si="48"/>
        <v>8.8000000000000007</v>
      </c>
      <c r="AJ82" s="196">
        <f t="shared" si="49"/>
        <v>6.9</v>
      </c>
    </row>
    <row r="83" spans="2:36" ht="15.75" x14ac:dyDescent="0.25">
      <c r="B83" s="126"/>
      <c r="C83" s="126"/>
      <c r="D83" s="126"/>
      <c r="E83" s="126"/>
      <c r="F83" s="126"/>
      <c r="G83" s="126"/>
      <c r="H83" s="126"/>
      <c r="I83" s="126"/>
      <c r="J83" s="126"/>
      <c r="K83" s="126"/>
      <c r="L83" s="126"/>
      <c r="M83" s="126"/>
      <c r="N83" s="126"/>
      <c r="O83" s="126"/>
      <c r="P83" s="126"/>
      <c r="Q83" s="126"/>
      <c r="R83" s="126"/>
      <c r="S83" s="126"/>
      <c r="T83" s="126"/>
      <c r="U83" s="126"/>
      <c r="V83" s="126"/>
      <c r="W83" s="126"/>
      <c r="AF83" s="196" t="s">
        <v>261</v>
      </c>
      <c r="AG83" s="196">
        <f>M65</f>
        <v>5385</v>
      </c>
      <c r="AH83" s="196">
        <f t="shared" ref="AH83:AI83" si="50">N65</f>
        <v>10.8</v>
      </c>
      <c r="AI83" s="196">
        <f t="shared" si="50"/>
        <v>40.6</v>
      </c>
      <c r="AJ83" s="196">
        <f>Q65</f>
        <v>6.9</v>
      </c>
    </row>
    <row r="84" spans="2:36" ht="15.75" x14ac:dyDescent="0.25">
      <c r="B84" s="126"/>
      <c r="C84" s="126"/>
      <c r="D84" s="126"/>
      <c r="E84" s="126"/>
      <c r="F84" s="126"/>
      <c r="G84" s="126"/>
      <c r="H84" s="126"/>
      <c r="I84" s="126"/>
      <c r="J84" s="126"/>
      <c r="K84" s="126"/>
      <c r="L84" s="126"/>
      <c r="M84" s="126"/>
      <c r="N84" s="126"/>
      <c r="O84" s="126"/>
      <c r="P84" s="126"/>
      <c r="Q84" s="126"/>
      <c r="R84" s="126"/>
      <c r="S84" s="126"/>
      <c r="T84" s="126"/>
      <c r="U84" s="126"/>
      <c r="V84" s="126"/>
      <c r="W84" s="126"/>
      <c r="AF84" s="196"/>
      <c r="AG84" s="196">
        <f t="shared" ref="AG84:AG88" si="51">M66</f>
        <v>5384</v>
      </c>
      <c r="AH84" s="196">
        <f t="shared" ref="AH84:AH88" si="52">N66</f>
        <v>9.5</v>
      </c>
      <c r="AI84" s="196">
        <f t="shared" ref="AI84:AI88" si="53">O66</f>
        <v>46.2</v>
      </c>
      <c r="AJ84" s="196">
        <f t="shared" ref="AJ84:AJ88" si="54">Q66</f>
        <v>6.9</v>
      </c>
    </row>
    <row r="85" spans="2:36" ht="15.75" x14ac:dyDescent="0.25">
      <c r="B85" s="126"/>
      <c r="C85" s="126"/>
      <c r="D85" s="126"/>
      <c r="E85" s="126"/>
      <c r="F85" s="126"/>
      <c r="G85" s="126"/>
      <c r="H85" s="126"/>
      <c r="I85" s="126"/>
      <c r="J85" s="126"/>
      <c r="K85" s="126"/>
      <c r="L85" s="126"/>
      <c r="M85" s="126"/>
      <c r="N85" s="126"/>
      <c r="O85" s="126"/>
      <c r="P85" s="126"/>
      <c r="Q85" s="126"/>
      <c r="R85" s="126"/>
      <c r="S85" s="126"/>
      <c r="T85" s="126"/>
      <c r="U85" s="126"/>
      <c r="V85" s="126"/>
      <c r="W85" s="126"/>
      <c r="AF85" s="196"/>
      <c r="AG85" s="196">
        <f t="shared" si="51"/>
        <v>5383</v>
      </c>
      <c r="AH85" s="196">
        <f t="shared" si="52"/>
        <v>8.8000000000000007</v>
      </c>
      <c r="AI85" s="196">
        <f t="shared" si="53"/>
        <v>30</v>
      </c>
      <c r="AJ85" s="196">
        <f t="shared" si="54"/>
        <v>6.9</v>
      </c>
    </row>
    <row r="86" spans="2:36" ht="15.75" x14ac:dyDescent="0.25">
      <c r="B86" s="126"/>
      <c r="C86" s="126"/>
      <c r="D86" s="126"/>
      <c r="E86" s="126"/>
      <c r="F86" s="126"/>
      <c r="G86" s="126"/>
      <c r="H86" s="126"/>
      <c r="I86" s="126"/>
      <c r="J86" s="126"/>
      <c r="K86" s="126"/>
      <c r="L86" s="126"/>
      <c r="M86" s="126"/>
      <c r="N86" s="126"/>
      <c r="O86" s="126"/>
      <c r="P86" s="126"/>
      <c r="Q86" s="126"/>
      <c r="R86" s="126"/>
      <c r="S86" s="126"/>
      <c r="T86" s="126"/>
      <c r="U86" s="126"/>
      <c r="V86" s="126"/>
      <c r="W86" s="126"/>
      <c r="AF86" s="196"/>
      <c r="AG86" s="196">
        <f t="shared" si="51"/>
        <v>5382</v>
      </c>
      <c r="AH86" s="196">
        <f t="shared" si="52"/>
        <v>4.9000000000000004</v>
      </c>
      <c r="AI86" s="196">
        <f t="shared" si="53"/>
        <v>9.8000000000000007</v>
      </c>
      <c r="AJ86" s="196">
        <f t="shared" si="54"/>
        <v>7</v>
      </c>
    </row>
    <row r="87" spans="2:36" ht="15.75" x14ac:dyDescent="0.25">
      <c r="B87" s="126"/>
      <c r="C87" s="126"/>
      <c r="D87" s="126"/>
      <c r="E87" s="126"/>
      <c r="F87" s="126"/>
      <c r="G87" s="126"/>
      <c r="H87" s="126"/>
      <c r="I87" s="126"/>
      <c r="J87" s="126"/>
      <c r="K87" s="126"/>
      <c r="L87" s="126"/>
      <c r="M87" s="126"/>
      <c r="N87" s="126"/>
      <c r="O87" s="126"/>
      <c r="P87" s="126"/>
      <c r="Q87" s="126"/>
      <c r="R87" s="126"/>
      <c r="S87" s="126"/>
      <c r="T87" s="126"/>
      <c r="U87" s="126"/>
      <c r="V87" s="126"/>
      <c r="W87" s="126"/>
      <c r="AF87" s="196"/>
      <c r="AG87" s="196">
        <f t="shared" si="51"/>
        <v>5336</v>
      </c>
      <c r="AH87" s="196">
        <f t="shared" si="52"/>
        <v>6.4</v>
      </c>
      <c r="AI87" s="196">
        <f t="shared" si="53"/>
        <v>20.3</v>
      </c>
      <c r="AJ87" s="196">
        <f t="shared" si="54"/>
        <v>7.3</v>
      </c>
    </row>
    <row r="88" spans="2:36" ht="15.75" x14ac:dyDescent="0.25">
      <c r="B88" s="126"/>
      <c r="C88" s="126"/>
      <c r="D88" s="126"/>
      <c r="E88" s="126"/>
      <c r="F88" s="126"/>
      <c r="G88" s="126"/>
      <c r="H88" s="126"/>
      <c r="I88" s="126"/>
      <c r="J88" s="126"/>
      <c r="K88" s="126"/>
      <c r="L88" s="126"/>
      <c r="M88" s="126"/>
      <c r="N88" s="126"/>
      <c r="O88" s="126"/>
      <c r="P88" s="126"/>
      <c r="Q88" s="126"/>
      <c r="R88" s="126"/>
      <c r="S88" s="126"/>
      <c r="T88" s="126"/>
      <c r="U88" s="126"/>
      <c r="V88" s="126"/>
      <c r="W88" s="126"/>
      <c r="AF88" s="196"/>
      <c r="AG88" s="196">
        <f t="shared" si="51"/>
        <v>5659</v>
      </c>
      <c r="AH88" s="196">
        <f t="shared" si="52"/>
        <v>5.0999999999999996</v>
      </c>
      <c r="AI88" s="196">
        <f t="shared" si="53"/>
        <v>11</v>
      </c>
      <c r="AJ88" s="196">
        <f t="shared" si="54"/>
        <v>7.6</v>
      </c>
    </row>
    <row r="89" spans="2:36" ht="15.75" x14ac:dyDescent="0.25">
      <c r="B89" s="126"/>
      <c r="C89" s="126"/>
      <c r="D89" s="126"/>
      <c r="E89" s="126"/>
      <c r="F89" s="126"/>
      <c r="G89" s="126"/>
      <c r="H89" s="126"/>
      <c r="I89" s="126"/>
      <c r="J89" s="126"/>
      <c r="K89" s="126"/>
      <c r="L89" s="126"/>
      <c r="M89" s="126"/>
      <c r="N89" s="126"/>
      <c r="O89" s="126"/>
      <c r="P89" s="126"/>
      <c r="Q89" s="126"/>
      <c r="R89" s="126"/>
      <c r="S89" s="126"/>
      <c r="T89" s="126"/>
      <c r="U89" s="126"/>
      <c r="V89" s="126"/>
      <c r="W89" s="126"/>
      <c r="AF89" s="196" t="s">
        <v>262</v>
      </c>
      <c r="AG89" s="196">
        <f>M74</f>
        <v>5424</v>
      </c>
      <c r="AH89" s="196">
        <f t="shared" ref="AH89:AI89" si="55">N74</f>
        <v>7.2</v>
      </c>
      <c r="AI89" s="196">
        <f t="shared" si="55"/>
        <v>18.100000000000001</v>
      </c>
      <c r="AJ89" s="196">
        <f>Q74</f>
        <v>7</v>
      </c>
    </row>
    <row r="90" spans="2:36" ht="15.75" x14ac:dyDescent="0.25">
      <c r="B90" s="126"/>
      <c r="C90" s="126"/>
      <c r="D90" s="126"/>
      <c r="E90" s="126"/>
      <c r="F90" s="126"/>
      <c r="G90" s="126"/>
      <c r="H90" s="126"/>
      <c r="I90" s="126"/>
      <c r="J90" s="126"/>
      <c r="K90" s="126"/>
      <c r="L90" s="126"/>
      <c r="M90" s="126"/>
      <c r="N90" s="126"/>
      <c r="O90" s="126"/>
      <c r="P90" s="126"/>
      <c r="Q90" s="126"/>
      <c r="R90" s="126"/>
      <c r="S90" s="126"/>
      <c r="T90" s="126"/>
      <c r="U90" s="126"/>
      <c r="V90" s="126"/>
      <c r="W90" s="126"/>
      <c r="AF90" s="196"/>
      <c r="AG90" s="196">
        <f t="shared" ref="AG90:AG94" si="56">M75</f>
        <v>5424</v>
      </c>
      <c r="AH90" s="196">
        <f t="shared" ref="AH90:AH94" si="57">N75</f>
        <v>8.8000000000000007</v>
      </c>
      <c r="AI90" s="196">
        <f t="shared" ref="AI90:AI94" si="58">O75</f>
        <v>17.2</v>
      </c>
      <c r="AJ90" s="196">
        <f t="shared" ref="AJ90:AJ94" si="59">Q75</f>
        <v>7.4</v>
      </c>
    </row>
    <row r="91" spans="2:36" ht="15.75" x14ac:dyDescent="0.25">
      <c r="B91" s="126"/>
      <c r="C91" s="126"/>
      <c r="D91" s="126"/>
      <c r="E91" s="126"/>
      <c r="F91" s="126"/>
      <c r="G91" s="126"/>
      <c r="H91" s="126"/>
      <c r="I91" s="126"/>
      <c r="J91" s="126"/>
      <c r="K91" s="126"/>
      <c r="L91" s="126"/>
      <c r="M91" s="126"/>
      <c r="N91" s="126"/>
      <c r="O91" s="126"/>
      <c r="P91" s="126"/>
      <c r="Q91" s="126"/>
      <c r="R91" s="126"/>
      <c r="S91" s="126"/>
      <c r="T91" s="126"/>
      <c r="U91" s="126"/>
      <c r="V91" s="126"/>
      <c r="W91" s="126"/>
      <c r="AF91" s="196"/>
      <c r="AG91" s="196">
        <f t="shared" si="56"/>
        <v>5425</v>
      </c>
      <c r="AH91" s="196">
        <f t="shared" si="57"/>
        <v>13.5</v>
      </c>
      <c r="AI91" s="196">
        <f t="shared" si="58"/>
        <v>41.7</v>
      </c>
      <c r="AJ91" s="196">
        <f t="shared" si="59"/>
        <v>7.35</v>
      </c>
    </row>
    <row r="92" spans="2:36" ht="15.75" x14ac:dyDescent="0.25">
      <c r="B92" s="126"/>
      <c r="C92" s="126"/>
      <c r="D92" s="126"/>
      <c r="E92" s="126"/>
      <c r="F92" s="126"/>
      <c r="G92" s="126"/>
      <c r="H92" s="126"/>
      <c r="I92" s="126"/>
      <c r="J92" s="126"/>
      <c r="K92" s="126"/>
      <c r="L92" s="126"/>
      <c r="M92" s="126"/>
      <c r="N92" s="126"/>
      <c r="O92" s="126"/>
      <c r="P92" s="126"/>
      <c r="Q92" s="126"/>
      <c r="R92" s="126"/>
      <c r="S92" s="126"/>
      <c r="T92" s="126"/>
      <c r="U92" s="126"/>
      <c r="V92" s="126"/>
      <c r="W92" s="126"/>
      <c r="AF92" s="196"/>
      <c r="AG92" s="196">
        <f t="shared" si="56"/>
        <v>5426</v>
      </c>
      <c r="AH92" s="196">
        <f t="shared" si="57"/>
        <v>18.8</v>
      </c>
      <c r="AI92" s="196">
        <f t="shared" si="58"/>
        <v>49</v>
      </c>
      <c r="AJ92" s="196">
        <f t="shared" si="59"/>
        <v>7.2</v>
      </c>
    </row>
    <row r="93" spans="2:36" ht="15.75" x14ac:dyDescent="0.25">
      <c r="B93" s="126"/>
      <c r="C93" s="126"/>
      <c r="D93" s="126"/>
      <c r="E93" s="126"/>
      <c r="F93" s="126"/>
      <c r="G93" s="126"/>
      <c r="H93" s="126"/>
      <c r="I93" s="126"/>
      <c r="J93" s="126"/>
      <c r="K93" s="126"/>
      <c r="L93" s="126"/>
      <c r="M93" s="126"/>
      <c r="N93" s="126"/>
      <c r="O93" s="126"/>
      <c r="P93" s="126"/>
      <c r="Q93" s="126"/>
      <c r="R93" s="126"/>
      <c r="S93" s="126"/>
      <c r="T93" s="126"/>
      <c r="U93" s="126"/>
      <c r="V93" s="126"/>
      <c r="W93" s="126"/>
      <c r="AF93" s="196"/>
      <c r="AG93" s="196">
        <f t="shared" si="56"/>
        <v>5264</v>
      </c>
      <c r="AH93" s="196">
        <f t="shared" si="57"/>
        <v>112.2</v>
      </c>
      <c r="AI93" s="196">
        <f t="shared" si="58"/>
        <v>978</v>
      </c>
      <c r="AJ93" s="196">
        <f t="shared" si="59"/>
        <v>7</v>
      </c>
    </row>
    <row r="94" spans="2:36" ht="15.75" x14ac:dyDescent="0.25">
      <c r="B94" s="126"/>
      <c r="C94" s="126"/>
      <c r="D94" s="126"/>
      <c r="E94" s="126"/>
      <c r="F94" s="126"/>
      <c r="G94" s="126"/>
      <c r="H94" s="126"/>
      <c r="I94" s="126"/>
      <c r="J94" s="126"/>
      <c r="K94" s="126"/>
      <c r="L94" s="126"/>
      <c r="M94" s="126"/>
      <c r="N94" s="126"/>
      <c r="O94" s="126"/>
      <c r="P94" s="126"/>
      <c r="Q94" s="126"/>
      <c r="R94" s="126"/>
      <c r="S94" s="126"/>
      <c r="T94" s="126"/>
      <c r="U94" s="126"/>
      <c r="V94" s="126"/>
      <c r="W94" s="126"/>
      <c r="AF94" s="196"/>
      <c r="AG94" s="196">
        <f t="shared" si="56"/>
        <v>5270</v>
      </c>
      <c r="AH94" s="196">
        <f t="shared" si="57"/>
        <v>6.2</v>
      </c>
      <c r="AI94" s="196">
        <f t="shared" si="58"/>
        <v>16.7</v>
      </c>
      <c r="AJ94" s="196">
        <f t="shared" si="59"/>
        <v>7</v>
      </c>
    </row>
    <row r="95" spans="2:36" ht="15.75" x14ac:dyDescent="0.25">
      <c r="B95" s="126"/>
      <c r="C95" s="126"/>
      <c r="D95" s="126"/>
      <c r="E95" s="126"/>
      <c r="F95" s="126"/>
      <c r="G95" s="126"/>
      <c r="H95" s="126"/>
      <c r="I95" s="126"/>
      <c r="J95" s="126"/>
      <c r="K95" s="126"/>
      <c r="L95" s="126"/>
      <c r="M95" s="126"/>
      <c r="N95" s="126"/>
      <c r="O95" s="126"/>
      <c r="P95" s="126"/>
      <c r="Q95" s="126"/>
      <c r="R95" s="126"/>
      <c r="S95" s="126"/>
      <c r="T95" s="126"/>
      <c r="U95" s="126"/>
      <c r="V95" s="126"/>
      <c r="W95" s="126"/>
      <c r="AF95" s="196" t="s">
        <v>264</v>
      </c>
      <c r="AG95" s="196">
        <f>W47</f>
        <v>5316</v>
      </c>
      <c r="AH95" s="196">
        <f t="shared" ref="AH95:AI95" si="60">X47</f>
        <v>8.3000000000000007</v>
      </c>
      <c r="AI95" s="196">
        <f t="shared" si="60"/>
        <v>31.2</v>
      </c>
      <c r="AJ95" s="196">
        <f>AA47</f>
        <v>7.1</v>
      </c>
    </row>
    <row r="96" spans="2:36" ht="15.75" x14ac:dyDescent="0.25">
      <c r="B96" s="126"/>
      <c r="C96" s="126"/>
      <c r="D96" s="126"/>
      <c r="E96" s="126"/>
      <c r="F96" s="126"/>
      <c r="G96" s="126"/>
      <c r="H96" s="126"/>
      <c r="I96" s="126"/>
      <c r="J96" s="126"/>
      <c r="K96" s="126"/>
      <c r="L96" s="126"/>
      <c r="M96" s="126"/>
      <c r="N96" s="126"/>
      <c r="O96" s="126"/>
      <c r="P96" s="126"/>
      <c r="Q96" s="126"/>
      <c r="R96" s="126"/>
      <c r="S96" s="126"/>
      <c r="T96" s="126"/>
      <c r="U96" s="126"/>
      <c r="V96" s="126"/>
      <c r="W96" s="126"/>
      <c r="AF96" s="196"/>
      <c r="AG96" s="196">
        <f t="shared" ref="AG96:AG100" si="61">W48</f>
        <v>5317</v>
      </c>
      <c r="AH96" s="196">
        <f t="shared" ref="AH96:AH100" si="62">X48</f>
        <v>5.9</v>
      </c>
      <c r="AI96" s="196">
        <f t="shared" ref="AI96:AI100" si="63">Y48</f>
        <v>11.6</v>
      </c>
      <c r="AJ96" s="196">
        <f t="shared" ref="AJ96:AJ100" si="64">AA48</f>
        <v>7.3</v>
      </c>
    </row>
    <row r="97" spans="2:36" ht="15.75" x14ac:dyDescent="0.25">
      <c r="B97" s="126"/>
      <c r="C97" s="126"/>
      <c r="D97" s="126"/>
      <c r="E97" s="126"/>
      <c r="F97" s="126"/>
      <c r="G97" s="126"/>
      <c r="H97" s="126"/>
      <c r="I97" s="126"/>
      <c r="J97" s="126"/>
      <c r="K97" s="126"/>
      <c r="L97" s="126"/>
      <c r="M97" s="126"/>
      <c r="N97" s="126"/>
      <c r="O97" s="126"/>
      <c r="P97" s="126"/>
      <c r="Q97" s="126"/>
      <c r="R97" s="126"/>
      <c r="S97" s="126"/>
      <c r="T97" s="126"/>
      <c r="U97" s="126"/>
      <c r="V97" s="126"/>
      <c r="W97" s="126"/>
      <c r="AF97" s="196"/>
      <c r="AG97" s="196">
        <f t="shared" si="61"/>
        <v>5315</v>
      </c>
      <c r="AH97" s="196">
        <f t="shared" si="62"/>
        <v>8.4</v>
      </c>
      <c r="AI97" s="196">
        <f t="shared" si="63"/>
        <v>17.399999999999999</v>
      </c>
      <c r="AJ97" s="196">
        <f t="shared" si="64"/>
        <v>7</v>
      </c>
    </row>
    <row r="98" spans="2:36" ht="15.75" x14ac:dyDescent="0.25">
      <c r="B98" s="126"/>
      <c r="C98" s="126"/>
      <c r="D98" s="126"/>
      <c r="E98" s="126"/>
      <c r="F98" s="126"/>
      <c r="G98" s="126"/>
      <c r="H98" s="126"/>
      <c r="I98" s="126"/>
      <c r="J98" s="126"/>
      <c r="K98" s="126"/>
      <c r="L98" s="126"/>
      <c r="M98" s="126"/>
      <c r="N98" s="126"/>
      <c r="O98" s="126"/>
      <c r="P98" s="126"/>
      <c r="Q98" s="126"/>
      <c r="R98" s="126"/>
      <c r="S98" s="126"/>
      <c r="T98" s="126"/>
      <c r="U98" s="126"/>
      <c r="V98" s="126"/>
      <c r="W98" s="126"/>
      <c r="AF98" s="196"/>
      <c r="AG98" s="196">
        <f t="shared" si="61"/>
        <v>5339</v>
      </c>
      <c r="AH98" s="196">
        <f t="shared" si="62"/>
        <v>5.3</v>
      </c>
      <c r="AI98" s="196">
        <f t="shared" si="63"/>
        <v>16.2</v>
      </c>
      <c r="AJ98" s="196">
        <f t="shared" si="64"/>
        <v>7</v>
      </c>
    </row>
    <row r="99" spans="2:36" ht="15.75" x14ac:dyDescent="0.25">
      <c r="B99" s="126"/>
      <c r="C99" s="126"/>
      <c r="D99" s="126"/>
      <c r="E99" s="126"/>
      <c r="F99" s="126"/>
      <c r="G99" s="126"/>
      <c r="H99" s="126"/>
      <c r="I99" s="126"/>
      <c r="J99" s="126"/>
      <c r="K99" s="126"/>
      <c r="L99" s="126"/>
      <c r="M99" s="126"/>
      <c r="N99" s="126"/>
      <c r="O99" s="126"/>
      <c r="P99" s="126"/>
      <c r="Q99" s="126"/>
      <c r="R99" s="126"/>
      <c r="S99" s="126"/>
      <c r="T99" s="126"/>
      <c r="U99" s="126"/>
      <c r="V99" s="126"/>
      <c r="W99" s="126"/>
      <c r="AF99" s="196"/>
      <c r="AG99" s="196">
        <f t="shared" si="61"/>
        <v>5338</v>
      </c>
      <c r="AH99" s="196">
        <f t="shared" si="62"/>
        <v>7.9</v>
      </c>
      <c r="AI99" s="196">
        <f t="shared" si="63"/>
        <v>16.2</v>
      </c>
      <c r="AJ99" s="196">
        <f t="shared" si="64"/>
        <v>7.1</v>
      </c>
    </row>
    <row r="100" spans="2:36" ht="15.75" x14ac:dyDescent="0.25">
      <c r="B100" s="126"/>
      <c r="C100" s="126"/>
      <c r="D100" s="126"/>
      <c r="E100" s="126"/>
      <c r="F100" s="126"/>
      <c r="G100" s="126"/>
      <c r="H100" s="126"/>
      <c r="I100" s="126"/>
      <c r="J100" s="126"/>
      <c r="K100" s="126"/>
      <c r="L100" s="126"/>
      <c r="M100" s="126"/>
      <c r="N100" s="126"/>
      <c r="O100" s="126"/>
      <c r="P100" s="126"/>
      <c r="Q100" s="126"/>
      <c r="R100" s="126"/>
      <c r="S100" s="126"/>
      <c r="T100" s="126"/>
      <c r="U100" s="126"/>
      <c r="V100" s="126"/>
      <c r="W100" s="126"/>
      <c r="AF100" s="196"/>
      <c r="AG100" s="196">
        <f t="shared" si="61"/>
        <v>5337</v>
      </c>
      <c r="AH100" s="196">
        <f t="shared" si="62"/>
        <v>6.2</v>
      </c>
      <c r="AI100" s="196">
        <f t="shared" si="63"/>
        <v>15.7</v>
      </c>
      <c r="AJ100" s="196">
        <f t="shared" si="64"/>
        <v>7.1</v>
      </c>
    </row>
    <row r="101" spans="2:36" ht="15.75" x14ac:dyDescent="0.25">
      <c r="B101" s="126"/>
      <c r="C101" s="126"/>
      <c r="D101" s="126"/>
      <c r="E101" s="126"/>
      <c r="F101" s="126"/>
      <c r="G101" s="126"/>
      <c r="H101" s="126"/>
      <c r="I101" s="126"/>
      <c r="J101" s="126"/>
      <c r="K101" s="126"/>
      <c r="L101" s="126"/>
      <c r="M101" s="126"/>
      <c r="N101" s="126"/>
      <c r="O101" s="126"/>
      <c r="P101" s="126"/>
      <c r="Q101" s="126"/>
      <c r="R101" s="126"/>
      <c r="S101" s="126"/>
      <c r="T101" s="126"/>
      <c r="U101" s="126"/>
      <c r="V101" s="126"/>
      <c r="W101" s="126"/>
      <c r="AF101" s="196" t="s">
        <v>263</v>
      </c>
      <c r="AG101" s="196">
        <f>W56</f>
        <v>5275</v>
      </c>
      <c r="AH101" s="196">
        <f t="shared" ref="AH101:AI101" si="65">X56</f>
        <v>4.5</v>
      </c>
      <c r="AI101" s="196">
        <f t="shared" si="65"/>
        <v>8.1</v>
      </c>
      <c r="AJ101" s="196">
        <f>AA56</f>
        <v>7.2</v>
      </c>
    </row>
    <row r="102" spans="2:36" ht="15.75" x14ac:dyDescent="0.25">
      <c r="B102" s="126"/>
      <c r="C102" s="126"/>
      <c r="D102" s="126"/>
      <c r="E102" s="126"/>
      <c r="F102" s="126"/>
      <c r="G102" s="126"/>
      <c r="H102" s="126"/>
      <c r="I102" s="126"/>
      <c r="J102" s="126"/>
      <c r="K102" s="126"/>
      <c r="L102" s="126"/>
      <c r="M102" s="126"/>
      <c r="N102" s="126"/>
      <c r="O102" s="126"/>
      <c r="P102" s="126"/>
      <c r="Q102" s="126"/>
      <c r="R102" s="126"/>
      <c r="S102" s="126"/>
      <c r="T102" s="126"/>
      <c r="U102" s="126"/>
      <c r="V102" s="126"/>
      <c r="W102" s="126"/>
      <c r="AF102" s="196"/>
      <c r="AG102" s="196">
        <f t="shared" ref="AG102:AG106" si="66">W57</f>
        <v>5294</v>
      </c>
      <c r="AH102" s="196">
        <f t="shared" ref="AH102:AH106" si="67">X57</f>
        <v>49.3</v>
      </c>
      <c r="AI102" s="196">
        <f t="shared" ref="AI102:AI106" si="68">Y57</f>
        <v>800</v>
      </c>
      <c r="AJ102" s="196">
        <f t="shared" ref="AJ102:AJ106" si="69">AA57</f>
        <v>7</v>
      </c>
    </row>
    <row r="103" spans="2:36" ht="15.75" x14ac:dyDescent="0.25">
      <c r="B103" s="126"/>
      <c r="C103" s="126"/>
      <c r="D103" s="126"/>
      <c r="E103" s="126"/>
      <c r="F103" s="126"/>
      <c r="G103" s="126"/>
      <c r="H103" s="126"/>
      <c r="I103" s="126"/>
      <c r="J103" s="126"/>
      <c r="K103" s="126"/>
      <c r="L103" s="126"/>
      <c r="M103" s="126"/>
      <c r="N103" s="126"/>
      <c r="O103" s="126"/>
      <c r="P103" s="126"/>
      <c r="Q103" s="126"/>
      <c r="R103" s="126"/>
      <c r="S103" s="126"/>
      <c r="T103" s="126"/>
      <c r="U103" s="126"/>
      <c r="V103" s="126"/>
      <c r="W103" s="126"/>
      <c r="AF103" s="196"/>
      <c r="AG103" s="196">
        <f t="shared" si="66"/>
        <v>5268</v>
      </c>
      <c r="AH103" s="196">
        <f t="shared" si="67"/>
        <v>16.100000000000001</v>
      </c>
      <c r="AI103" s="196">
        <f t="shared" si="68"/>
        <v>31.2</v>
      </c>
      <c r="AJ103" s="196">
        <f t="shared" si="69"/>
        <v>6.9</v>
      </c>
    </row>
    <row r="104" spans="2:36" ht="15.75" x14ac:dyDescent="0.25">
      <c r="B104" s="126"/>
      <c r="C104" s="126"/>
      <c r="D104" s="126"/>
      <c r="E104" s="126"/>
      <c r="F104" s="126"/>
      <c r="G104" s="126"/>
      <c r="H104" s="126"/>
      <c r="I104" s="126"/>
      <c r="J104" s="126"/>
      <c r="K104" s="126"/>
      <c r="L104" s="126"/>
      <c r="M104" s="126"/>
      <c r="N104" s="126"/>
      <c r="O104" s="126"/>
      <c r="P104" s="126"/>
      <c r="Q104" s="126"/>
      <c r="R104" s="126"/>
      <c r="S104" s="126"/>
      <c r="T104" s="126"/>
      <c r="U104" s="126"/>
      <c r="V104" s="126"/>
      <c r="W104" s="126"/>
      <c r="AF104" s="196"/>
      <c r="AG104" s="196">
        <f t="shared" si="66"/>
        <v>5267</v>
      </c>
      <c r="AH104" s="196">
        <f t="shared" si="67"/>
        <v>21.4</v>
      </c>
      <c r="AI104" s="196">
        <f t="shared" si="68"/>
        <v>44</v>
      </c>
      <c r="AJ104" s="196">
        <f t="shared" si="69"/>
        <v>6.9</v>
      </c>
    </row>
    <row r="105" spans="2:36" ht="15.75" x14ac:dyDescent="0.25">
      <c r="B105" s="126"/>
      <c r="C105" s="126"/>
      <c r="D105" s="126"/>
      <c r="E105" s="126"/>
      <c r="F105" s="126"/>
      <c r="G105" s="126"/>
      <c r="H105" s="126"/>
      <c r="I105" s="126"/>
      <c r="J105" s="126"/>
      <c r="K105" s="126"/>
      <c r="L105" s="126"/>
      <c r="M105" s="126"/>
      <c r="N105" s="126"/>
      <c r="O105" s="126"/>
      <c r="P105" s="126"/>
      <c r="Q105" s="126"/>
      <c r="R105" s="126"/>
      <c r="S105" s="126"/>
      <c r="T105" s="126"/>
      <c r="U105" s="126"/>
      <c r="V105" s="126"/>
      <c r="W105" s="126"/>
      <c r="AF105" s="196"/>
      <c r="AG105" s="196">
        <f t="shared" si="66"/>
        <v>5290</v>
      </c>
      <c r="AH105" s="196">
        <f t="shared" si="67"/>
        <v>4.5</v>
      </c>
      <c r="AI105" s="196">
        <f t="shared" si="68"/>
        <v>13</v>
      </c>
      <c r="AJ105" s="196">
        <f t="shared" si="69"/>
        <v>6.9</v>
      </c>
    </row>
    <row r="106" spans="2:36" ht="15.75" x14ac:dyDescent="0.25">
      <c r="B106" s="126"/>
      <c r="C106" s="126"/>
      <c r="D106" s="126"/>
      <c r="E106" s="126"/>
      <c r="F106" s="126"/>
      <c r="G106" s="126"/>
      <c r="H106" s="126"/>
      <c r="I106" s="126"/>
      <c r="J106" s="126"/>
      <c r="K106" s="126"/>
      <c r="L106" s="126"/>
      <c r="M106" s="126"/>
      <c r="N106" s="126"/>
      <c r="O106" s="126"/>
      <c r="P106" s="126"/>
      <c r="Q106" s="126"/>
      <c r="R106" s="126"/>
      <c r="S106" s="126"/>
      <c r="T106" s="126"/>
      <c r="U106" s="126"/>
      <c r="V106" s="126"/>
      <c r="W106" s="126"/>
      <c r="AF106" s="196"/>
      <c r="AG106" s="196">
        <f t="shared" si="66"/>
        <v>5298</v>
      </c>
      <c r="AH106" s="196">
        <f t="shared" si="67"/>
        <v>13.1</v>
      </c>
      <c r="AI106" s="196">
        <f t="shared" si="68"/>
        <v>23.3</v>
      </c>
      <c r="AJ106" s="196">
        <f t="shared" si="69"/>
        <v>7.1</v>
      </c>
    </row>
    <row r="107" spans="2:36" ht="15.75" x14ac:dyDescent="0.25">
      <c r="B107" s="126"/>
      <c r="C107" s="126"/>
      <c r="D107" s="126"/>
      <c r="E107" s="126"/>
      <c r="F107" s="126"/>
      <c r="G107" s="126"/>
      <c r="H107" s="126"/>
      <c r="I107" s="126"/>
      <c r="J107" s="126"/>
      <c r="K107" s="126"/>
      <c r="L107" s="126"/>
      <c r="M107" s="126"/>
      <c r="N107" s="126"/>
      <c r="O107" s="126"/>
      <c r="P107" s="126"/>
      <c r="Q107" s="126"/>
      <c r="R107" s="126"/>
      <c r="S107" s="126"/>
      <c r="T107" s="126"/>
      <c r="U107" s="126"/>
      <c r="V107" s="126"/>
      <c r="W107" s="126"/>
      <c r="AF107" s="94" t="s">
        <v>256</v>
      </c>
      <c r="AG107" s="94">
        <f>W65</f>
        <v>5307</v>
      </c>
      <c r="AH107" s="94">
        <f t="shared" ref="AH107:AI107" si="70">X65</f>
        <v>11.4</v>
      </c>
      <c r="AI107" s="94">
        <f t="shared" si="70"/>
        <v>32</v>
      </c>
      <c r="AJ107" s="94">
        <f>AA65</f>
        <v>7</v>
      </c>
    </row>
    <row r="108" spans="2:36" ht="15.75" x14ac:dyDescent="0.25">
      <c r="B108" s="126"/>
      <c r="C108" s="126"/>
      <c r="D108" s="126"/>
      <c r="E108" s="126"/>
      <c r="F108" s="126"/>
      <c r="G108" s="126"/>
      <c r="H108" s="126"/>
      <c r="I108" s="126"/>
      <c r="J108" s="126"/>
      <c r="K108" s="126"/>
      <c r="L108" s="126"/>
      <c r="M108" s="126"/>
      <c r="N108" s="126"/>
      <c r="O108" s="126"/>
      <c r="P108" s="126"/>
      <c r="Q108" s="126"/>
      <c r="R108" s="126"/>
      <c r="S108" s="126"/>
      <c r="T108" s="126"/>
      <c r="U108" s="126"/>
      <c r="V108" s="126"/>
      <c r="W108" s="126"/>
      <c r="AG108" s="94">
        <f t="shared" ref="AG108:AG112" si="71">W66</f>
        <v>5308</v>
      </c>
      <c r="AH108" s="94">
        <f t="shared" ref="AH108:AH112" si="72">X66</f>
        <v>10</v>
      </c>
      <c r="AI108" s="94">
        <f t="shared" ref="AI108:AI112" si="73">Y66</f>
        <v>19.399999999999999</v>
      </c>
      <c r="AJ108" s="94">
        <f t="shared" ref="AJ108:AJ112" si="74">AA66</f>
        <v>7</v>
      </c>
    </row>
    <row r="109" spans="2:36" ht="15.75" x14ac:dyDescent="0.25">
      <c r="B109" s="126"/>
      <c r="C109" s="126"/>
      <c r="D109" s="126"/>
      <c r="E109" s="126"/>
      <c r="F109" s="126"/>
      <c r="G109" s="126"/>
      <c r="H109" s="126"/>
      <c r="I109" s="126"/>
      <c r="J109" s="126"/>
      <c r="K109" s="126"/>
      <c r="L109" s="126"/>
      <c r="M109" s="126"/>
      <c r="N109" s="126"/>
      <c r="O109" s="126"/>
      <c r="P109" s="126"/>
      <c r="Q109" s="126"/>
      <c r="R109" s="126"/>
      <c r="S109" s="126"/>
      <c r="T109" s="126"/>
      <c r="U109" s="126"/>
      <c r="V109" s="126"/>
      <c r="W109" s="126"/>
      <c r="AG109" s="94">
        <f t="shared" si="71"/>
        <v>5309</v>
      </c>
      <c r="AH109" s="94">
        <f t="shared" si="72"/>
        <v>11.4</v>
      </c>
      <c r="AI109" s="94">
        <f t="shared" si="73"/>
        <v>31.2</v>
      </c>
      <c r="AJ109" s="94">
        <f t="shared" si="74"/>
        <v>7.1</v>
      </c>
    </row>
    <row r="110" spans="2:36" ht="15.75" x14ac:dyDescent="0.25">
      <c r="B110" s="126"/>
      <c r="C110" s="126"/>
      <c r="D110" s="126"/>
      <c r="E110" s="126"/>
      <c r="F110" s="126"/>
      <c r="G110" s="126"/>
      <c r="H110" s="126"/>
      <c r="I110" s="126"/>
      <c r="J110" s="126"/>
      <c r="K110" s="126"/>
      <c r="L110" s="126"/>
      <c r="M110" s="126"/>
      <c r="N110" s="126"/>
      <c r="O110" s="126"/>
      <c r="P110" s="126"/>
      <c r="Q110" s="126"/>
      <c r="R110" s="126"/>
      <c r="S110" s="126"/>
      <c r="T110" s="126"/>
      <c r="U110" s="126"/>
      <c r="V110" s="126"/>
      <c r="W110" s="126"/>
      <c r="AG110" s="94">
        <f t="shared" si="71"/>
        <v>5310</v>
      </c>
      <c r="AH110" s="94">
        <f t="shared" si="72"/>
        <v>18</v>
      </c>
      <c r="AI110" s="94">
        <f t="shared" si="73"/>
        <v>32.200000000000003</v>
      </c>
      <c r="AJ110" s="94">
        <f t="shared" si="74"/>
        <v>7.2</v>
      </c>
    </row>
    <row r="111" spans="2:36" ht="15.75" x14ac:dyDescent="0.25">
      <c r="B111" s="126"/>
      <c r="C111" s="126"/>
      <c r="D111" s="126"/>
      <c r="E111" s="126"/>
      <c r="F111" s="126"/>
      <c r="G111" s="126"/>
      <c r="H111" s="126"/>
      <c r="I111" s="126"/>
      <c r="J111" s="126"/>
      <c r="K111" s="126"/>
      <c r="L111" s="126"/>
      <c r="M111" s="126"/>
      <c r="N111" s="126"/>
      <c r="O111" s="126"/>
      <c r="P111" s="126"/>
      <c r="Q111" s="126"/>
      <c r="R111" s="126"/>
      <c r="S111" s="126"/>
      <c r="T111" s="126"/>
      <c r="U111" s="126"/>
      <c r="V111" s="126"/>
      <c r="W111" s="126"/>
      <c r="AG111" s="94">
        <f t="shared" si="71"/>
        <v>5667</v>
      </c>
      <c r="AH111" s="94">
        <f t="shared" si="72"/>
        <v>11</v>
      </c>
      <c r="AI111" s="94">
        <f t="shared" si="73"/>
        <v>34.799999999999997</v>
      </c>
      <c r="AJ111" s="94">
        <f t="shared" si="74"/>
        <v>7</v>
      </c>
    </row>
    <row r="112" spans="2:36" ht="15.75" x14ac:dyDescent="0.25">
      <c r="B112" s="126"/>
      <c r="C112" s="126"/>
      <c r="D112" s="126"/>
      <c r="E112" s="126"/>
      <c r="F112" s="126"/>
      <c r="G112" s="126"/>
      <c r="H112" s="126"/>
      <c r="I112" s="126"/>
      <c r="J112" s="126"/>
      <c r="K112" s="126"/>
      <c r="L112" s="126"/>
      <c r="M112" s="126"/>
      <c r="N112" s="126"/>
      <c r="O112" s="126"/>
      <c r="P112" s="126"/>
      <c r="Q112" s="126"/>
      <c r="R112" s="126"/>
      <c r="S112" s="126"/>
      <c r="T112" s="126"/>
      <c r="U112" s="126"/>
      <c r="V112" s="126"/>
      <c r="W112" s="126"/>
      <c r="AG112" s="94">
        <f t="shared" si="71"/>
        <v>5668</v>
      </c>
      <c r="AH112" s="94">
        <f t="shared" si="72"/>
        <v>5</v>
      </c>
      <c r="AI112" s="94">
        <f t="shared" si="73"/>
        <v>9.6999999999999993</v>
      </c>
      <c r="AJ112" s="94">
        <f t="shared" si="74"/>
        <v>7.5</v>
      </c>
    </row>
    <row r="113" spans="2:36" ht="15.75" x14ac:dyDescent="0.25">
      <c r="B113" s="126"/>
      <c r="C113" s="126"/>
      <c r="D113" s="126"/>
      <c r="E113" s="126"/>
      <c r="F113" s="126"/>
      <c r="G113" s="126"/>
      <c r="H113" s="126"/>
      <c r="I113" s="126"/>
      <c r="J113" s="126"/>
      <c r="K113" s="126"/>
      <c r="L113" s="126"/>
      <c r="M113" s="126"/>
      <c r="N113" s="126"/>
      <c r="O113" s="126"/>
      <c r="P113" s="126"/>
      <c r="Q113" s="126"/>
      <c r="R113" s="126"/>
      <c r="S113" s="126"/>
      <c r="T113" s="126"/>
      <c r="U113" s="126"/>
      <c r="V113" s="126"/>
      <c r="W113" s="126"/>
      <c r="AF113" s="159" t="s">
        <v>257</v>
      </c>
      <c r="AG113" s="94">
        <f>W74</f>
        <v>5238</v>
      </c>
      <c r="AH113" s="94">
        <f t="shared" ref="AH113:AI113" si="75">X74</f>
        <v>4</v>
      </c>
      <c r="AI113" s="94">
        <f t="shared" si="75"/>
        <v>9.6</v>
      </c>
      <c r="AJ113" s="94">
        <f>AA74</f>
        <v>7</v>
      </c>
    </row>
    <row r="114" spans="2:36" ht="15.75" x14ac:dyDescent="0.25">
      <c r="B114" s="126"/>
      <c r="C114" s="126"/>
      <c r="D114" s="126"/>
      <c r="E114" s="126"/>
      <c r="F114" s="126"/>
      <c r="G114" s="126"/>
      <c r="H114" s="126"/>
      <c r="I114" s="126"/>
      <c r="J114" s="126"/>
      <c r="K114" s="126"/>
      <c r="L114" s="126"/>
      <c r="M114" s="126"/>
      <c r="N114" s="126"/>
      <c r="O114" s="126"/>
      <c r="P114" s="126"/>
      <c r="Q114" s="126"/>
      <c r="R114" s="126"/>
      <c r="S114" s="126"/>
      <c r="T114" s="126"/>
      <c r="U114" s="126"/>
      <c r="V114" s="126"/>
      <c r="W114" s="126"/>
      <c r="AG114" s="94">
        <f t="shared" ref="AG114:AG118" si="76">W75</f>
        <v>5266</v>
      </c>
      <c r="AH114" s="94">
        <f t="shared" ref="AH114:AH118" si="77">X75</f>
        <v>6.6</v>
      </c>
      <c r="AI114" s="94">
        <f t="shared" ref="AI114:AI118" si="78">Y75</f>
        <v>13.3</v>
      </c>
      <c r="AJ114" s="94">
        <f t="shared" ref="AJ114:AJ118" si="79">AA75</f>
        <v>7.1</v>
      </c>
    </row>
    <row r="115" spans="2:36" ht="15.75" x14ac:dyDescent="0.25">
      <c r="B115" s="126"/>
      <c r="C115" s="126"/>
      <c r="D115" s="126"/>
      <c r="E115" s="126"/>
      <c r="F115" s="126"/>
      <c r="G115" s="126"/>
      <c r="H115" s="126"/>
      <c r="I115" s="126"/>
      <c r="J115" s="126"/>
      <c r="K115" s="126"/>
      <c r="L115" s="126"/>
      <c r="M115" s="126"/>
      <c r="N115" s="126"/>
      <c r="O115" s="126"/>
      <c r="P115" s="126"/>
      <c r="Q115" s="126"/>
      <c r="R115" s="126"/>
      <c r="S115" s="126"/>
      <c r="T115" s="126"/>
      <c r="U115" s="126"/>
      <c r="V115" s="126"/>
      <c r="W115" s="126"/>
      <c r="AG115" s="94">
        <f t="shared" si="76"/>
        <v>5295</v>
      </c>
      <c r="AH115" s="94">
        <f t="shared" si="77"/>
        <v>31.7</v>
      </c>
      <c r="AI115" s="94">
        <f t="shared" si="78"/>
        <v>98</v>
      </c>
      <c r="AJ115" s="94">
        <f t="shared" si="79"/>
        <v>7</v>
      </c>
    </row>
    <row r="116" spans="2:36" ht="15.75" x14ac:dyDescent="0.25">
      <c r="B116" s="126"/>
      <c r="C116" s="126"/>
      <c r="D116" s="126"/>
      <c r="E116" s="126"/>
      <c r="F116" s="126"/>
      <c r="G116" s="126"/>
      <c r="H116" s="126"/>
      <c r="I116" s="126"/>
      <c r="J116" s="126"/>
      <c r="K116" s="126"/>
      <c r="L116" s="126"/>
      <c r="M116" s="126"/>
      <c r="N116" s="126"/>
      <c r="O116" s="126"/>
      <c r="P116" s="126"/>
      <c r="Q116" s="126"/>
      <c r="R116" s="126"/>
      <c r="S116" s="126"/>
      <c r="T116" s="126"/>
      <c r="U116" s="126"/>
      <c r="V116" s="126"/>
      <c r="W116" s="126"/>
      <c r="AG116" s="94">
        <f t="shared" si="76"/>
        <v>5288</v>
      </c>
      <c r="AH116" s="94">
        <f t="shared" si="77"/>
        <v>20</v>
      </c>
      <c r="AI116" s="94">
        <f t="shared" si="78"/>
        <v>145</v>
      </c>
      <c r="AJ116" s="94">
        <f t="shared" si="79"/>
        <v>7.6</v>
      </c>
    </row>
    <row r="117" spans="2:36" ht="15.75" x14ac:dyDescent="0.25">
      <c r="B117" s="126"/>
      <c r="C117" s="126"/>
      <c r="D117" s="126"/>
      <c r="E117" s="126"/>
      <c r="F117" s="126"/>
      <c r="G117" s="126"/>
      <c r="H117" s="126"/>
      <c r="I117" s="126"/>
      <c r="J117" s="126"/>
      <c r="K117" s="126"/>
      <c r="L117" s="126"/>
      <c r="M117" s="126"/>
      <c r="N117" s="126"/>
      <c r="O117" s="126"/>
      <c r="P117" s="126"/>
      <c r="Q117" s="126"/>
      <c r="R117" s="126"/>
      <c r="S117" s="126"/>
      <c r="T117" s="126"/>
      <c r="U117" s="126"/>
      <c r="V117" s="126"/>
      <c r="W117" s="126"/>
      <c r="AG117" s="94">
        <f t="shared" si="76"/>
        <v>5258</v>
      </c>
      <c r="AH117" s="94">
        <f t="shared" si="77"/>
        <v>13.9</v>
      </c>
      <c r="AI117" s="94">
        <f t="shared" si="78"/>
        <v>47.5</v>
      </c>
      <c r="AJ117" s="94">
        <f t="shared" si="79"/>
        <v>7.1</v>
      </c>
    </row>
    <row r="118" spans="2:36" ht="15.75" x14ac:dyDescent="0.25">
      <c r="B118" s="126"/>
      <c r="C118" s="126"/>
      <c r="D118" s="126"/>
      <c r="E118" s="126"/>
      <c r="F118" s="126"/>
      <c r="G118" s="126"/>
      <c r="H118" s="126"/>
      <c r="I118" s="126"/>
      <c r="J118" s="126"/>
      <c r="K118" s="126"/>
      <c r="L118" s="126"/>
      <c r="M118" s="126"/>
      <c r="N118" s="126"/>
      <c r="O118" s="126"/>
      <c r="P118" s="126"/>
      <c r="Q118" s="126"/>
      <c r="R118" s="126"/>
      <c r="S118" s="126"/>
      <c r="T118" s="126"/>
      <c r="U118" s="126"/>
      <c r="V118" s="126"/>
      <c r="W118" s="126"/>
      <c r="AG118" s="94">
        <f t="shared" si="76"/>
        <v>5283</v>
      </c>
      <c r="AH118" s="94">
        <f t="shared" si="77"/>
        <v>6.3</v>
      </c>
      <c r="AI118" s="94">
        <f t="shared" si="78"/>
        <v>13.3</v>
      </c>
      <c r="AJ118" s="94">
        <f t="shared" si="79"/>
        <v>6.85</v>
      </c>
    </row>
    <row r="119" spans="2:36" ht="15.75" x14ac:dyDescent="0.25">
      <c r="B119" s="126"/>
      <c r="C119" s="126"/>
      <c r="D119" s="126"/>
      <c r="E119" s="126"/>
      <c r="F119" s="126"/>
      <c r="G119" s="126"/>
      <c r="H119" s="126"/>
      <c r="I119" s="126"/>
      <c r="J119" s="126"/>
      <c r="K119" s="126"/>
      <c r="L119" s="126"/>
      <c r="M119" s="126"/>
      <c r="N119" s="126"/>
      <c r="O119" s="126"/>
      <c r="P119" s="126"/>
      <c r="Q119" s="126"/>
      <c r="R119" s="126"/>
      <c r="S119" s="126"/>
      <c r="T119" s="126"/>
      <c r="U119" s="126"/>
      <c r="V119" s="126"/>
      <c r="W119" s="126"/>
    </row>
    <row r="120" spans="2:36" ht="15.75" x14ac:dyDescent="0.25">
      <c r="B120" s="126"/>
      <c r="C120" s="126"/>
      <c r="D120" s="126"/>
      <c r="E120" s="126"/>
      <c r="F120" s="126"/>
      <c r="G120" s="126"/>
      <c r="H120" s="126"/>
      <c r="I120" s="126"/>
      <c r="J120" s="126"/>
      <c r="K120" s="126"/>
      <c r="L120" s="126"/>
      <c r="M120" s="126"/>
      <c r="N120" s="126"/>
      <c r="O120" s="126"/>
      <c r="P120" s="126"/>
      <c r="Q120" s="126"/>
      <c r="R120" s="126"/>
      <c r="S120" s="126"/>
      <c r="T120" s="126"/>
      <c r="U120" s="126"/>
      <c r="V120" s="126"/>
      <c r="W120" s="126"/>
    </row>
    <row r="121" spans="2:36" ht="15.75" x14ac:dyDescent="0.25">
      <c r="B121" s="126"/>
      <c r="C121" s="126"/>
      <c r="D121" s="126"/>
      <c r="E121" s="126"/>
      <c r="F121" s="126"/>
      <c r="G121" s="126"/>
      <c r="H121" s="126"/>
      <c r="I121" s="126"/>
      <c r="J121" s="126"/>
      <c r="K121" s="126"/>
      <c r="L121" s="126"/>
      <c r="M121" s="126"/>
      <c r="N121" s="126"/>
      <c r="O121" s="126"/>
      <c r="P121" s="126"/>
      <c r="Q121" s="126"/>
      <c r="R121" s="126"/>
      <c r="S121" s="126"/>
      <c r="T121" s="126"/>
      <c r="U121" s="126"/>
      <c r="V121" s="126"/>
      <c r="W121" s="126"/>
    </row>
    <row r="122" spans="2:36" ht="15.75" x14ac:dyDescent="0.25">
      <c r="B122" s="126"/>
      <c r="C122" s="126"/>
      <c r="D122" s="126"/>
      <c r="E122" s="126"/>
      <c r="F122" s="126"/>
      <c r="G122" s="126"/>
      <c r="H122" s="126"/>
      <c r="I122" s="126"/>
      <c r="J122" s="126"/>
      <c r="K122" s="126"/>
      <c r="L122" s="126"/>
      <c r="M122" s="126"/>
      <c r="N122" s="126"/>
      <c r="O122" s="126"/>
      <c r="P122" s="126"/>
      <c r="Q122" s="126"/>
      <c r="R122" s="126"/>
      <c r="S122" s="126"/>
      <c r="T122" s="126"/>
      <c r="U122" s="126"/>
      <c r="V122" s="126"/>
      <c r="W122" s="126"/>
    </row>
    <row r="123" spans="2:36" ht="15.75" x14ac:dyDescent="0.25">
      <c r="B123" s="126"/>
      <c r="C123" s="126"/>
      <c r="D123" s="126"/>
      <c r="E123" s="126"/>
      <c r="F123" s="126"/>
      <c r="G123" s="126"/>
      <c r="H123" s="126"/>
      <c r="I123" s="126"/>
      <c r="J123" s="126"/>
      <c r="K123" s="126"/>
      <c r="L123" s="126"/>
      <c r="M123" s="126"/>
      <c r="N123" s="126"/>
      <c r="O123" s="126"/>
      <c r="P123" s="126"/>
      <c r="Q123" s="126"/>
      <c r="R123" s="126"/>
      <c r="S123" s="126"/>
      <c r="T123" s="126"/>
      <c r="U123" s="126"/>
      <c r="V123" s="126"/>
      <c r="W123" s="126"/>
    </row>
    <row r="124" spans="2:36" ht="15.75" x14ac:dyDescent="0.25">
      <c r="B124" s="126"/>
      <c r="C124" s="126"/>
      <c r="D124" s="126"/>
      <c r="E124" s="126"/>
      <c r="F124" s="126"/>
      <c r="G124" s="126"/>
      <c r="H124" s="126"/>
      <c r="I124" s="126"/>
      <c r="J124" s="126"/>
      <c r="K124" s="126"/>
      <c r="L124" s="126"/>
      <c r="M124" s="126"/>
      <c r="N124" s="126"/>
      <c r="O124" s="126"/>
      <c r="P124" s="126"/>
      <c r="Q124" s="126"/>
      <c r="R124" s="126"/>
      <c r="S124" s="126"/>
      <c r="T124" s="126"/>
      <c r="U124" s="126"/>
      <c r="V124" s="126"/>
      <c r="W124" s="126"/>
    </row>
    <row r="125" spans="2:36" ht="15.75" x14ac:dyDescent="0.25">
      <c r="B125" s="126"/>
      <c r="C125" s="126"/>
      <c r="D125" s="126"/>
      <c r="E125" s="126"/>
      <c r="F125" s="126"/>
      <c r="G125" s="126"/>
      <c r="H125" s="126"/>
      <c r="I125" s="126"/>
      <c r="J125" s="126"/>
      <c r="K125" s="126"/>
      <c r="L125" s="126"/>
      <c r="M125" s="126"/>
      <c r="N125" s="126"/>
      <c r="O125" s="126"/>
      <c r="P125" s="126"/>
      <c r="Q125" s="126"/>
      <c r="R125" s="126"/>
      <c r="S125" s="126"/>
      <c r="T125" s="126"/>
      <c r="U125" s="126"/>
      <c r="V125" s="126"/>
      <c r="W125" s="126"/>
    </row>
    <row r="126" spans="2:36" ht="15.75" x14ac:dyDescent="0.25">
      <c r="B126" s="126"/>
      <c r="C126" s="126"/>
      <c r="D126" s="126"/>
      <c r="E126" s="126"/>
      <c r="F126" s="126"/>
      <c r="G126" s="126"/>
      <c r="H126" s="126"/>
      <c r="I126" s="126"/>
      <c r="J126" s="126"/>
      <c r="K126" s="126"/>
      <c r="L126" s="126"/>
      <c r="M126" s="126"/>
      <c r="N126" s="126"/>
      <c r="O126" s="126"/>
      <c r="P126" s="126"/>
      <c r="Q126" s="126"/>
      <c r="R126" s="126"/>
      <c r="S126" s="126"/>
      <c r="T126" s="126"/>
      <c r="U126" s="126"/>
      <c r="V126" s="126"/>
      <c r="W126" s="126"/>
    </row>
    <row r="127" spans="2:36" ht="15.75" x14ac:dyDescent="0.25">
      <c r="B127" s="126"/>
      <c r="C127" s="126"/>
      <c r="D127" s="126"/>
      <c r="E127" s="126"/>
      <c r="F127" s="126"/>
      <c r="G127" s="126"/>
      <c r="H127" s="126"/>
      <c r="I127" s="126"/>
      <c r="J127" s="126"/>
      <c r="K127" s="126"/>
      <c r="L127" s="126"/>
      <c r="M127" s="126"/>
      <c r="N127" s="126"/>
      <c r="O127" s="126"/>
      <c r="P127" s="126"/>
      <c r="Q127" s="126"/>
      <c r="R127" s="126"/>
      <c r="S127" s="126"/>
      <c r="T127" s="126"/>
      <c r="U127" s="126"/>
      <c r="V127" s="126"/>
      <c r="W127" s="126"/>
    </row>
    <row r="128" spans="2:36" ht="15.75" x14ac:dyDescent="0.25">
      <c r="B128" s="126"/>
      <c r="C128" s="126"/>
      <c r="D128" s="126"/>
      <c r="E128" s="126"/>
      <c r="F128" s="126"/>
      <c r="G128" s="126"/>
      <c r="H128" s="126"/>
      <c r="I128" s="126"/>
      <c r="J128" s="126"/>
      <c r="K128" s="126"/>
      <c r="L128" s="126"/>
      <c r="M128" s="126"/>
      <c r="N128" s="126"/>
      <c r="O128" s="126"/>
      <c r="P128" s="126"/>
      <c r="Q128" s="126"/>
      <c r="R128" s="126"/>
      <c r="S128" s="126"/>
      <c r="T128" s="126"/>
      <c r="U128" s="126"/>
      <c r="V128" s="126"/>
      <c r="W128" s="126"/>
    </row>
    <row r="129" spans="2:23" ht="15.75" x14ac:dyDescent="0.25">
      <c r="B129" s="126"/>
      <c r="C129" s="126"/>
      <c r="D129" s="126"/>
      <c r="E129" s="126"/>
      <c r="F129" s="126"/>
      <c r="G129" s="126"/>
      <c r="H129" s="126"/>
      <c r="I129" s="126"/>
      <c r="J129" s="126"/>
      <c r="K129" s="126"/>
      <c r="L129" s="126"/>
      <c r="M129" s="126"/>
      <c r="N129" s="126"/>
      <c r="O129" s="126"/>
      <c r="P129" s="126"/>
      <c r="Q129" s="126"/>
      <c r="R129" s="126"/>
      <c r="S129" s="126"/>
      <c r="T129" s="126"/>
      <c r="U129" s="126"/>
      <c r="V129" s="126"/>
      <c r="W129" s="126"/>
    </row>
    <row r="130" spans="2:23" ht="15.75" x14ac:dyDescent="0.25">
      <c r="B130" s="126"/>
      <c r="C130" s="126"/>
      <c r="D130" s="126"/>
      <c r="E130" s="126"/>
      <c r="F130" s="126"/>
      <c r="G130" s="126"/>
      <c r="H130" s="126"/>
      <c r="I130" s="126"/>
      <c r="J130" s="126"/>
      <c r="K130" s="126"/>
      <c r="L130" s="126"/>
      <c r="M130" s="126"/>
      <c r="N130" s="126"/>
      <c r="O130" s="126"/>
      <c r="P130" s="126"/>
      <c r="Q130" s="126"/>
      <c r="R130" s="126"/>
      <c r="S130" s="126"/>
      <c r="T130" s="126"/>
      <c r="U130" s="126"/>
      <c r="V130" s="126"/>
      <c r="W130" s="126"/>
    </row>
    <row r="131" spans="2:23" ht="15.75" x14ac:dyDescent="0.25">
      <c r="B131" s="126"/>
      <c r="C131" s="126"/>
      <c r="D131" s="126"/>
      <c r="E131" s="126"/>
      <c r="F131" s="126"/>
      <c r="G131" s="126"/>
      <c r="H131" s="126"/>
      <c r="I131" s="126"/>
      <c r="J131" s="126"/>
      <c r="K131" s="126"/>
      <c r="L131" s="126"/>
      <c r="M131" s="126"/>
      <c r="N131" s="126"/>
      <c r="O131" s="126"/>
      <c r="P131" s="126"/>
      <c r="Q131" s="126"/>
      <c r="R131" s="126"/>
      <c r="S131" s="126"/>
      <c r="T131" s="126"/>
      <c r="U131" s="126"/>
      <c r="V131" s="126"/>
      <c r="W131" s="126"/>
    </row>
    <row r="132" spans="2:23" ht="15.75" x14ac:dyDescent="0.25">
      <c r="B132" s="126"/>
      <c r="C132" s="126"/>
      <c r="D132" s="126"/>
      <c r="E132" s="126"/>
      <c r="F132" s="126"/>
      <c r="G132" s="126"/>
      <c r="H132" s="126"/>
      <c r="I132" s="126"/>
      <c r="J132" s="126"/>
      <c r="K132" s="126"/>
      <c r="L132" s="126"/>
      <c r="M132" s="126"/>
      <c r="N132" s="126"/>
      <c r="O132" s="126"/>
      <c r="P132" s="126"/>
      <c r="Q132" s="126"/>
      <c r="R132" s="126"/>
      <c r="S132" s="126"/>
      <c r="T132" s="126"/>
      <c r="U132" s="126"/>
      <c r="V132" s="126"/>
      <c r="W132" s="126"/>
    </row>
    <row r="133" spans="2:23" ht="15.75" x14ac:dyDescent="0.25">
      <c r="B133" s="126"/>
      <c r="C133" s="126"/>
      <c r="D133" s="126"/>
      <c r="E133" s="126"/>
      <c r="F133" s="126"/>
      <c r="G133" s="126"/>
      <c r="H133" s="126"/>
      <c r="I133" s="126"/>
      <c r="J133" s="126"/>
      <c r="K133" s="126"/>
      <c r="L133" s="126"/>
      <c r="M133" s="126"/>
      <c r="N133" s="126"/>
      <c r="O133" s="126"/>
      <c r="P133" s="126"/>
      <c r="Q133" s="126"/>
      <c r="R133" s="126"/>
      <c r="S133" s="126"/>
      <c r="T133" s="126"/>
      <c r="U133" s="126"/>
      <c r="V133" s="126"/>
      <c r="W133" s="126"/>
    </row>
    <row r="134" spans="2:23" ht="15.75" x14ac:dyDescent="0.25">
      <c r="B134" s="126"/>
      <c r="C134" s="126"/>
      <c r="D134" s="126"/>
      <c r="E134" s="126"/>
      <c r="F134" s="126"/>
      <c r="G134" s="126"/>
      <c r="H134" s="126"/>
      <c r="I134" s="126"/>
      <c r="J134" s="126"/>
      <c r="K134" s="126"/>
      <c r="L134" s="126"/>
      <c r="M134" s="126"/>
      <c r="N134" s="126"/>
      <c r="O134" s="126"/>
      <c r="P134" s="126"/>
      <c r="Q134" s="126"/>
      <c r="R134" s="126"/>
      <c r="S134" s="126"/>
      <c r="T134" s="126"/>
      <c r="U134" s="126"/>
      <c r="V134" s="126"/>
      <c r="W134" s="126"/>
    </row>
    <row r="135" spans="2:23" ht="15.75" x14ac:dyDescent="0.25">
      <c r="B135" s="126"/>
      <c r="C135" s="126"/>
      <c r="D135" s="126"/>
      <c r="E135" s="126"/>
      <c r="F135" s="126"/>
      <c r="G135" s="126"/>
      <c r="H135" s="126"/>
      <c r="I135" s="126"/>
      <c r="J135" s="126"/>
      <c r="K135" s="126"/>
      <c r="L135" s="126"/>
      <c r="M135" s="126"/>
      <c r="N135" s="126"/>
      <c r="O135" s="126"/>
      <c r="P135" s="126"/>
      <c r="Q135" s="126"/>
      <c r="R135" s="126"/>
      <c r="S135" s="126"/>
      <c r="T135" s="126"/>
      <c r="U135" s="126"/>
      <c r="V135" s="126"/>
      <c r="W135" s="126"/>
    </row>
    <row r="136" spans="2:23" ht="15.75" x14ac:dyDescent="0.25">
      <c r="B136" s="126"/>
      <c r="C136" s="126"/>
      <c r="D136" s="126"/>
      <c r="E136" s="126"/>
      <c r="F136" s="126"/>
      <c r="G136" s="126"/>
      <c r="H136" s="126"/>
      <c r="I136" s="126"/>
      <c r="J136" s="126"/>
      <c r="K136" s="126"/>
      <c r="L136" s="126"/>
      <c r="M136" s="126"/>
      <c r="N136" s="126"/>
      <c r="O136" s="126"/>
      <c r="P136" s="126"/>
      <c r="Q136" s="126"/>
      <c r="R136" s="126"/>
      <c r="S136" s="126"/>
      <c r="T136" s="126"/>
      <c r="U136" s="126"/>
      <c r="V136" s="126"/>
      <c r="W136" s="126"/>
    </row>
    <row r="137" spans="2:23" ht="15.75" x14ac:dyDescent="0.25">
      <c r="B137" s="126"/>
      <c r="C137" s="126"/>
      <c r="D137" s="126"/>
      <c r="E137" s="126"/>
      <c r="F137" s="126"/>
      <c r="G137" s="126"/>
      <c r="H137" s="126"/>
      <c r="I137" s="126"/>
      <c r="J137" s="126"/>
      <c r="K137" s="126"/>
      <c r="L137" s="126"/>
      <c r="M137" s="126"/>
      <c r="N137" s="126"/>
      <c r="O137" s="126"/>
      <c r="P137" s="126"/>
      <c r="Q137" s="126"/>
      <c r="R137" s="126"/>
      <c r="S137" s="126"/>
      <c r="T137" s="126"/>
      <c r="U137" s="126"/>
      <c r="V137" s="126"/>
      <c r="W137" s="126"/>
    </row>
    <row r="138" spans="2:23" ht="15.75" x14ac:dyDescent="0.25">
      <c r="B138" s="126"/>
      <c r="C138" s="126"/>
      <c r="D138" s="126"/>
      <c r="E138" s="126"/>
      <c r="F138" s="126"/>
      <c r="G138" s="126"/>
      <c r="H138" s="126"/>
      <c r="I138" s="126"/>
      <c r="J138" s="126"/>
      <c r="K138" s="126"/>
      <c r="L138" s="126"/>
      <c r="M138" s="126"/>
      <c r="N138" s="126"/>
      <c r="O138" s="126"/>
      <c r="P138" s="126"/>
      <c r="Q138" s="126"/>
      <c r="R138" s="126"/>
      <c r="S138" s="126"/>
      <c r="T138" s="126"/>
      <c r="U138" s="126"/>
      <c r="V138" s="126"/>
      <c r="W138" s="126"/>
    </row>
    <row r="139" spans="2:23" ht="15.75" x14ac:dyDescent="0.25">
      <c r="B139" s="126"/>
      <c r="C139" s="126"/>
      <c r="D139" s="126"/>
      <c r="E139" s="126"/>
      <c r="F139" s="126"/>
      <c r="G139" s="126"/>
      <c r="H139" s="126"/>
      <c r="I139" s="126"/>
      <c r="J139" s="126"/>
      <c r="K139" s="126"/>
      <c r="L139" s="126"/>
      <c r="M139" s="126"/>
      <c r="N139" s="126"/>
      <c r="O139" s="126"/>
      <c r="P139" s="126"/>
      <c r="Q139" s="126"/>
      <c r="R139" s="126"/>
      <c r="S139" s="126"/>
      <c r="T139" s="126"/>
      <c r="U139" s="126"/>
      <c r="V139" s="126"/>
      <c r="W139" s="126"/>
    </row>
    <row r="140" spans="2:23" ht="15.75" x14ac:dyDescent="0.25">
      <c r="B140" s="126"/>
      <c r="C140" s="126"/>
      <c r="D140" s="126"/>
      <c r="E140" s="126"/>
      <c r="F140" s="126"/>
      <c r="G140" s="126"/>
      <c r="H140" s="126"/>
      <c r="I140" s="126"/>
      <c r="J140" s="126"/>
      <c r="K140" s="126"/>
      <c r="L140" s="126"/>
      <c r="M140" s="126"/>
      <c r="N140" s="126"/>
      <c r="O140" s="126"/>
      <c r="P140" s="126"/>
      <c r="Q140" s="126"/>
      <c r="R140" s="126"/>
      <c r="S140" s="126"/>
      <c r="T140" s="126"/>
      <c r="U140" s="126"/>
      <c r="V140" s="126"/>
      <c r="W140" s="126"/>
    </row>
    <row r="141" spans="2:23" ht="15.75" x14ac:dyDescent="0.25">
      <c r="B141" s="126"/>
      <c r="C141" s="126"/>
      <c r="D141" s="126"/>
      <c r="E141" s="126"/>
      <c r="F141" s="126"/>
      <c r="G141" s="126"/>
      <c r="H141" s="126"/>
      <c r="I141" s="126"/>
      <c r="J141" s="126"/>
      <c r="K141" s="126"/>
      <c r="L141" s="126"/>
      <c r="M141" s="126"/>
      <c r="N141" s="126"/>
      <c r="O141" s="126"/>
      <c r="P141" s="126"/>
      <c r="Q141" s="126"/>
      <c r="R141" s="126"/>
      <c r="S141" s="126"/>
      <c r="T141" s="126"/>
      <c r="U141" s="126"/>
      <c r="V141" s="126"/>
      <c r="W141" s="126"/>
    </row>
    <row r="142" spans="2:23" ht="15.75" x14ac:dyDescent="0.25">
      <c r="B142" s="126"/>
      <c r="C142" s="126"/>
      <c r="D142" s="126"/>
      <c r="E142" s="126"/>
      <c r="F142" s="126"/>
      <c r="G142" s="126"/>
      <c r="H142" s="126"/>
      <c r="I142" s="126"/>
      <c r="J142" s="126"/>
      <c r="K142" s="126"/>
      <c r="L142" s="126"/>
      <c r="M142" s="126"/>
      <c r="N142" s="126"/>
      <c r="O142" s="126"/>
      <c r="P142" s="126"/>
      <c r="Q142" s="126"/>
      <c r="R142" s="126"/>
      <c r="S142" s="126"/>
      <c r="T142" s="126"/>
      <c r="U142" s="126"/>
      <c r="V142" s="126"/>
      <c r="W142" s="126"/>
    </row>
    <row r="143" spans="2:23" ht="15.75" x14ac:dyDescent="0.25">
      <c r="B143" s="126"/>
      <c r="C143" s="126"/>
      <c r="D143" s="126"/>
      <c r="E143" s="126"/>
      <c r="F143" s="126"/>
      <c r="G143" s="126"/>
      <c r="H143" s="126"/>
      <c r="I143" s="126"/>
      <c r="J143" s="126"/>
      <c r="K143" s="126"/>
      <c r="L143" s="126"/>
      <c r="M143" s="126"/>
      <c r="N143" s="126"/>
      <c r="O143" s="126"/>
      <c r="P143" s="126"/>
      <c r="Q143" s="126"/>
      <c r="R143" s="126"/>
      <c r="S143" s="126"/>
      <c r="T143" s="126"/>
      <c r="U143" s="126"/>
      <c r="V143" s="126"/>
      <c r="W143" s="126"/>
    </row>
    <row r="144" spans="2:23" ht="15.75" x14ac:dyDescent="0.25">
      <c r="B144" s="126"/>
      <c r="C144" s="126"/>
      <c r="D144" s="126"/>
      <c r="E144" s="126"/>
      <c r="F144" s="126"/>
      <c r="G144" s="126"/>
      <c r="H144" s="126"/>
      <c r="I144" s="126"/>
      <c r="J144" s="126"/>
      <c r="K144" s="126"/>
      <c r="L144" s="126"/>
      <c r="M144" s="126"/>
      <c r="N144" s="126"/>
      <c r="O144" s="126"/>
      <c r="P144" s="126"/>
      <c r="Q144" s="126"/>
      <c r="R144" s="126"/>
      <c r="S144" s="126"/>
      <c r="T144" s="126"/>
      <c r="U144" s="126"/>
      <c r="V144" s="126"/>
      <c r="W144" s="126"/>
    </row>
    <row r="145" spans="2:23" ht="15.75" x14ac:dyDescent="0.25">
      <c r="B145" s="126"/>
      <c r="C145" s="126"/>
      <c r="D145" s="126"/>
      <c r="E145" s="126"/>
      <c r="F145" s="126"/>
      <c r="G145" s="126"/>
      <c r="H145" s="126"/>
      <c r="I145" s="126"/>
      <c r="J145" s="126"/>
      <c r="K145" s="126"/>
      <c r="L145" s="126"/>
      <c r="M145" s="126"/>
      <c r="N145" s="126"/>
      <c r="O145" s="126"/>
      <c r="P145" s="126"/>
      <c r="Q145" s="126"/>
      <c r="R145" s="126"/>
      <c r="S145" s="126"/>
      <c r="T145" s="126"/>
      <c r="U145" s="126"/>
      <c r="V145" s="126"/>
      <c r="W145" s="126"/>
    </row>
    <row r="146" spans="2:23" ht="15.75" x14ac:dyDescent="0.25">
      <c r="B146" s="126"/>
      <c r="C146" s="126"/>
      <c r="D146" s="126"/>
      <c r="E146" s="126"/>
      <c r="F146" s="126"/>
      <c r="G146" s="126"/>
      <c r="H146" s="126"/>
      <c r="I146" s="126"/>
      <c r="J146" s="126"/>
      <c r="K146" s="126"/>
      <c r="L146" s="126"/>
      <c r="M146" s="126"/>
      <c r="N146" s="126"/>
      <c r="O146" s="126"/>
      <c r="P146" s="126"/>
      <c r="Q146" s="126"/>
      <c r="R146" s="126"/>
      <c r="S146" s="126"/>
      <c r="T146" s="126"/>
      <c r="U146" s="126"/>
      <c r="V146" s="126"/>
      <c r="W146" s="126"/>
    </row>
    <row r="147" spans="2:23" ht="15.75" x14ac:dyDescent="0.25">
      <c r="B147" s="126"/>
      <c r="C147" s="126"/>
      <c r="D147" s="126"/>
      <c r="E147" s="126"/>
      <c r="F147" s="126"/>
      <c r="G147" s="126"/>
      <c r="H147" s="126"/>
      <c r="I147" s="126"/>
      <c r="J147" s="126"/>
      <c r="K147" s="126"/>
      <c r="L147" s="126"/>
      <c r="M147" s="126"/>
      <c r="N147" s="126"/>
      <c r="O147" s="126"/>
      <c r="P147" s="126"/>
      <c r="Q147" s="126"/>
      <c r="R147" s="126"/>
      <c r="S147" s="126"/>
      <c r="T147" s="126"/>
      <c r="U147" s="126"/>
      <c r="V147" s="126"/>
      <c r="W147" s="126"/>
    </row>
    <row r="148" spans="2:23" ht="15.75" x14ac:dyDescent="0.25">
      <c r="B148" s="126"/>
      <c r="C148" s="126"/>
      <c r="D148" s="126"/>
      <c r="E148" s="126"/>
      <c r="F148" s="126"/>
      <c r="G148" s="126"/>
      <c r="H148" s="126"/>
      <c r="I148" s="126"/>
      <c r="J148" s="126"/>
      <c r="K148" s="126"/>
      <c r="L148" s="126"/>
      <c r="M148" s="126"/>
      <c r="N148" s="126"/>
      <c r="O148" s="126"/>
      <c r="P148" s="126"/>
      <c r="Q148" s="126"/>
      <c r="R148" s="126"/>
      <c r="S148" s="126"/>
      <c r="T148" s="126"/>
      <c r="U148" s="126"/>
      <c r="V148" s="126"/>
      <c r="W148" s="126"/>
    </row>
    <row r="149" spans="2:23" ht="15.75" x14ac:dyDescent="0.25">
      <c r="B149" s="126"/>
      <c r="C149" s="126"/>
      <c r="D149" s="126"/>
      <c r="E149" s="126"/>
      <c r="F149" s="126"/>
      <c r="G149" s="126"/>
      <c r="H149" s="126"/>
      <c r="I149" s="126"/>
      <c r="J149" s="126"/>
      <c r="K149" s="126"/>
      <c r="L149" s="126"/>
      <c r="M149" s="126"/>
      <c r="N149" s="126"/>
      <c r="O149" s="126"/>
      <c r="P149" s="126"/>
      <c r="Q149" s="126"/>
      <c r="R149" s="126"/>
      <c r="S149" s="126"/>
      <c r="T149" s="126"/>
      <c r="U149" s="126"/>
      <c r="V149" s="126"/>
      <c r="W149" s="126"/>
    </row>
    <row r="150" spans="2:23" ht="15.75" x14ac:dyDescent="0.25">
      <c r="B150" s="126"/>
      <c r="C150" s="126"/>
      <c r="D150" s="126"/>
      <c r="E150" s="126"/>
      <c r="F150" s="126"/>
      <c r="G150" s="126"/>
      <c r="H150" s="126"/>
      <c r="I150" s="126"/>
      <c r="J150" s="126"/>
      <c r="K150" s="126"/>
      <c r="L150" s="126"/>
      <c r="M150" s="126"/>
      <c r="N150" s="126"/>
      <c r="O150" s="126"/>
      <c r="P150" s="126"/>
      <c r="Q150" s="126"/>
      <c r="R150" s="126"/>
      <c r="S150" s="126"/>
      <c r="T150" s="126"/>
      <c r="U150" s="126"/>
      <c r="V150" s="126"/>
      <c r="W150" s="126"/>
    </row>
    <row r="151" spans="2:23" ht="15.75" x14ac:dyDescent="0.25">
      <c r="B151" s="126"/>
      <c r="C151" s="126"/>
      <c r="D151" s="126"/>
      <c r="E151" s="126"/>
      <c r="F151" s="126"/>
      <c r="G151" s="126"/>
      <c r="H151" s="126"/>
      <c r="I151" s="126"/>
      <c r="J151" s="126"/>
      <c r="K151" s="126"/>
      <c r="L151" s="126"/>
      <c r="M151" s="126"/>
      <c r="N151" s="126"/>
      <c r="O151" s="126"/>
      <c r="P151" s="126"/>
      <c r="Q151" s="126"/>
      <c r="R151" s="126"/>
      <c r="S151" s="126"/>
      <c r="T151" s="126"/>
      <c r="U151" s="126"/>
      <c r="V151" s="126"/>
      <c r="W151" s="126"/>
    </row>
    <row r="152" spans="2:23" ht="15.75" x14ac:dyDescent="0.25">
      <c r="B152" s="126"/>
      <c r="C152" s="126"/>
      <c r="D152" s="126"/>
      <c r="E152" s="126"/>
      <c r="F152" s="126"/>
      <c r="G152" s="126"/>
      <c r="H152" s="126"/>
      <c r="I152" s="126"/>
      <c r="J152" s="126"/>
      <c r="K152" s="126"/>
      <c r="L152" s="126"/>
      <c r="M152" s="126"/>
      <c r="N152" s="126"/>
      <c r="O152" s="126"/>
      <c r="P152" s="126"/>
      <c r="Q152" s="126"/>
      <c r="R152" s="126"/>
      <c r="S152" s="126"/>
      <c r="T152" s="126"/>
      <c r="U152" s="126"/>
      <c r="V152" s="126"/>
      <c r="W152" s="126"/>
    </row>
    <row r="153" spans="2:23" ht="15.75" x14ac:dyDescent="0.25">
      <c r="B153" s="126"/>
      <c r="C153" s="126"/>
      <c r="D153" s="126"/>
      <c r="E153" s="126"/>
      <c r="F153" s="126"/>
      <c r="G153" s="126"/>
      <c r="H153" s="126"/>
      <c r="I153" s="126"/>
      <c r="J153" s="126"/>
      <c r="K153" s="126"/>
      <c r="L153" s="126"/>
      <c r="M153" s="126"/>
      <c r="N153" s="126"/>
      <c r="O153" s="126"/>
      <c r="P153" s="126"/>
      <c r="Q153" s="126"/>
      <c r="R153" s="126"/>
      <c r="S153" s="126"/>
      <c r="T153" s="126"/>
      <c r="U153" s="126"/>
      <c r="V153" s="126"/>
      <c r="W153" s="126"/>
    </row>
    <row r="154" spans="2:23" ht="15.75" x14ac:dyDescent="0.25">
      <c r="B154" s="126"/>
      <c r="C154" s="126"/>
      <c r="D154" s="126"/>
      <c r="E154" s="126"/>
      <c r="F154" s="126"/>
      <c r="G154" s="126"/>
      <c r="H154" s="126"/>
      <c r="I154" s="126"/>
      <c r="J154" s="126"/>
      <c r="K154" s="126"/>
      <c r="L154" s="126"/>
      <c r="M154" s="126"/>
      <c r="N154" s="126"/>
      <c r="O154" s="126"/>
      <c r="P154" s="126"/>
      <c r="Q154" s="126"/>
      <c r="R154" s="126"/>
      <c r="S154" s="126"/>
      <c r="T154" s="126"/>
      <c r="U154" s="126"/>
      <c r="V154" s="126"/>
      <c r="W154" s="126"/>
    </row>
    <row r="155" spans="2:23" ht="15.75" x14ac:dyDescent="0.25">
      <c r="B155" s="126"/>
      <c r="C155" s="126"/>
      <c r="D155" s="126"/>
      <c r="E155" s="126"/>
      <c r="F155" s="126"/>
      <c r="G155" s="126"/>
      <c r="H155" s="126"/>
      <c r="I155" s="126"/>
      <c r="J155" s="126"/>
      <c r="K155" s="126"/>
      <c r="L155" s="126"/>
      <c r="M155" s="126"/>
      <c r="N155" s="126"/>
      <c r="O155" s="126"/>
      <c r="P155" s="126"/>
      <c r="Q155" s="126"/>
      <c r="R155" s="126"/>
      <c r="S155" s="126"/>
      <c r="T155" s="126"/>
      <c r="U155" s="126"/>
      <c r="V155" s="126"/>
      <c r="W155" s="126"/>
    </row>
    <row r="156" spans="2:23" ht="15.75" x14ac:dyDescent="0.25">
      <c r="B156" s="126"/>
      <c r="C156" s="126"/>
      <c r="D156" s="126"/>
      <c r="E156" s="126"/>
      <c r="F156" s="126"/>
      <c r="G156" s="126"/>
      <c r="H156" s="126"/>
      <c r="I156" s="126"/>
      <c r="J156" s="126"/>
      <c r="K156" s="126"/>
      <c r="L156" s="126"/>
      <c r="M156" s="126"/>
      <c r="N156" s="126"/>
      <c r="O156" s="126"/>
      <c r="P156" s="126"/>
      <c r="Q156" s="126"/>
      <c r="R156" s="126"/>
      <c r="S156" s="126"/>
      <c r="T156" s="126"/>
      <c r="U156" s="126"/>
      <c r="V156" s="126"/>
      <c r="W156" s="126"/>
    </row>
    <row r="157" spans="2:23" ht="15.75" x14ac:dyDescent="0.25">
      <c r="B157" s="126"/>
      <c r="C157" s="126"/>
      <c r="D157" s="126"/>
      <c r="E157" s="126"/>
      <c r="F157" s="126"/>
      <c r="G157" s="126"/>
      <c r="H157" s="126"/>
      <c r="I157" s="126"/>
      <c r="J157" s="126"/>
      <c r="K157" s="126"/>
      <c r="L157" s="126"/>
      <c r="M157" s="126"/>
      <c r="N157" s="126"/>
      <c r="O157" s="126"/>
      <c r="P157" s="126"/>
      <c r="Q157" s="126"/>
      <c r="R157" s="126"/>
      <c r="S157" s="126"/>
      <c r="T157" s="126"/>
      <c r="U157" s="126"/>
      <c r="V157" s="126"/>
      <c r="W157" s="126"/>
    </row>
    <row r="158" spans="2:23" ht="15.75" x14ac:dyDescent="0.25">
      <c r="B158" s="126"/>
      <c r="C158" s="126"/>
      <c r="D158" s="126"/>
      <c r="E158" s="126"/>
      <c r="F158" s="126"/>
      <c r="G158" s="126"/>
      <c r="H158" s="126"/>
      <c r="I158" s="126"/>
      <c r="J158" s="126"/>
      <c r="K158" s="126"/>
      <c r="L158" s="126"/>
      <c r="M158" s="126"/>
      <c r="N158" s="126"/>
      <c r="O158" s="126"/>
      <c r="P158" s="126"/>
      <c r="Q158" s="126"/>
      <c r="R158" s="126"/>
      <c r="S158" s="126"/>
      <c r="T158" s="126"/>
      <c r="U158" s="126"/>
      <c r="V158" s="126"/>
      <c r="W158" s="126"/>
    </row>
    <row r="159" spans="2:23" ht="15.75" x14ac:dyDescent="0.25">
      <c r="B159" s="126"/>
      <c r="C159" s="126"/>
      <c r="D159" s="126"/>
      <c r="E159" s="126"/>
      <c r="F159" s="126"/>
      <c r="G159" s="126"/>
      <c r="H159" s="126"/>
      <c r="I159" s="126"/>
      <c r="J159" s="126"/>
      <c r="K159" s="126"/>
      <c r="L159" s="126"/>
      <c r="M159" s="126"/>
      <c r="N159" s="126"/>
      <c r="O159" s="126"/>
      <c r="P159" s="126"/>
      <c r="Q159" s="126"/>
      <c r="R159" s="126"/>
      <c r="S159" s="126"/>
      <c r="T159" s="126"/>
      <c r="U159" s="126"/>
      <c r="V159" s="126"/>
      <c r="W159" s="126"/>
    </row>
    <row r="160" spans="2:23" ht="15.75" x14ac:dyDescent="0.25">
      <c r="B160" s="126"/>
      <c r="C160" s="126"/>
      <c r="D160" s="126"/>
      <c r="E160" s="126"/>
      <c r="F160" s="126"/>
      <c r="G160" s="126"/>
      <c r="H160" s="126"/>
      <c r="I160" s="126"/>
      <c r="J160" s="126"/>
      <c r="K160" s="126"/>
      <c r="L160" s="126"/>
      <c r="M160" s="126"/>
      <c r="N160" s="126"/>
      <c r="O160" s="126"/>
      <c r="P160" s="126"/>
      <c r="Q160" s="126"/>
      <c r="R160" s="126"/>
      <c r="S160" s="126"/>
      <c r="T160" s="126"/>
      <c r="U160" s="126"/>
      <c r="V160" s="126"/>
      <c r="W160" s="126"/>
    </row>
    <row r="161" spans="2:23" ht="15.75" x14ac:dyDescent="0.25">
      <c r="B161" s="126"/>
      <c r="C161" s="126"/>
      <c r="D161" s="126"/>
      <c r="E161" s="126"/>
      <c r="F161" s="126"/>
      <c r="G161" s="126"/>
      <c r="H161" s="126"/>
      <c r="I161" s="126"/>
      <c r="J161" s="126"/>
      <c r="K161" s="126"/>
      <c r="L161" s="126"/>
      <c r="M161" s="126"/>
      <c r="N161" s="126"/>
      <c r="O161" s="126"/>
      <c r="P161" s="126"/>
      <c r="Q161" s="126"/>
      <c r="R161" s="126"/>
      <c r="S161" s="126"/>
      <c r="T161" s="126"/>
      <c r="U161" s="126"/>
      <c r="V161" s="126"/>
      <c r="W161" s="126"/>
    </row>
    <row r="162" spans="2:23" ht="15.75" x14ac:dyDescent="0.25">
      <c r="B162" s="126"/>
      <c r="C162" s="126"/>
      <c r="D162" s="126"/>
      <c r="E162" s="126"/>
      <c r="F162" s="126"/>
      <c r="G162" s="126"/>
      <c r="H162" s="126"/>
      <c r="I162" s="126"/>
      <c r="J162" s="126"/>
      <c r="K162" s="126"/>
      <c r="L162" s="126"/>
      <c r="M162" s="126"/>
      <c r="N162" s="126"/>
      <c r="O162" s="126"/>
      <c r="P162" s="126"/>
      <c r="Q162" s="126"/>
      <c r="R162" s="126"/>
      <c r="S162" s="126"/>
      <c r="T162" s="126"/>
      <c r="U162" s="126"/>
      <c r="V162" s="126"/>
      <c r="W162" s="126"/>
    </row>
    <row r="163" spans="2:23" ht="15.75" x14ac:dyDescent="0.25">
      <c r="B163" s="126"/>
      <c r="C163" s="126"/>
      <c r="D163" s="126"/>
      <c r="E163" s="126"/>
      <c r="F163" s="126"/>
      <c r="G163" s="126"/>
      <c r="H163" s="126"/>
      <c r="I163" s="126"/>
      <c r="J163" s="126"/>
      <c r="K163" s="126"/>
      <c r="L163" s="126"/>
      <c r="M163" s="126"/>
      <c r="N163" s="126"/>
      <c r="O163" s="126"/>
      <c r="P163" s="126"/>
      <c r="Q163" s="126"/>
      <c r="R163" s="126"/>
      <c r="S163" s="126"/>
      <c r="T163" s="126"/>
      <c r="U163" s="126"/>
      <c r="V163" s="126"/>
      <c r="W163" s="126"/>
    </row>
    <row r="164" spans="2:23" ht="15.75" x14ac:dyDescent="0.25">
      <c r="B164" s="126"/>
      <c r="C164" s="126"/>
      <c r="D164" s="126"/>
      <c r="E164" s="126"/>
      <c r="F164" s="126"/>
      <c r="G164" s="126"/>
      <c r="H164" s="126"/>
      <c r="I164" s="126"/>
      <c r="J164" s="126"/>
      <c r="K164" s="126"/>
      <c r="L164" s="126"/>
      <c r="M164" s="126"/>
      <c r="N164" s="126"/>
      <c r="O164" s="126"/>
      <c r="P164" s="126"/>
      <c r="Q164" s="126"/>
      <c r="R164" s="126"/>
      <c r="S164" s="126"/>
      <c r="T164" s="126"/>
      <c r="U164" s="126"/>
      <c r="V164" s="126"/>
      <c r="W164" s="126"/>
    </row>
    <row r="165" spans="2:23" ht="15.75" x14ac:dyDescent="0.25">
      <c r="B165" s="126"/>
      <c r="C165" s="126"/>
      <c r="D165" s="126"/>
      <c r="E165" s="126"/>
      <c r="F165" s="126"/>
      <c r="G165" s="126"/>
      <c r="H165" s="126"/>
      <c r="I165" s="126"/>
      <c r="J165" s="126"/>
      <c r="K165" s="126"/>
      <c r="L165" s="126"/>
      <c r="M165" s="126"/>
      <c r="N165" s="126"/>
      <c r="O165" s="126"/>
      <c r="P165" s="126"/>
      <c r="Q165" s="126"/>
      <c r="R165" s="126"/>
      <c r="S165" s="126"/>
      <c r="T165" s="126"/>
      <c r="U165" s="126"/>
      <c r="V165" s="126"/>
      <c r="W165" s="126"/>
    </row>
    <row r="166" spans="2:23" ht="15.75" x14ac:dyDescent="0.25">
      <c r="B166" s="126"/>
      <c r="C166" s="126"/>
      <c r="D166" s="126"/>
      <c r="E166" s="126"/>
      <c r="F166" s="126"/>
      <c r="G166" s="126"/>
      <c r="H166" s="126"/>
      <c r="I166" s="126"/>
      <c r="J166" s="126"/>
      <c r="K166" s="126"/>
      <c r="L166" s="126"/>
      <c r="M166" s="126"/>
      <c r="N166" s="126"/>
      <c r="O166" s="126"/>
      <c r="P166" s="126"/>
      <c r="Q166" s="126"/>
      <c r="R166" s="126"/>
      <c r="S166" s="126"/>
      <c r="T166" s="126"/>
      <c r="U166" s="126"/>
      <c r="V166" s="126"/>
      <c r="W166" s="126"/>
    </row>
    <row r="167" spans="2:23" ht="15.75" x14ac:dyDescent="0.25">
      <c r="B167" s="126"/>
      <c r="C167" s="126"/>
      <c r="D167" s="126"/>
      <c r="E167" s="126"/>
      <c r="F167" s="126"/>
      <c r="G167" s="126"/>
      <c r="H167" s="126"/>
      <c r="I167" s="126"/>
      <c r="J167" s="126"/>
      <c r="K167" s="126"/>
      <c r="L167" s="126"/>
      <c r="M167" s="126"/>
      <c r="N167" s="126"/>
      <c r="O167" s="126"/>
      <c r="P167" s="126"/>
      <c r="Q167" s="126"/>
      <c r="R167" s="126"/>
      <c r="S167" s="126"/>
      <c r="T167" s="126"/>
      <c r="U167" s="126"/>
      <c r="V167" s="126"/>
      <c r="W167" s="126"/>
    </row>
    <row r="168" spans="2:23" ht="15.75" x14ac:dyDescent="0.25">
      <c r="B168" s="126"/>
      <c r="C168" s="126"/>
      <c r="D168" s="126"/>
      <c r="E168" s="126"/>
      <c r="F168" s="126"/>
      <c r="G168" s="126"/>
      <c r="H168" s="126"/>
      <c r="I168" s="126"/>
      <c r="J168" s="126"/>
      <c r="K168" s="126"/>
      <c r="L168" s="126"/>
      <c r="M168" s="126"/>
      <c r="N168" s="126"/>
      <c r="O168" s="126"/>
      <c r="P168" s="126"/>
      <c r="Q168" s="126"/>
      <c r="R168" s="126"/>
      <c r="S168" s="126"/>
      <c r="T168" s="126"/>
      <c r="U168" s="126"/>
      <c r="V168" s="126"/>
      <c r="W168" s="126"/>
    </row>
    <row r="169" spans="2:23" ht="15.75" x14ac:dyDescent="0.25">
      <c r="B169" s="126"/>
      <c r="C169" s="126"/>
      <c r="D169" s="126"/>
      <c r="E169" s="126"/>
      <c r="F169" s="126"/>
      <c r="G169" s="126"/>
      <c r="H169" s="126"/>
      <c r="I169" s="126"/>
      <c r="J169" s="126"/>
      <c r="K169" s="126"/>
      <c r="L169" s="126"/>
      <c r="M169" s="126"/>
      <c r="N169" s="126"/>
      <c r="O169" s="126"/>
      <c r="P169" s="126"/>
      <c r="Q169" s="126"/>
      <c r="R169" s="126"/>
      <c r="S169" s="126"/>
      <c r="T169" s="126"/>
      <c r="U169" s="126"/>
      <c r="V169" s="126"/>
      <c r="W169" s="126"/>
    </row>
  </sheetData>
  <pageMargins left="0.7" right="0.7" top="0.75" bottom="0.75" header="0.3" footer="0.3"/>
  <pageSetup orientation="portrait" verticalDpi="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37"/>
  <sheetViews>
    <sheetView topLeftCell="F11" zoomScaleNormal="100" workbookViewId="0">
      <selection activeCell="H7" sqref="H7"/>
    </sheetView>
  </sheetViews>
  <sheetFormatPr defaultRowHeight="15" x14ac:dyDescent="0.25"/>
  <cols>
    <col min="1" max="2" width="9.140625" style="196"/>
    <col min="3" max="3" width="11.140625" style="196" customWidth="1"/>
    <col min="4" max="4" width="26" style="196" customWidth="1"/>
    <col min="5" max="5" width="21" style="196" customWidth="1"/>
    <col min="6" max="6" width="9.85546875" style="196" customWidth="1"/>
    <col min="7" max="7" width="10.7109375" style="196" customWidth="1"/>
    <col min="8" max="11" width="9.140625" style="196"/>
    <col min="12" max="12" width="11.140625" style="196" customWidth="1"/>
    <col min="13" max="13" width="26" style="196" customWidth="1"/>
    <col min="14" max="14" width="21" style="196" customWidth="1"/>
    <col min="15" max="15" width="9.85546875" style="196" customWidth="1"/>
    <col min="16" max="16" width="10.7109375" style="196" customWidth="1"/>
    <col min="17" max="17" width="9.140625" style="1"/>
    <col min="18" max="16384" width="9.140625" style="196"/>
  </cols>
  <sheetData>
    <row r="1" spans="1:17" ht="26.25" x14ac:dyDescent="0.4">
      <c r="A1" s="205" t="s">
        <v>265</v>
      </c>
      <c r="B1" s="205"/>
      <c r="C1" s="205"/>
      <c r="D1" s="205"/>
    </row>
    <row r="2" spans="1:17" ht="26.25" x14ac:dyDescent="0.4">
      <c r="A2" s="205"/>
      <c r="B2" s="205"/>
      <c r="C2" s="205"/>
      <c r="D2" s="205"/>
    </row>
    <row r="3" spans="1:17" ht="18.75" x14ac:dyDescent="0.3">
      <c r="A3" s="203" t="s">
        <v>266</v>
      </c>
      <c r="B3" s="203"/>
      <c r="C3" s="203"/>
      <c r="D3" s="203"/>
      <c r="E3" s="203"/>
      <c r="F3" s="203"/>
      <c r="G3" s="203"/>
    </row>
    <row r="5" spans="1:17" x14ac:dyDescent="0.25">
      <c r="D5" s="198" t="s">
        <v>95</v>
      </c>
      <c r="E5" s="201" t="s">
        <v>267</v>
      </c>
      <c r="M5" s="198" t="s">
        <v>94</v>
      </c>
      <c r="N5" s="201" t="s">
        <v>297</v>
      </c>
    </row>
    <row r="7" spans="1:17" x14ac:dyDescent="0.25">
      <c r="B7" s="198" t="s">
        <v>41</v>
      </c>
      <c r="C7" s="198" t="s">
        <v>113</v>
      </c>
      <c r="D7" s="198" t="s">
        <v>112</v>
      </c>
      <c r="E7" s="198" t="s">
        <v>111</v>
      </c>
      <c r="F7" s="198" t="s">
        <v>268</v>
      </c>
      <c r="G7" s="198" t="s">
        <v>15</v>
      </c>
      <c r="H7" s="198" t="s">
        <v>374</v>
      </c>
      <c r="K7" s="198" t="s">
        <v>41</v>
      </c>
      <c r="L7" s="198" t="s">
        <v>113</v>
      </c>
      <c r="M7" s="198" t="s">
        <v>112</v>
      </c>
      <c r="N7" s="198" t="s">
        <v>111</v>
      </c>
      <c r="O7" s="198" t="s">
        <v>268</v>
      </c>
      <c r="P7" s="198" t="s">
        <v>15</v>
      </c>
      <c r="Q7" s="198" t="s">
        <v>374</v>
      </c>
    </row>
    <row r="8" spans="1:17" x14ac:dyDescent="0.25">
      <c r="B8" s="200" t="s">
        <v>106</v>
      </c>
      <c r="C8" s="200">
        <v>5389</v>
      </c>
      <c r="D8" s="200"/>
      <c r="E8" s="200"/>
      <c r="F8" s="200"/>
      <c r="G8" s="200"/>
      <c r="H8" s="197">
        <v>25</v>
      </c>
      <c r="K8" s="200" t="s">
        <v>106</v>
      </c>
      <c r="L8" s="200">
        <v>5289</v>
      </c>
      <c r="M8" s="200"/>
      <c r="N8" s="200"/>
      <c r="O8" s="200"/>
      <c r="P8" s="200"/>
      <c r="Q8" s="1">
        <v>5</v>
      </c>
    </row>
    <row r="9" spans="1:17" x14ac:dyDescent="0.25">
      <c r="B9" s="200" t="s">
        <v>105</v>
      </c>
      <c r="C9" s="200">
        <v>5281</v>
      </c>
      <c r="D9" s="200"/>
      <c r="E9" s="200"/>
      <c r="F9" s="200"/>
      <c r="G9" s="200"/>
      <c r="H9" s="197">
        <v>19</v>
      </c>
      <c r="K9" s="200" t="s">
        <v>105</v>
      </c>
      <c r="L9" s="200">
        <v>5270</v>
      </c>
      <c r="M9" s="200"/>
      <c r="N9" s="200"/>
      <c r="O9" s="200"/>
      <c r="P9" s="200"/>
      <c r="Q9" s="1">
        <v>6.2</v>
      </c>
    </row>
    <row r="10" spans="1:17" x14ac:dyDescent="0.25">
      <c r="B10" s="200" t="s">
        <v>104</v>
      </c>
      <c r="C10" s="200">
        <v>5311</v>
      </c>
      <c r="D10" s="200" t="s">
        <v>269</v>
      </c>
      <c r="E10" s="200" t="s">
        <v>51</v>
      </c>
      <c r="F10" s="200">
        <v>40.56</v>
      </c>
      <c r="G10" s="200" t="s">
        <v>18</v>
      </c>
      <c r="H10" s="197">
        <v>7.2</v>
      </c>
      <c r="K10" s="200" t="s">
        <v>104</v>
      </c>
      <c r="L10" s="200">
        <v>5424</v>
      </c>
      <c r="M10" s="200" t="s">
        <v>296</v>
      </c>
      <c r="N10" s="200" t="s">
        <v>51</v>
      </c>
      <c r="O10" s="200">
        <v>40.049999999999997</v>
      </c>
      <c r="P10" s="200" t="s">
        <v>18</v>
      </c>
      <c r="Q10" s="1">
        <v>7.2</v>
      </c>
    </row>
    <row r="11" spans="1:17" x14ac:dyDescent="0.25">
      <c r="B11" s="200" t="s">
        <v>102</v>
      </c>
      <c r="C11" s="200">
        <v>2335</v>
      </c>
      <c r="D11" s="200"/>
      <c r="E11" s="200"/>
      <c r="F11" s="200"/>
      <c r="G11" s="200"/>
      <c r="H11" s="197">
        <v>35</v>
      </c>
      <c r="K11" s="200" t="s">
        <v>102</v>
      </c>
      <c r="L11" s="200">
        <v>5336</v>
      </c>
      <c r="M11" s="200"/>
      <c r="N11" s="200"/>
      <c r="O11" s="200"/>
      <c r="P11" s="200"/>
      <c r="Q11" s="1">
        <v>6.4</v>
      </c>
    </row>
    <row r="12" spans="1:17" x14ac:dyDescent="0.25">
      <c r="B12" s="200" t="s">
        <v>101</v>
      </c>
      <c r="C12" s="200">
        <v>5240</v>
      </c>
      <c r="D12" s="200"/>
      <c r="E12" s="200"/>
      <c r="F12" s="200"/>
      <c r="G12" s="200"/>
      <c r="H12" s="197">
        <v>8.4</v>
      </c>
      <c r="K12" s="200" t="s">
        <v>101</v>
      </c>
      <c r="L12" s="200">
        <v>5385</v>
      </c>
      <c r="M12" s="200"/>
      <c r="N12" s="200"/>
      <c r="O12" s="200"/>
      <c r="P12" s="200"/>
      <c r="Q12" s="1">
        <v>10.8</v>
      </c>
    </row>
    <row r="13" spans="1:17" x14ac:dyDescent="0.25">
      <c r="B13" s="200" t="s">
        <v>100</v>
      </c>
      <c r="C13" s="200">
        <v>5304</v>
      </c>
      <c r="D13" s="200"/>
      <c r="E13" s="200"/>
      <c r="F13" s="200"/>
      <c r="G13" s="200"/>
      <c r="H13" s="197">
        <v>7</v>
      </c>
      <c r="K13" s="200" t="s">
        <v>100</v>
      </c>
      <c r="L13" s="200">
        <v>5383</v>
      </c>
      <c r="M13" s="200"/>
      <c r="N13" s="200"/>
      <c r="O13" s="200"/>
      <c r="P13" s="200"/>
      <c r="Q13" s="1">
        <v>8.8000000000000007</v>
      </c>
    </row>
    <row r="14" spans="1:17" x14ac:dyDescent="0.25">
      <c r="B14" s="197"/>
      <c r="C14" s="197"/>
      <c r="D14" s="197"/>
      <c r="E14" s="197"/>
      <c r="F14" s="197"/>
      <c r="G14" s="197"/>
      <c r="K14" s="197"/>
      <c r="L14" s="197"/>
      <c r="M14" s="197"/>
      <c r="N14" s="197"/>
      <c r="O14" s="197"/>
      <c r="P14" s="197"/>
    </row>
    <row r="15" spans="1:17" x14ac:dyDescent="0.25">
      <c r="B15" s="198" t="s">
        <v>47</v>
      </c>
      <c r="C15" s="197"/>
      <c r="D15" s="197"/>
      <c r="E15" s="197"/>
      <c r="F15" s="197"/>
      <c r="G15" s="197"/>
      <c r="K15" s="198" t="s">
        <v>47</v>
      </c>
      <c r="L15" s="197"/>
      <c r="M15" s="197"/>
      <c r="N15" s="197"/>
      <c r="O15" s="197"/>
      <c r="P15" s="197"/>
    </row>
    <row r="16" spans="1:17" x14ac:dyDescent="0.25">
      <c r="B16" s="200" t="s">
        <v>106</v>
      </c>
      <c r="C16" s="200">
        <v>5307</v>
      </c>
      <c r="D16" s="200"/>
      <c r="E16" s="200"/>
      <c r="F16" s="200"/>
      <c r="G16" s="200"/>
      <c r="H16" s="207">
        <v>11.4</v>
      </c>
      <c r="K16" s="200" t="s">
        <v>106</v>
      </c>
      <c r="L16" s="200">
        <v>5343</v>
      </c>
      <c r="M16" s="200"/>
      <c r="N16" s="200"/>
      <c r="O16" s="200"/>
      <c r="P16" s="200"/>
      <c r="Q16" s="1">
        <v>4.4000000000000004</v>
      </c>
    </row>
    <row r="17" spans="2:17" x14ac:dyDescent="0.25">
      <c r="B17" s="200" t="s">
        <v>105</v>
      </c>
      <c r="C17" s="200">
        <v>5393</v>
      </c>
      <c r="D17" s="200"/>
      <c r="E17" s="200"/>
      <c r="F17" s="200"/>
      <c r="G17" s="200"/>
      <c r="H17" s="207">
        <v>14.4</v>
      </c>
      <c r="K17" s="200" t="s">
        <v>105</v>
      </c>
      <c r="L17" s="200">
        <v>5186</v>
      </c>
      <c r="M17" s="200"/>
      <c r="N17" s="200"/>
      <c r="O17" s="200"/>
      <c r="P17" s="200"/>
      <c r="Q17" s="1">
        <v>6.4</v>
      </c>
    </row>
    <row r="18" spans="2:17" x14ac:dyDescent="0.25">
      <c r="B18" s="200" t="s">
        <v>104</v>
      </c>
      <c r="C18" s="200">
        <v>5288</v>
      </c>
      <c r="D18" s="200" t="s">
        <v>270</v>
      </c>
      <c r="E18" s="200" t="s">
        <v>51</v>
      </c>
      <c r="F18" s="200">
        <v>41.07</v>
      </c>
      <c r="G18" s="200" t="s">
        <v>18</v>
      </c>
      <c r="H18" s="207">
        <v>20</v>
      </c>
      <c r="K18" s="200" t="s">
        <v>104</v>
      </c>
      <c r="L18" s="200">
        <v>5317</v>
      </c>
      <c r="M18" s="200" t="s">
        <v>294</v>
      </c>
      <c r="N18" s="200" t="s">
        <v>51</v>
      </c>
      <c r="O18" s="200">
        <v>40.04</v>
      </c>
      <c r="P18" s="200" t="s">
        <v>18</v>
      </c>
      <c r="Q18" s="1">
        <v>5.9</v>
      </c>
    </row>
    <row r="19" spans="2:17" x14ac:dyDescent="0.25">
      <c r="B19" s="200" t="s">
        <v>102</v>
      </c>
      <c r="C19" s="200">
        <v>2503</v>
      </c>
      <c r="D19" s="200"/>
      <c r="E19" s="200"/>
      <c r="F19" s="200"/>
      <c r="G19" s="200"/>
      <c r="H19" s="207">
        <v>6</v>
      </c>
      <c r="K19" s="200" t="s">
        <v>102</v>
      </c>
      <c r="L19" s="200">
        <v>5303</v>
      </c>
      <c r="M19" s="200"/>
      <c r="N19" s="200"/>
      <c r="O19" s="200"/>
      <c r="P19" s="200"/>
      <c r="Q19" s="1">
        <v>9.9</v>
      </c>
    </row>
    <row r="20" spans="2:17" x14ac:dyDescent="0.25">
      <c r="B20" s="200" t="s">
        <v>101</v>
      </c>
      <c r="C20" s="200">
        <v>2511</v>
      </c>
      <c r="D20" s="200"/>
      <c r="E20" s="200"/>
      <c r="F20" s="200"/>
      <c r="G20" s="200"/>
      <c r="H20" s="207">
        <v>14.7</v>
      </c>
      <c r="K20" s="200" t="s">
        <v>101</v>
      </c>
      <c r="L20" s="200">
        <v>5337</v>
      </c>
      <c r="M20" s="200"/>
      <c r="N20" s="200"/>
      <c r="O20" s="200"/>
      <c r="P20" s="200"/>
      <c r="Q20" s="1">
        <v>6.2</v>
      </c>
    </row>
    <row r="21" spans="2:17" x14ac:dyDescent="0.25">
      <c r="B21" s="200" t="s">
        <v>100</v>
      </c>
      <c r="C21" s="200">
        <v>5309</v>
      </c>
      <c r="D21" s="200"/>
      <c r="E21" s="200"/>
      <c r="F21" s="200"/>
      <c r="G21" s="200"/>
      <c r="H21" s="207">
        <v>11.4</v>
      </c>
      <c r="K21" s="200" t="s">
        <v>100</v>
      </c>
      <c r="L21" s="200">
        <v>5382</v>
      </c>
      <c r="M21" s="200"/>
      <c r="N21" s="200"/>
      <c r="O21" s="200"/>
      <c r="P21" s="200"/>
      <c r="Q21" s="1">
        <v>4.9000000000000004</v>
      </c>
    </row>
    <row r="22" spans="2:17" x14ac:dyDescent="0.25">
      <c r="B22" s="197"/>
      <c r="C22" s="197"/>
      <c r="D22" s="197"/>
      <c r="E22" s="197"/>
      <c r="F22" s="197"/>
      <c r="G22" s="197"/>
      <c r="K22" s="197"/>
      <c r="L22" s="197"/>
      <c r="M22" s="197"/>
      <c r="N22" s="197"/>
      <c r="O22" s="197"/>
      <c r="P22" s="197"/>
    </row>
    <row r="23" spans="2:17" x14ac:dyDescent="0.25">
      <c r="B23" s="198" t="s">
        <v>48</v>
      </c>
      <c r="C23" s="197"/>
      <c r="D23" s="197"/>
      <c r="E23" s="197"/>
      <c r="F23" s="197"/>
      <c r="G23" s="197"/>
      <c r="K23" s="198" t="s">
        <v>48</v>
      </c>
      <c r="L23" s="197"/>
      <c r="M23" s="197"/>
      <c r="N23" s="197"/>
      <c r="O23" s="197"/>
      <c r="P23" s="197"/>
    </row>
    <row r="24" spans="2:17" x14ac:dyDescent="0.25">
      <c r="B24" s="200" t="s">
        <v>106</v>
      </c>
      <c r="C24" s="200">
        <v>5283</v>
      </c>
      <c r="D24" s="200"/>
      <c r="E24" s="200"/>
      <c r="F24" s="200"/>
      <c r="G24" s="200"/>
      <c r="H24" s="207">
        <v>6.3</v>
      </c>
      <c r="K24" s="200" t="s">
        <v>106</v>
      </c>
      <c r="L24" s="200">
        <v>5290</v>
      </c>
      <c r="M24" s="200"/>
      <c r="N24" s="200"/>
      <c r="O24" s="200"/>
      <c r="P24" s="200"/>
      <c r="Q24" s="1">
        <v>4.5</v>
      </c>
    </row>
    <row r="25" spans="2:17" x14ac:dyDescent="0.25">
      <c r="B25" s="200" t="s">
        <v>105</v>
      </c>
      <c r="C25" s="200">
        <v>5330</v>
      </c>
      <c r="D25" s="200"/>
      <c r="E25" s="200"/>
      <c r="F25" s="200"/>
      <c r="G25" s="200"/>
      <c r="H25" s="207">
        <v>12.5</v>
      </c>
      <c r="K25" s="200" t="s">
        <v>105</v>
      </c>
      <c r="L25" s="200">
        <v>5297</v>
      </c>
      <c r="M25" s="200"/>
      <c r="N25" s="200"/>
      <c r="O25" s="200"/>
      <c r="P25" s="200"/>
      <c r="Q25" s="1">
        <v>7</v>
      </c>
    </row>
    <row r="26" spans="2:17" x14ac:dyDescent="0.25">
      <c r="B26" s="200" t="s">
        <v>104</v>
      </c>
      <c r="C26" s="200">
        <v>5295</v>
      </c>
      <c r="D26" s="200" t="s">
        <v>271</v>
      </c>
      <c r="E26" s="200" t="s">
        <v>51</v>
      </c>
      <c r="F26" s="200">
        <v>41.08</v>
      </c>
      <c r="G26" s="200" t="s">
        <v>18</v>
      </c>
      <c r="H26" s="207">
        <v>31.7</v>
      </c>
      <c r="K26" s="200" t="s">
        <v>104</v>
      </c>
      <c r="L26" s="200">
        <v>5423</v>
      </c>
      <c r="M26" s="200" t="s">
        <v>295</v>
      </c>
      <c r="N26" s="200" t="s">
        <v>51</v>
      </c>
      <c r="O26" s="200">
        <v>40</v>
      </c>
      <c r="P26" s="200" t="s">
        <v>18</v>
      </c>
      <c r="Q26" s="1" t="s">
        <v>138</v>
      </c>
    </row>
    <row r="27" spans="2:17" x14ac:dyDescent="0.25">
      <c r="B27" s="200" t="s">
        <v>102</v>
      </c>
      <c r="C27" s="200">
        <v>5238</v>
      </c>
      <c r="D27" s="200"/>
      <c r="E27" s="200"/>
      <c r="F27" s="200"/>
      <c r="G27" s="200"/>
      <c r="H27" s="207">
        <v>4</v>
      </c>
      <c r="K27" s="200" t="s">
        <v>102</v>
      </c>
      <c r="L27" s="200">
        <v>5384</v>
      </c>
      <c r="M27" s="200"/>
      <c r="N27" s="200"/>
      <c r="O27" s="200"/>
      <c r="P27" s="200"/>
      <c r="Q27" s="1">
        <v>9.5</v>
      </c>
    </row>
    <row r="28" spans="2:17" x14ac:dyDescent="0.25">
      <c r="B28" s="200" t="s">
        <v>101</v>
      </c>
      <c r="C28" s="200">
        <v>5269</v>
      </c>
      <c r="D28" s="200"/>
      <c r="E28" s="200"/>
      <c r="F28" s="200"/>
      <c r="G28" s="200"/>
      <c r="H28" s="207">
        <v>25.8</v>
      </c>
      <c r="K28" s="200" t="s">
        <v>101</v>
      </c>
      <c r="L28" s="200">
        <v>5236</v>
      </c>
      <c r="M28" s="200"/>
      <c r="N28" s="200"/>
      <c r="O28" s="200"/>
      <c r="P28" s="200"/>
      <c r="Q28" s="1">
        <v>5.6</v>
      </c>
    </row>
    <row r="29" spans="2:17" x14ac:dyDescent="0.25">
      <c r="B29" s="200" t="s">
        <v>100</v>
      </c>
      <c r="C29" s="200">
        <v>5255</v>
      </c>
      <c r="D29" s="200"/>
      <c r="E29" s="200"/>
      <c r="F29" s="200"/>
      <c r="G29" s="200"/>
      <c r="H29" s="207">
        <v>14</v>
      </c>
      <c r="K29" s="200" t="s">
        <v>100</v>
      </c>
      <c r="L29" s="200">
        <v>5249</v>
      </c>
      <c r="M29" s="200"/>
      <c r="N29" s="200"/>
      <c r="O29" s="200"/>
      <c r="P29" s="200"/>
      <c r="Q29" s="1">
        <v>4.7</v>
      </c>
    </row>
    <row r="30" spans="2:17" x14ac:dyDescent="0.25">
      <c r="B30" s="197"/>
      <c r="C30" s="197"/>
      <c r="D30" s="197"/>
      <c r="E30" s="197"/>
      <c r="F30" s="197"/>
      <c r="G30" s="197"/>
      <c r="K30" s="197"/>
      <c r="L30" s="197"/>
      <c r="M30" s="197"/>
      <c r="N30" s="197"/>
      <c r="O30" s="197"/>
      <c r="P30" s="197"/>
    </row>
    <row r="31" spans="2:17" x14ac:dyDescent="0.25">
      <c r="B31" s="198" t="s">
        <v>49</v>
      </c>
      <c r="C31" s="197"/>
      <c r="D31" s="197"/>
      <c r="E31" s="197"/>
      <c r="F31" s="197"/>
      <c r="G31" s="197"/>
      <c r="K31" s="198" t="s">
        <v>49</v>
      </c>
      <c r="L31" s="197"/>
      <c r="M31" s="197"/>
      <c r="N31" s="197"/>
      <c r="O31" s="197"/>
      <c r="P31" s="197"/>
    </row>
    <row r="32" spans="2:17" x14ac:dyDescent="0.25">
      <c r="B32" s="200" t="s">
        <v>106</v>
      </c>
      <c r="C32" s="200">
        <v>5314</v>
      </c>
      <c r="D32" s="200"/>
      <c r="E32" s="200"/>
      <c r="F32" s="200"/>
      <c r="G32" s="200"/>
      <c r="H32" s="207">
        <v>6</v>
      </c>
      <c r="K32" s="200" t="s">
        <v>106</v>
      </c>
      <c r="L32" s="200">
        <v>5339</v>
      </c>
      <c r="M32" s="200"/>
      <c r="N32" s="200"/>
      <c r="O32" s="200"/>
      <c r="P32" s="200"/>
      <c r="Q32" s="1">
        <v>5.3</v>
      </c>
    </row>
    <row r="33" spans="2:17" x14ac:dyDescent="0.25">
      <c r="B33" s="200" t="s">
        <v>105</v>
      </c>
      <c r="C33" s="200">
        <v>5392</v>
      </c>
      <c r="D33" s="199"/>
      <c r="E33" s="199"/>
      <c r="F33" s="199"/>
      <c r="G33" s="199"/>
      <c r="H33" s="207">
        <v>9.5</v>
      </c>
      <c r="K33" s="200" t="s">
        <v>105</v>
      </c>
      <c r="L33" s="200">
        <v>5296</v>
      </c>
      <c r="M33" s="199"/>
      <c r="N33" s="199"/>
      <c r="O33" s="199"/>
      <c r="P33" s="199"/>
      <c r="Q33" s="1">
        <v>6.8</v>
      </c>
    </row>
    <row r="34" spans="2:17" x14ac:dyDescent="0.25">
      <c r="B34" s="200" t="s">
        <v>104</v>
      </c>
      <c r="C34" s="200">
        <v>5331</v>
      </c>
      <c r="D34" s="200" t="s">
        <v>272</v>
      </c>
      <c r="E34" s="200" t="s">
        <v>51</v>
      </c>
      <c r="F34" s="200">
        <v>41.21</v>
      </c>
      <c r="G34" s="200" t="s">
        <v>18</v>
      </c>
      <c r="H34" s="207">
        <v>18</v>
      </c>
      <c r="K34" s="200" t="s">
        <v>104</v>
      </c>
      <c r="L34" s="200">
        <v>5341</v>
      </c>
      <c r="M34" s="200" t="s">
        <v>294</v>
      </c>
      <c r="N34" s="200" t="s">
        <v>51</v>
      </c>
      <c r="O34" s="200">
        <v>40.340000000000003</v>
      </c>
      <c r="P34" s="200" t="s">
        <v>18</v>
      </c>
      <c r="Q34" s="1">
        <v>6.5</v>
      </c>
    </row>
    <row r="35" spans="2:17" x14ac:dyDescent="0.25">
      <c r="B35" s="200" t="s">
        <v>102</v>
      </c>
      <c r="C35" s="200">
        <v>5407</v>
      </c>
      <c r="D35" s="199"/>
      <c r="E35" s="199"/>
      <c r="F35" s="199"/>
      <c r="G35" s="199"/>
      <c r="H35" s="207">
        <v>19.2</v>
      </c>
      <c r="K35" s="200" t="s">
        <v>102</v>
      </c>
      <c r="L35" s="200">
        <v>5340</v>
      </c>
      <c r="M35" s="199"/>
      <c r="N35" s="199"/>
      <c r="O35" s="199"/>
      <c r="P35" s="199"/>
      <c r="Q35" s="1">
        <v>7.1</v>
      </c>
    </row>
    <row r="36" spans="2:17" x14ac:dyDescent="0.25">
      <c r="B36" s="200" t="s">
        <v>101</v>
      </c>
      <c r="C36" s="200">
        <v>2510</v>
      </c>
      <c r="D36" s="199"/>
      <c r="E36" s="199"/>
      <c r="F36" s="199"/>
      <c r="G36" s="199"/>
      <c r="H36" s="207">
        <v>8.5</v>
      </c>
      <c r="K36" s="200" t="s">
        <v>101</v>
      </c>
      <c r="L36" s="200">
        <v>5275</v>
      </c>
      <c r="M36" s="199"/>
      <c r="N36" s="199"/>
      <c r="O36" s="199"/>
      <c r="P36" s="199"/>
      <c r="Q36" s="1">
        <v>4.5</v>
      </c>
    </row>
    <row r="37" spans="2:17" x14ac:dyDescent="0.25">
      <c r="B37" s="200" t="s">
        <v>100</v>
      </c>
      <c r="C37" s="200">
        <v>5239</v>
      </c>
      <c r="D37" s="199"/>
      <c r="E37" s="199"/>
      <c r="F37" s="199"/>
      <c r="G37" s="199"/>
      <c r="H37" s="207">
        <v>6.1</v>
      </c>
      <c r="K37" s="200" t="s">
        <v>100</v>
      </c>
      <c r="L37" s="200">
        <v>5342</v>
      </c>
      <c r="M37" s="199"/>
      <c r="N37" s="199"/>
      <c r="O37" s="199"/>
      <c r="P37" s="199"/>
      <c r="Q37" s="1">
        <v>4.9000000000000004</v>
      </c>
    </row>
  </sheetData>
  <pageMargins left="0.7" right="0.7" top="0.75" bottom="0.75" header="0.3" footer="0.3"/>
  <pageSetup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34"/>
  <sheetViews>
    <sheetView topLeftCell="Y1" zoomScaleNormal="100" workbookViewId="0">
      <selection activeCell="V28" sqref="V28"/>
    </sheetView>
  </sheetViews>
  <sheetFormatPr defaultRowHeight="15" x14ac:dyDescent="0.25"/>
  <sheetData>
    <row r="1" spans="1:27" x14ac:dyDescent="0.25">
      <c r="A1" s="206"/>
      <c r="B1" s="206"/>
      <c r="C1" s="206"/>
      <c r="D1" s="206"/>
      <c r="E1" s="206"/>
      <c r="F1" s="206"/>
      <c r="G1" s="206"/>
      <c r="H1" s="206"/>
      <c r="I1" s="206"/>
      <c r="J1" s="206"/>
      <c r="K1" s="206"/>
      <c r="L1" s="206"/>
      <c r="M1" s="206"/>
      <c r="N1" s="206"/>
      <c r="O1" s="206"/>
      <c r="P1" s="206"/>
      <c r="Q1" s="206"/>
      <c r="R1" s="206"/>
      <c r="S1" s="206"/>
      <c r="T1" s="206"/>
      <c r="U1" s="206"/>
      <c r="V1" s="206"/>
      <c r="W1" s="206"/>
      <c r="X1" s="206"/>
      <c r="Y1" s="206"/>
      <c r="Z1" s="206"/>
      <c r="AA1" s="206"/>
    </row>
    <row r="2" spans="1:27" ht="60" x14ac:dyDescent="0.25">
      <c r="A2" s="206"/>
      <c r="B2" s="206"/>
      <c r="C2" s="206"/>
      <c r="D2" s="206"/>
      <c r="E2" s="206"/>
      <c r="F2" s="206" t="s">
        <v>299</v>
      </c>
      <c r="G2" s="206"/>
      <c r="H2" s="206"/>
      <c r="I2" s="206"/>
      <c r="J2" s="206"/>
      <c r="K2" s="206"/>
      <c r="L2" s="206"/>
      <c r="M2" s="206"/>
      <c r="N2" s="206"/>
      <c r="O2" s="206"/>
      <c r="P2" s="206"/>
      <c r="Q2" s="206"/>
      <c r="R2" s="206" t="s">
        <v>300</v>
      </c>
      <c r="S2" s="206"/>
      <c r="T2" s="206"/>
      <c r="U2" s="206"/>
      <c r="V2" s="206"/>
      <c r="W2" s="206" t="s">
        <v>361</v>
      </c>
      <c r="X2" s="206"/>
      <c r="Y2" s="206"/>
      <c r="Z2" s="206"/>
      <c r="AA2" s="206"/>
    </row>
    <row r="3" spans="1:27" ht="30" x14ac:dyDescent="0.25">
      <c r="A3" s="206"/>
      <c r="B3" s="206"/>
      <c r="C3" s="206"/>
      <c r="D3" s="206"/>
      <c r="E3" s="206"/>
      <c r="F3" s="206"/>
      <c r="G3" s="206"/>
      <c r="H3" s="206"/>
      <c r="I3" s="206"/>
      <c r="J3" s="206"/>
      <c r="K3" s="206"/>
      <c r="L3" s="206"/>
      <c r="M3" s="206"/>
      <c r="N3" s="206"/>
      <c r="O3" s="206"/>
      <c r="P3" s="206"/>
      <c r="Q3" s="206"/>
      <c r="R3" s="206"/>
      <c r="S3" s="206"/>
      <c r="T3" s="206"/>
      <c r="U3" s="206"/>
      <c r="V3" s="206"/>
      <c r="W3" s="206" t="s">
        <v>363</v>
      </c>
      <c r="X3" s="206"/>
      <c r="Y3" s="206" t="s">
        <v>364</v>
      </c>
      <c r="Z3" s="206"/>
      <c r="AA3" s="206"/>
    </row>
    <row r="4" spans="1:27" ht="30" x14ac:dyDescent="0.25">
      <c r="A4" s="206"/>
      <c r="B4" s="206" t="s">
        <v>41</v>
      </c>
      <c r="C4" s="206" t="s">
        <v>42</v>
      </c>
      <c r="D4" s="206" t="s">
        <v>50</v>
      </c>
      <c r="E4" s="206" t="s">
        <v>142</v>
      </c>
      <c r="F4" s="206" t="s">
        <v>43</v>
      </c>
      <c r="G4" s="206" t="s">
        <v>44</v>
      </c>
      <c r="H4" s="206" t="s">
        <v>45</v>
      </c>
      <c r="I4" s="206" t="s">
        <v>46</v>
      </c>
      <c r="J4" s="206" t="s">
        <v>52</v>
      </c>
      <c r="K4" s="206"/>
      <c r="L4" s="206"/>
      <c r="M4" s="206"/>
      <c r="N4" s="206" t="s">
        <v>41</v>
      </c>
      <c r="O4" s="206" t="s">
        <v>42</v>
      </c>
      <c r="P4" s="206" t="s">
        <v>50</v>
      </c>
      <c r="Q4" s="206" t="s">
        <v>142</v>
      </c>
      <c r="R4" s="206" t="s">
        <v>43</v>
      </c>
      <c r="S4" s="206" t="s">
        <v>44</v>
      </c>
      <c r="T4" s="206" t="s">
        <v>301</v>
      </c>
      <c r="U4" s="206"/>
      <c r="V4" s="206" t="s">
        <v>362</v>
      </c>
      <c r="W4" s="206" t="s">
        <v>88</v>
      </c>
      <c r="X4" s="206" t="s">
        <v>89</v>
      </c>
      <c r="Y4" s="206" t="s">
        <v>88</v>
      </c>
      <c r="Z4" s="206" t="s">
        <v>89</v>
      </c>
      <c r="AA4" s="206"/>
    </row>
    <row r="5" spans="1:27" x14ac:dyDescent="0.25">
      <c r="A5" s="206"/>
      <c r="B5" s="206"/>
      <c r="C5" s="206">
        <v>1</v>
      </c>
      <c r="D5" s="206">
        <v>3506</v>
      </c>
      <c r="E5" s="206" t="s">
        <v>302</v>
      </c>
      <c r="F5" s="206">
        <v>20.8</v>
      </c>
      <c r="G5" s="206">
        <v>33.94</v>
      </c>
      <c r="H5" s="206" t="s">
        <v>303</v>
      </c>
      <c r="I5" s="206">
        <v>7.32</v>
      </c>
      <c r="J5" s="206" t="s">
        <v>84</v>
      </c>
      <c r="K5" s="206"/>
      <c r="L5" s="206"/>
      <c r="M5" s="206"/>
      <c r="N5" s="206"/>
      <c r="O5" s="206">
        <v>1</v>
      </c>
      <c r="P5" s="206">
        <v>3506</v>
      </c>
      <c r="Q5" s="206" t="s">
        <v>302</v>
      </c>
      <c r="R5" s="206" t="s">
        <v>304</v>
      </c>
      <c r="S5" s="206" t="s">
        <v>305</v>
      </c>
      <c r="T5" s="206">
        <v>50.35</v>
      </c>
      <c r="U5" s="206"/>
      <c r="V5" s="206">
        <v>3506</v>
      </c>
      <c r="W5" s="206">
        <v>20.8</v>
      </c>
      <c r="X5" s="206">
        <v>33.94</v>
      </c>
      <c r="Y5" s="206">
        <v>133.69999999999999</v>
      </c>
      <c r="Z5" s="206">
        <v>226.5</v>
      </c>
      <c r="AA5" s="206"/>
    </row>
    <row r="6" spans="1:27" x14ac:dyDescent="0.25">
      <c r="A6" s="206"/>
      <c r="B6" s="206"/>
      <c r="C6" s="206">
        <v>2</v>
      </c>
      <c r="D6" s="206">
        <v>3006</v>
      </c>
      <c r="E6" s="206" t="s">
        <v>306</v>
      </c>
      <c r="F6" s="206">
        <v>13.6</v>
      </c>
      <c r="G6" s="206">
        <v>26.2</v>
      </c>
      <c r="H6" s="206" t="s">
        <v>303</v>
      </c>
      <c r="I6" s="206">
        <v>7.24</v>
      </c>
      <c r="J6" s="206" t="s">
        <v>84</v>
      </c>
      <c r="K6" s="206"/>
      <c r="L6" s="206"/>
      <c r="M6" s="206"/>
      <c r="N6" s="206"/>
      <c r="O6" s="206">
        <v>2</v>
      </c>
      <c r="P6" s="206">
        <v>3006</v>
      </c>
      <c r="Q6" s="206" t="s">
        <v>306</v>
      </c>
      <c r="R6" s="206" t="s">
        <v>307</v>
      </c>
      <c r="S6" s="206" t="s">
        <v>308</v>
      </c>
      <c r="T6" s="206">
        <v>50.75</v>
      </c>
      <c r="U6" s="206"/>
      <c r="V6" s="206">
        <v>3006</v>
      </c>
      <c r="W6" s="206">
        <v>13.6</v>
      </c>
      <c r="X6" s="206">
        <v>26.2</v>
      </c>
      <c r="Y6" s="206">
        <v>220.5</v>
      </c>
      <c r="Z6" s="206">
        <v>375</v>
      </c>
      <c r="AA6" s="206"/>
    </row>
    <row r="7" spans="1:27" x14ac:dyDescent="0.25">
      <c r="A7" s="206"/>
      <c r="B7" s="206"/>
      <c r="C7" s="206">
        <v>3</v>
      </c>
      <c r="D7" s="206">
        <v>3205</v>
      </c>
      <c r="E7" s="206" t="s">
        <v>306</v>
      </c>
      <c r="F7" s="206">
        <v>34</v>
      </c>
      <c r="G7" s="206">
        <v>65</v>
      </c>
      <c r="H7" s="206" t="s">
        <v>303</v>
      </c>
      <c r="I7" s="206">
        <v>7.2</v>
      </c>
      <c r="J7" s="206" t="s">
        <v>84</v>
      </c>
      <c r="K7" s="206"/>
      <c r="L7" s="206"/>
      <c r="M7" s="206"/>
      <c r="N7" s="206"/>
      <c r="O7" s="206">
        <v>3</v>
      </c>
      <c r="P7" s="206">
        <v>3205</v>
      </c>
      <c r="Q7" s="206" t="s">
        <v>306</v>
      </c>
      <c r="R7" s="206" t="s">
        <v>309</v>
      </c>
      <c r="S7" s="206" t="s">
        <v>310</v>
      </c>
      <c r="T7" s="206">
        <v>51.25</v>
      </c>
      <c r="U7" s="206"/>
      <c r="V7" s="206">
        <v>3205</v>
      </c>
      <c r="W7" s="206">
        <v>34</v>
      </c>
      <c r="X7" s="206">
        <v>65</v>
      </c>
      <c r="Y7" s="206">
        <v>319</v>
      </c>
      <c r="Z7" s="206">
        <v>586</v>
      </c>
      <c r="AA7" s="206"/>
    </row>
    <row r="8" spans="1:27" x14ac:dyDescent="0.25">
      <c r="A8" s="206"/>
      <c r="B8" s="206"/>
      <c r="C8" s="206">
        <v>4</v>
      </c>
      <c r="D8" s="206">
        <v>3290</v>
      </c>
      <c r="E8" s="206" t="s">
        <v>140</v>
      </c>
      <c r="F8" s="206">
        <v>28.4</v>
      </c>
      <c r="G8" s="206">
        <v>68.400000000000006</v>
      </c>
      <c r="H8" s="206" t="s">
        <v>303</v>
      </c>
      <c r="I8" s="206">
        <v>7.4</v>
      </c>
      <c r="J8" s="206" t="s">
        <v>84</v>
      </c>
      <c r="K8" s="206"/>
      <c r="L8" s="206"/>
      <c r="M8" s="206"/>
      <c r="N8" s="206"/>
      <c r="O8" s="206">
        <v>4</v>
      </c>
      <c r="P8" s="206">
        <v>3290</v>
      </c>
      <c r="Q8" s="206" t="s">
        <v>140</v>
      </c>
      <c r="R8" s="206" t="s">
        <v>311</v>
      </c>
      <c r="S8" s="206" t="s">
        <v>312</v>
      </c>
      <c r="T8" s="206">
        <v>51.3</v>
      </c>
      <c r="U8" s="206"/>
      <c r="V8" s="206">
        <v>3290</v>
      </c>
      <c r="W8" s="206">
        <v>28.4</v>
      </c>
      <c r="X8" s="206">
        <v>68.400000000000006</v>
      </c>
      <c r="Y8" s="206">
        <v>146.5</v>
      </c>
      <c r="Z8" s="206">
        <v>322.2</v>
      </c>
      <c r="AA8" s="206"/>
    </row>
    <row r="9" spans="1:27" x14ac:dyDescent="0.25">
      <c r="A9" s="206"/>
      <c r="B9" s="206"/>
      <c r="C9" s="206">
        <v>5</v>
      </c>
      <c r="D9" s="206">
        <v>3170</v>
      </c>
      <c r="E9" s="206" t="s">
        <v>306</v>
      </c>
      <c r="F9" s="206">
        <v>3.1</v>
      </c>
      <c r="G9" s="206">
        <v>5.0999999999999996</v>
      </c>
      <c r="H9" s="206" t="s">
        <v>303</v>
      </c>
      <c r="I9" s="206">
        <v>7.12</v>
      </c>
      <c r="J9" s="206" t="s">
        <v>84</v>
      </c>
      <c r="K9" s="206"/>
      <c r="L9" s="206"/>
      <c r="M9" s="206"/>
      <c r="N9" s="206"/>
      <c r="O9" s="206">
        <v>5</v>
      </c>
      <c r="P9" s="206">
        <v>3170</v>
      </c>
      <c r="Q9" s="206" t="s">
        <v>306</v>
      </c>
      <c r="R9" s="206" t="s">
        <v>313</v>
      </c>
      <c r="S9" s="206" t="s">
        <v>314</v>
      </c>
      <c r="T9" s="206">
        <v>51.8</v>
      </c>
      <c r="U9" s="206"/>
      <c r="V9" s="206">
        <v>3170</v>
      </c>
      <c r="W9" s="206">
        <v>3.1</v>
      </c>
      <c r="X9" s="206">
        <v>5.0999999999999996</v>
      </c>
      <c r="Y9" s="206">
        <v>52.1</v>
      </c>
      <c r="Z9" s="206">
        <v>101.1</v>
      </c>
      <c r="AA9" s="206"/>
    </row>
    <row r="10" spans="1:27" x14ac:dyDescent="0.25">
      <c r="A10" s="206"/>
      <c r="B10" s="206"/>
      <c r="C10" s="206">
        <v>6</v>
      </c>
      <c r="D10" s="206">
        <v>3209</v>
      </c>
      <c r="E10" s="206" t="s">
        <v>306</v>
      </c>
      <c r="F10" s="206">
        <v>38.1</v>
      </c>
      <c r="G10" s="206">
        <v>73.3</v>
      </c>
      <c r="H10" s="206" t="s">
        <v>303</v>
      </c>
      <c r="I10" s="206">
        <v>7.84</v>
      </c>
      <c r="J10" s="206" t="s">
        <v>84</v>
      </c>
      <c r="K10" s="206"/>
      <c r="L10" s="206"/>
      <c r="M10" s="206"/>
      <c r="N10" s="206"/>
      <c r="O10" s="206">
        <v>6</v>
      </c>
      <c r="P10" s="206">
        <v>3209</v>
      </c>
      <c r="Q10" s="206" t="s">
        <v>306</v>
      </c>
      <c r="R10" s="206" t="s">
        <v>315</v>
      </c>
      <c r="S10" s="206" t="s">
        <v>316</v>
      </c>
      <c r="T10" s="206">
        <v>50.55</v>
      </c>
      <c r="V10" s="206">
        <v>3209</v>
      </c>
      <c r="W10" s="206">
        <v>38.1</v>
      </c>
      <c r="X10" s="206">
        <v>73.3</v>
      </c>
      <c r="Y10" s="206">
        <v>344</v>
      </c>
      <c r="Z10" s="206">
        <v>609</v>
      </c>
    </row>
    <row r="11" spans="1:27" x14ac:dyDescent="0.25">
      <c r="A11" s="206"/>
      <c r="B11" s="206"/>
      <c r="C11" s="206"/>
      <c r="D11" s="206"/>
      <c r="E11" s="206"/>
      <c r="F11" s="206"/>
      <c r="G11" s="206"/>
      <c r="H11" s="206"/>
      <c r="I11" s="206"/>
      <c r="J11" s="206"/>
      <c r="K11" s="206"/>
      <c r="L11" s="206"/>
      <c r="M11" s="206"/>
      <c r="N11" s="206"/>
      <c r="O11" s="206"/>
      <c r="P11" s="206"/>
      <c r="Q11" s="206"/>
      <c r="R11" s="206"/>
      <c r="S11" s="206"/>
      <c r="T11" s="206"/>
      <c r="V11" s="206">
        <v>2502</v>
      </c>
      <c r="W11" s="206">
        <v>13.6</v>
      </c>
      <c r="X11" s="206">
        <v>27.9</v>
      </c>
      <c r="Y11" s="206">
        <v>91.2</v>
      </c>
      <c r="Z11" s="206">
        <v>182.6</v>
      </c>
    </row>
    <row r="12" spans="1:27" ht="30" x14ac:dyDescent="0.25">
      <c r="A12" s="206"/>
      <c r="B12" s="206" t="s">
        <v>47</v>
      </c>
      <c r="C12" s="206" t="s">
        <v>42</v>
      </c>
      <c r="D12" s="206" t="s">
        <v>50</v>
      </c>
      <c r="E12" s="206" t="s">
        <v>142</v>
      </c>
      <c r="F12" s="206" t="s">
        <v>43</v>
      </c>
      <c r="G12" s="206" t="s">
        <v>44</v>
      </c>
      <c r="H12" s="206" t="s">
        <v>45</v>
      </c>
      <c r="I12" s="206" t="s">
        <v>46</v>
      </c>
      <c r="J12" s="206" t="s">
        <v>52</v>
      </c>
      <c r="K12" s="206"/>
      <c r="L12" s="206"/>
      <c r="M12" s="206"/>
      <c r="N12" s="206" t="s">
        <v>47</v>
      </c>
      <c r="O12" s="206" t="s">
        <v>42</v>
      </c>
      <c r="P12" s="206" t="s">
        <v>50</v>
      </c>
      <c r="Q12" s="206"/>
      <c r="R12" s="206"/>
      <c r="S12" s="206"/>
      <c r="T12" s="206"/>
      <c r="V12" s="206">
        <v>3507</v>
      </c>
      <c r="W12" s="206">
        <v>24.7</v>
      </c>
      <c r="X12" s="206">
        <v>41</v>
      </c>
      <c r="Y12" s="206">
        <v>122.2</v>
      </c>
      <c r="Z12" s="206">
        <v>273.60000000000002</v>
      </c>
    </row>
    <row r="13" spans="1:27" x14ac:dyDescent="0.25">
      <c r="A13" s="206"/>
      <c r="B13" s="206"/>
      <c r="C13" s="206">
        <v>1</v>
      </c>
      <c r="D13" s="206">
        <v>2502</v>
      </c>
      <c r="E13" s="206" t="s">
        <v>317</v>
      </c>
      <c r="F13" s="206">
        <v>13.6</v>
      </c>
      <c r="G13" s="206">
        <v>27.9</v>
      </c>
      <c r="H13" s="206" t="s">
        <v>303</v>
      </c>
      <c r="I13" s="206">
        <v>7.1</v>
      </c>
      <c r="J13" s="206" t="s">
        <v>84</v>
      </c>
      <c r="K13" s="206"/>
      <c r="L13" s="206"/>
      <c r="M13" s="206"/>
      <c r="N13" s="206"/>
      <c r="O13" s="206">
        <v>1</v>
      </c>
      <c r="P13" s="206">
        <v>2502</v>
      </c>
      <c r="Q13" s="206" t="s">
        <v>317</v>
      </c>
      <c r="R13" s="206" t="s">
        <v>318</v>
      </c>
      <c r="S13" s="206" t="s">
        <v>319</v>
      </c>
      <c r="T13" s="206">
        <v>51.5</v>
      </c>
      <c r="V13" s="206">
        <v>3187</v>
      </c>
      <c r="W13" s="206">
        <v>12.3</v>
      </c>
      <c r="X13" s="206">
        <v>23.3</v>
      </c>
      <c r="Y13" s="206">
        <v>153.6</v>
      </c>
      <c r="Z13" s="206">
        <v>287.89999999999998</v>
      </c>
    </row>
    <row r="14" spans="1:27" x14ac:dyDescent="0.25">
      <c r="A14" s="206"/>
      <c r="B14" s="206"/>
      <c r="C14" s="206">
        <v>2</v>
      </c>
      <c r="D14" s="206">
        <v>3507</v>
      </c>
      <c r="E14" s="206" t="s">
        <v>140</v>
      </c>
      <c r="F14" s="206">
        <v>24.7</v>
      </c>
      <c r="G14" s="206">
        <v>41</v>
      </c>
      <c r="H14" s="206" t="s">
        <v>303</v>
      </c>
      <c r="I14" s="206">
        <v>7.2</v>
      </c>
      <c r="J14" s="206" t="s">
        <v>84</v>
      </c>
      <c r="K14" s="206"/>
      <c r="L14" s="206"/>
      <c r="M14" s="206"/>
      <c r="N14" s="206"/>
      <c r="O14" s="206">
        <v>2</v>
      </c>
      <c r="P14" s="206">
        <v>3507</v>
      </c>
      <c r="Q14" s="206" t="s">
        <v>140</v>
      </c>
      <c r="R14" s="206" t="s">
        <v>320</v>
      </c>
      <c r="S14" s="206" t="s">
        <v>321</v>
      </c>
      <c r="T14" s="206">
        <v>50.55</v>
      </c>
      <c r="V14" s="206">
        <v>2509</v>
      </c>
      <c r="W14" s="206">
        <v>5.8</v>
      </c>
      <c r="X14" s="206">
        <v>10.5</v>
      </c>
      <c r="Y14" s="206">
        <v>58.8</v>
      </c>
      <c r="Z14" s="206">
        <v>115.2</v>
      </c>
    </row>
    <row r="15" spans="1:27" x14ac:dyDescent="0.25">
      <c r="A15" s="206"/>
      <c r="B15" s="206"/>
      <c r="C15" s="206">
        <v>3</v>
      </c>
      <c r="D15" s="206">
        <v>3187</v>
      </c>
      <c r="E15" s="206" t="s">
        <v>306</v>
      </c>
      <c r="F15" s="206">
        <v>12.3</v>
      </c>
      <c r="G15" s="206">
        <v>23.3</v>
      </c>
      <c r="H15" s="206" t="s">
        <v>303</v>
      </c>
      <c r="I15" s="206">
        <v>8.1999999999999993</v>
      </c>
      <c r="J15" s="206" t="s">
        <v>84</v>
      </c>
      <c r="K15" s="206"/>
      <c r="L15" s="206"/>
      <c r="M15" s="206"/>
      <c r="N15" s="206"/>
      <c r="O15" s="206">
        <v>3</v>
      </c>
      <c r="P15" s="206">
        <v>3187</v>
      </c>
      <c r="Q15" s="206" t="s">
        <v>306</v>
      </c>
      <c r="R15" s="206" t="s">
        <v>322</v>
      </c>
      <c r="S15" s="206" t="s">
        <v>323</v>
      </c>
      <c r="T15" s="206">
        <v>50.75</v>
      </c>
      <c r="V15" s="206">
        <v>2492</v>
      </c>
      <c r="W15" s="206">
        <v>42.1</v>
      </c>
      <c r="X15" s="206">
        <v>84.2</v>
      </c>
      <c r="Y15" s="206">
        <v>205.5</v>
      </c>
      <c r="Z15" s="206">
        <v>395.2</v>
      </c>
    </row>
    <row r="16" spans="1:27" x14ac:dyDescent="0.25">
      <c r="A16" s="206"/>
      <c r="B16" s="206"/>
      <c r="C16" s="206">
        <v>4</v>
      </c>
      <c r="D16" s="206">
        <v>2509</v>
      </c>
      <c r="E16" s="206" t="s">
        <v>317</v>
      </c>
      <c r="F16" s="206">
        <v>5.8</v>
      </c>
      <c r="G16" s="206">
        <v>10.5</v>
      </c>
      <c r="H16" s="206" t="s">
        <v>303</v>
      </c>
      <c r="I16" s="206">
        <v>7.1</v>
      </c>
      <c r="J16" s="206" t="s">
        <v>84</v>
      </c>
      <c r="K16" s="206"/>
      <c r="L16" s="206"/>
      <c r="M16" s="206"/>
      <c r="N16" s="206"/>
      <c r="O16" s="206">
        <v>4</v>
      </c>
      <c r="P16" s="206">
        <v>2509</v>
      </c>
      <c r="Q16" s="206" t="s">
        <v>317</v>
      </c>
      <c r="R16" s="206" t="s">
        <v>324</v>
      </c>
      <c r="S16" s="206" t="s">
        <v>325</v>
      </c>
      <c r="T16" s="206">
        <v>50.05</v>
      </c>
      <c r="V16" s="206">
        <v>2508</v>
      </c>
      <c r="W16" s="206">
        <v>5.2</v>
      </c>
      <c r="X16" s="206">
        <v>10.8</v>
      </c>
      <c r="Y16" s="206">
        <v>105.1</v>
      </c>
      <c r="Z16" s="206">
        <v>440.6</v>
      </c>
    </row>
    <row r="17" spans="1:26" x14ac:dyDescent="0.25">
      <c r="A17" s="206"/>
      <c r="B17" s="206"/>
      <c r="C17" s="206">
        <v>5</v>
      </c>
      <c r="D17" s="206">
        <v>2492</v>
      </c>
      <c r="E17" s="206" t="s">
        <v>317</v>
      </c>
      <c r="F17" s="206">
        <v>42.1</v>
      </c>
      <c r="G17" s="206">
        <v>84.2</v>
      </c>
      <c r="H17" s="206" t="s">
        <v>303</v>
      </c>
      <c r="I17" s="206">
        <v>8.1</v>
      </c>
      <c r="J17" s="206" t="s">
        <v>84</v>
      </c>
      <c r="K17" s="206"/>
      <c r="L17" s="206"/>
      <c r="M17" s="206"/>
      <c r="N17" s="206"/>
      <c r="O17" s="206">
        <v>5</v>
      </c>
      <c r="P17" s="206">
        <v>2492</v>
      </c>
      <c r="Q17" s="206" t="s">
        <v>317</v>
      </c>
      <c r="R17" s="206" t="s">
        <v>326</v>
      </c>
      <c r="S17" s="206" t="s">
        <v>327</v>
      </c>
      <c r="T17" s="206">
        <v>51.5</v>
      </c>
      <c r="V17" s="206">
        <v>5718</v>
      </c>
      <c r="W17" s="206">
        <v>25.1</v>
      </c>
      <c r="X17" s="206">
        <v>138.5</v>
      </c>
      <c r="Y17" s="206">
        <v>63.9</v>
      </c>
      <c r="Z17" s="206">
        <v>128.4</v>
      </c>
    </row>
    <row r="18" spans="1:26" x14ac:dyDescent="0.25">
      <c r="C18" s="206">
        <v>6</v>
      </c>
      <c r="D18" s="206">
        <v>2508</v>
      </c>
      <c r="E18" s="206" t="s">
        <v>317</v>
      </c>
      <c r="F18" s="206">
        <v>5.2</v>
      </c>
      <c r="G18" s="206">
        <v>10.8</v>
      </c>
      <c r="H18" s="206" t="s">
        <v>303</v>
      </c>
      <c r="I18" s="206">
        <v>7</v>
      </c>
      <c r="J18" s="206" t="s">
        <v>84</v>
      </c>
      <c r="O18" s="206">
        <v>6</v>
      </c>
      <c r="P18" s="206">
        <v>2508</v>
      </c>
      <c r="Q18" s="206" t="s">
        <v>317</v>
      </c>
      <c r="R18" s="206" t="s">
        <v>328</v>
      </c>
      <c r="S18" s="206" t="s">
        <v>329</v>
      </c>
      <c r="T18" s="206">
        <v>50.05</v>
      </c>
      <c r="V18" s="206">
        <v>2351</v>
      </c>
      <c r="W18" s="206">
        <v>6.5</v>
      </c>
      <c r="X18" s="206">
        <v>11.8</v>
      </c>
      <c r="Y18" s="206">
        <v>551</v>
      </c>
      <c r="Z18" s="206">
        <v>1015</v>
      </c>
    </row>
    <row r="19" spans="1:26" x14ac:dyDescent="0.25">
      <c r="V19" s="206">
        <v>5685</v>
      </c>
      <c r="W19" s="206">
        <v>162</v>
      </c>
      <c r="X19" s="206">
        <v>219</v>
      </c>
      <c r="Y19" s="206">
        <v>641</v>
      </c>
      <c r="Z19" s="206">
        <v>1104</v>
      </c>
    </row>
    <row r="20" spans="1:26" ht="30" x14ac:dyDescent="0.25">
      <c r="B20" s="206" t="s">
        <v>48</v>
      </c>
      <c r="C20" s="206" t="s">
        <v>42</v>
      </c>
      <c r="D20" s="206" t="s">
        <v>50</v>
      </c>
      <c r="E20" s="206" t="s">
        <v>142</v>
      </c>
      <c r="F20" s="206" t="s">
        <v>43</v>
      </c>
      <c r="G20" s="206" t="s">
        <v>44</v>
      </c>
      <c r="H20" s="206" t="s">
        <v>45</v>
      </c>
      <c r="I20" s="206" t="s">
        <v>46</v>
      </c>
      <c r="J20" s="206" t="s">
        <v>52</v>
      </c>
      <c r="K20" s="206"/>
      <c r="L20" s="206"/>
      <c r="N20" s="206" t="s">
        <v>48</v>
      </c>
      <c r="O20" s="206" t="s">
        <v>42</v>
      </c>
      <c r="P20" s="206" t="s">
        <v>50</v>
      </c>
      <c r="Q20" s="206"/>
      <c r="R20" s="206"/>
      <c r="S20" s="206"/>
      <c r="T20" s="206"/>
      <c r="V20" s="206">
        <v>5637</v>
      </c>
      <c r="W20" s="206">
        <v>36</v>
      </c>
      <c r="X20" s="206">
        <v>104</v>
      </c>
      <c r="Y20" s="206">
        <v>259.10000000000002</v>
      </c>
      <c r="Z20" s="206">
        <v>548</v>
      </c>
    </row>
    <row r="21" spans="1:26" x14ac:dyDescent="0.25">
      <c r="A21" s="206"/>
      <c r="B21" s="206"/>
      <c r="C21" s="206">
        <v>1</v>
      </c>
      <c r="D21" s="206">
        <v>5718</v>
      </c>
      <c r="E21" s="206" t="s">
        <v>330</v>
      </c>
      <c r="F21" s="206">
        <v>25.1</v>
      </c>
      <c r="G21" s="206">
        <v>138.5</v>
      </c>
      <c r="H21" s="206" t="s">
        <v>303</v>
      </c>
      <c r="I21" s="206">
        <v>7.2</v>
      </c>
      <c r="J21" s="206" t="s">
        <v>84</v>
      </c>
      <c r="K21" s="206"/>
      <c r="L21" s="206"/>
      <c r="M21" s="206"/>
      <c r="N21" s="206"/>
      <c r="O21" s="206">
        <v>1</v>
      </c>
      <c r="P21" s="206">
        <v>5718</v>
      </c>
      <c r="Q21" s="206" t="s">
        <v>330</v>
      </c>
      <c r="R21" s="206" t="s">
        <v>331</v>
      </c>
      <c r="S21" s="206" t="s">
        <v>332</v>
      </c>
      <c r="T21" s="206">
        <v>50.3</v>
      </c>
      <c r="V21" s="206">
        <v>5670</v>
      </c>
      <c r="W21" s="206">
        <v>65</v>
      </c>
      <c r="X21" s="206">
        <v>1500</v>
      </c>
      <c r="Y21" s="206">
        <v>10000</v>
      </c>
      <c r="Z21" s="206">
        <v>10000</v>
      </c>
    </row>
    <row r="22" spans="1:26" x14ac:dyDescent="0.25">
      <c r="A22" s="206"/>
      <c r="B22" s="206"/>
      <c r="C22" s="206">
        <v>2</v>
      </c>
      <c r="D22" s="206">
        <v>2351</v>
      </c>
      <c r="E22" s="206" t="s">
        <v>333</v>
      </c>
      <c r="F22" s="206">
        <v>6.5</v>
      </c>
      <c r="G22" s="206">
        <v>11.8</v>
      </c>
      <c r="H22" s="206" t="s">
        <v>303</v>
      </c>
      <c r="I22" s="206">
        <v>8.24</v>
      </c>
      <c r="J22" s="206" t="s">
        <v>84</v>
      </c>
      <c r="K22" s="206"/>
      <c r="L22" s="206"/>
      <c r="M22" s="206"/>
      <c r="N22" s="206"/>
      <c r="O22" s="206">
        <v>2</v>
      </c>
      <c r="P22" s="206">
        <v>2351</v>
      </c>
      <c r="Q22" s="206" t="s">
        <v>333</v>
      </c>
      <c r="R22" s="206" t="s">
        <v>334</v>
      </c>
      <c r="S22" s="206" t="s">
        <v>335</v>
      </c>
      <c r="T22" s="206">
        <v>50.25</v>
      </c>
      <c r="V22" s="206">
        <v>5650</v>
      </c>
      <c r="W22" s="206">
        <v>5.0999999999999996</v>
      </c>
      <c r="X22" s="206">
        <v>9.1999999999999993</v>
      </c>
      <c r="Y22" s="206">
        <v>45.5</v>
      </c>
      <c r="Z22" s="206">
        <v>10000</v>
      </c>
    </row>
    <row r="23" spans="1:26" x14ac:dyDescent="0.25">
      <c r="A23" s="206"/>
      <c r="B23" s="206"/>
      <c r="C23" s="206">
        <v>3</v>
      </c>
      <c r="D23" s="206">
        <v>5685</v>
      </c>
      <c r="E23" s="206" t="s">
        <v>336</v>
      </c>
      <c r="F23" s="206" t="s">
        <v>337</v>
      </c>
      <c r="G23" s="206" t="s">
        <v>338</v>
      </c>
      <c r="H23" s="206" t="s">
        <v>303</v>
      </c>
      <c r="I23" s="206">
        <v>6.92</v>
      </c>
      <c r="J23" s="206" t="s">
        <v>83</v>
      </c>
      <c r="K23" s="206"/>
      <c r="L23" s="206"/>
      <c r="M23" s="206"/>
      <c r="N23" s="206"/>
      <c r="O23" s="206">
        <v>3</v>
      </c>
      <c r="P23" s="206">
        <v>5685</v>
      </c>
      <c r="Q23" s="206" t="s">
        <v>336</v>
      </c>
      <c r="R23" s="206" t="s">
        <v>339</v>
      </c>
      <c r="S23" s="206" t="s">
        <v>340</v>
      </c>
      <c r="T23" s="206">
        <v>50.3</v>
      </c>
      <c r="V23" s="206">
        <v>3015</v>
      </c>
      <c r="W23" s="206">
        <v>86</v>
      </c>
      <c r="X23" s="206">
        <v>153</v>
      </c>
      <c r="Y23" s="206">
        <v>464.4</v>
      </c>
      <c r="Z23" s="206">
        <v>895</v>
      </c>
    </row>
    <row r="24" spans="1:26" x14ac:dyDescent="0.25">
      <c r="A24" s="206"/>
      <c r="B24" s="206"/>
      <c r="C24" s="206">
        <v>4</v>
      </c>
      <c r="D24" s="206">
        <v>5637</v>
      </c>
      <c r="E24" s="206" t="s">
        <v>330</v>
      </c>
      <c r="F24" s="206">
        <v>36</v>
      </c>
      <c r="G24" s="206">
        <v>104</v>
      </c>
      <c r="H24" s="206" t="s">
        <v>303</v>
      </c>
      <c r="I24" s="206">
        <v>7.64</v>
      </c>
      <c r="J24" s="206" t="s">
        <v>84</v>
      </c>
      <c r="K24" s="206"/>
      <c r="L24" s="206"/>
      <c r="M24" s="206"/>
      <c r="N24" s="206"/>
      <c r="O24" s="206">
        <v>4</v>
      </c>
      <c r="P24" s="206">
        <v>5637</v>
      </c>
      <c r="Q24" s="206" t="s">
        <v>330</v>
      </c>
      <c r="R24" s="206" t="s">
        <v>341</v>
      </c>
      <c r="S24" s="206" t="s">
        <v>342</v>
      </c>
      <c r="T24" s="206">
        <v>49.95</v>
      </c>
      <c r="V24" s="206">
        <v>3230</v>
      </c>
      <c r="W24" s="206">
        <v>16</v>
      </c>
      <c r="X24" s="206">
        <v>40</v>
      </c>
      <c r="Y24" s="206">
        <v>218.1</v>
      </c>
      <c r="Z24" s="206">
        <v>371.2</v>
      </c>
    </row>
    <row r="25" spans="1:26" x14ac:dyDescent="0.25">
      <c r="A25" s="206"/>
      <c r="B25" s="206"/>
      <c r="C25" s="206">
        <v>5</v>
      </c>
      <c r="D25" s="206">
        <v>5670</v>
      </c>
      <c r="E25" s="206" t="s">
        <v>330</v>
      </c>
      <c r="F25" s="206" t="s">
        <v>343</v>
      </c>
      <c r="G25" s="206" t="s">
        <v>344</v>
      </c>
      <c r="H25" s="206" t="s">
        <v>303</v>
      </c>
      <c r="I25" s="206">
        <v>7.6</v>
      </c>
      <c r="J25" s="206" t="s">
        <v>83</v>
      </c>
      <c r="K25" s="206"/>
      <c r="L25" s="206"/>
      <c r="M25" s="206"/>
      <c r="N25" s="206"/>
      <c r="O25" s="206">
        <v>5</v>
      </c>
      <c r="P25" s="206">
        <v>5670</v>
      </c>
      <c r="Q25" s="206" t="s">
        <v>330</v>
      </c>
      <c r="R25" s="206" t="s">
        <v>345</v>
      </c>
      <c r="S25" s="206" t="s">
        <v>345</v>
      </c>
      <c r="T25" s="206"/>
      <c r="V25" s="206">
        <v>3233</v>
      </c>
      <c r="W25" s="206">
        <v>192</v>
      </c>
      <c r="X25" s="206">
        <v>1402</v>
      </c>
      <c r="Y25" s="206">
        <v>985</v>
      </c>
      <c r="Z25" s="206">
        <v>1985</v>
      </c>
    </row>
    <row r="26" spans="1:26" x14ac:dyDescent="0.25">
      <c r="A26" s="206"/>
      <c r="B26" s="206"/>
      <c r="C26" s="206">
        <v>6</v>
      </c>
      <c r="D26" s="206">
        <v>5650</v>
      </c>
      <c r="E26" s="206" t="s">
        <v>330</v>
      </c>
      <c r="F26" s="206">
        <v>5.0999999999999996</v>
      </c>
      <c r="G26" s="206">
        <v>9.1999999999999993</v>
      </c>
      <c r="H26" s="206" t="s">
        <v>303</v>
      </c>
      <c r="I26" s="206">
        <v>7.68</v>
      </c>
      <c r="J26" s="206" t="s">
        <v>84</v>
      </c>
      <c r="K26" s="206"/>
      <c r="L26" s="206"/>
      <c r="M26" s="206"/>
      <c r="N26" s="206"/>
      <c r="O26" s="206">
        <v>6</v>
      </c>
      <c r="P26" s="206">
        <v>5650</v>
      </c>
      <c r="Q26" s="206" t="s">
        <v>330</v>
      </c>
      <c r="R26" s="206" t="s">
        <v>346</v>
      </c>
      <c r="S26" s="206" t="s">
        <v>344</v>
      </c>
      <c r="T26" s="206">
        <v>50.45</v>
      </c>
      <c r="V26" s="206">
        <v>3203</v>
      </c>
      <c r="W26" s="206">
        <v>68</v>
      </c>
      <c r="X26" s="206">
        <v>115</v>
      </c>
      <c r="Y26" s="206">
        <v>359.5</v>
      </c>
      <c r="Z26" s="206">
        <v>757</v>
      </c>
    </row>
    <row r="27" spans="1:26" x14ac:dyDescent="0.25">
      <c r="V27" s="206">
        <v>3204</v>
      </c>
      <c r="W27" s="206">
        <v>70</v>
      </c>
      <c r="X27" s="206">
        <v>108</v>
      </c>
      <c r="Y27" s="206">
        <v>607</v>
      </c>
      <c r="Z27" s="206">
        <v>1139</v>
      </c>
    </row>
    <row r="28" spans="1:26" ht="30" x14ac:dyDescent="0.25">
      <c r="B28" s="206" t="s">
        <v>49</v>
      </c>
      <c r="C28" s="206" t="s">
        <v>42</v>
      </c>
      <c r="D28" s="206" t="s">
        <v>50</v>
      </c>
      <c r="E28" s="206" t="s">
        <v>142</v>
      </c>
      <c r="F28" s="206" t="s">
        <v>43</v>
      </c>
      <c r="G28" s="206" t="s">
        <v>44</v>
      </c>
      <c r="H28" s="206" t="s">
        <v>45</v>
      </c>
      <c r="I28" s="206" t="s">
        <v>46</v>
      </c>
      <c r="J28" s="206" t="s">
        <v>52</v>
      </c>
      <c r="K28" s="206"/>
      <c r="L28" s="206"/>
      <c r="N28" s="206" t="s">
        <v>49</v>
      </c>
      <c r="O28" s="206" t="s">
        <v>42</v>
      </c>
      <c r="P28" s="206" t="s">
        <v>50</v>
      </c>
      <c r="Q28" s="206"/>
      <c r="R28" s="206"/>
      <c r="S28" s="206"/>
      <c r="T28" s="206"/>
      <c r="V28" s="206">
        <v>3232</v>
      </c>
      <c r="W28" s="206">
        <v>51.4</v>
      </c>
      <c r="X28" s="206">
        <v>117</v>
      </c>
      <c r="Y28" s="206">
        <v>280.5</v>
      </c>
      <c r="Z28" s="206">
        <v>651</v>
      </c>
    </row>
    <row r="29" spans="1:26" x14ac:dyDescent="0.25">
      <c r="A29" s="206"/>
      <c r="B29" s="206"/>
      <c r="C29" s="206">
        <v>1</v>
      </c>
      <c r="D29" s="206">
        <v>3015</v>
      </c>
      <c r="E29" s="206" t="s">
        <v>306</v>
      </c>
      <c r="F29" s="206">
        <v>86</v>
      </c>
      <c r="G29" s="206">
        <v>153</v>
      </c>
      <c r="H29" s="206" t="s">
        <v>303</v>
      </c>
      <c r="I29" s="206">
        <v>7.12</v>
      </c>
      <c r="J29" s="206" t="s">
        <v>84</v>
      </c>
      <c r="K29" s="206"/>
      <c r="L29" s="206"/>
      <c r="M29" s="206"/>
      <c r="N29" s="206"/>
      <c r="O29" s="206">
        <v>1</v>
      </c>
      <c r="P29" s="206">
        <v>3015</v>
      </c>
      <c r="Q29" s="206" t="s">
        <v>306</v>
      </c>
      <c r="R29" s="206" t="s">
        <v>347</v>
      </c>
      <c r="S29" s="206" t="s">
        <v>348</v>
      </c>
      <c r="T29" s="206">
        <v>50.25</v>
      </c>
    </row>
    <row r="30" spans="1:26" x14ac:dyDescent="0.25">
      <c r="A30" s="206"/>
      <c r="B30" s="206"/>
      <c r="C30" s="206">
        <v>2</v>
      </c>
      <c r="D30" s="206">
        <v>3230</v>
      </c>
      <c r="E30" s="206" t="s">
        <v>306</v>
      </c>
      <c r="F30" s="206">
        <v>16</v>
      </c>
      <c r="G30" s="206">
        <v>40</v>
      </c>
      <c r="H30" s="206" t="s">
        <v>303</v>
      </c>
      <c r="I30" s="206">
        <v>7.08</v>
      </c>
      <c r="J30" s="206" t="s">
        <v>84</v>
      </c>
      <c r="K30" s="206"/>
      <c r="L30" s="206"/>
      <c r="M30" s="206"/>
      <c r="N30" s="206"/>
      <c r="O30" s="206">
        <v>2</v>
      </c>
      <c r="P30" s="206">
        <v>3230</v>
      </c>
      <c r="Q30" s="206" t="s">
        <v>306</v>
      </c>
      <c r="R30" s="206" t="s">
        <v>349</v>
      </c>
      <c r="S30" s="206" t="s">
        <v>350</v>
      </c>
      <c r="T30" s="206">
        <v>50.6</v>
      </c>
    </row>
    <row r="31" spans="1:26" x14ac:dyDescent="0.25">
      <c r="A31" s="206"/>
      <c r="B31" s="206"/>
      <c r="C31" s="206">
        <v>3</v>
      </c>
      <c r="D31" s="206">
        <v>3233</v>
      </c>
      <c r="E31" s="206" t="s">
        <v>306</v>
      </c>
      <c r="F31" s="206" t="s">
        <v>351</v>
      </c>
      <c r="G31" s="206" t="s">
        <v>352</v>
      </c>
      <c r="H31" s="206" t="s">
        <v>303</v>
      </c>
      <c r="I31" s="206">
        <v>7.12</v>
      </c>
      <c r="J31" s="206" t="s">
        <v>83</v>
      </c>
      <c r="K31" s="206"/>
      <c r="L31" s="206"/>
      <c r="M31" s="206"/>
      <c r="N31" s="206"/>
      <c r="O31" s="206">
        <v>3</v>
      </c>
      <c r="P31" s="206">
        <v>3233</v>
      </c>
      <c r="Q31" s="206" t="s">
        <v>306</v>
      </c>
      <c r="R31" s="206" t="s">
        <v>353</v>
      </c>
      <c r="S31" s="206" t="s">
        <v>354</v>
      </c>
      <c r="T31" s="206">
        <v>50.2</v>
      </c>
    </row>
    <row r="32" spans="1:26" x14ac:dyDescent="0.25">
      <c r="A32" s="206"/>
      <c r="B32" s="206"/>
      <c r="C32" s="206">
        <v>4</v>
      </c>
      <c r="D32" s="206">
        <v>3203</v>
      </c>
      <c r="E32" s="206" t="s">
        <v>306</v>
      </c>
      <c r="F32" s="206">
        <v>68</v>
      </c>
      <c r="G32" s="206">
        <v>115</v>
      </c>
      <c r="H32" s="206" t="s">
        <v>303</v>
      </c>
      <c r="I32" s="206">
        <v>7.08</v>
      </c>
      <c r="J32" s="206" t="s">
        <v>84</v>
      </c>
      <c r="K32" s="206"/>
      <c r="L32" s="206"/>
      <c r="M32" s="206"/>
      <c r="N32" s="206"/>
      <c r="O32" s="206">
        <v>4</v>
      </c>
      <c r="P32" s="206">
        <v>3203</v>
      </c>
      <c r="Q32" s="206" t="s">
        <v>306</v>
      </c>
      <c r="R32" s="206" t="s">
        <v>355</v>
      </c>
      <c r="S32" s="206" t="s">
        <v>356</v>
      </c>
      <c r="T32" s="206">
        <v>50.5</v>
      </c>
    </row>
    <row r="33" spans="1:20" x14ac:dyDescent="0.25">
      <c r="A33" s="206"/>
      <c r="B33" s="206"/>
      <c r="C33" s="206">
        <v>5</v>
      </c>
      <c r="D33" s="206">
        <v>3204</v>
      </c>
      <c r="E33" s="206" t="s">
        <v>306</v>
      </c>
      <c r="F33" s="206">
        <v>70</v>
      </c>
      <c r="G33" s="206">
        <v>108</v>
      </c>
      <c r="H33" s="206" t="s">
        <v>303</v>
      </c>
      <c r="I33" s="206">
        <v>7</v>
      </c>
      <c r="J33" s="206" t="s">
        <v>84</v>
      </c>
      <c r="K33" s="206"/>
      <c r="L33" s="206"/>
      <c r="M33" s="206"/>
      <c r="N33" s="206"/>
      <c r="O33" s="206">
        <v>5</v>
      </c>
      <c r="P33" s="206">
        <v>3204</v>
      </c>
      <c r="Q33" s="206" t="s">
        <v>306</v>
      </c>
      <c r="R33" s="206" t="s">
        <v>357</v>
      </c>
      <c r="S33" s="206" t="s">
        <v>358</v>
      </c>
      <c r="T33" s="206">
        <v>51.3</v>
      </c>
    </row>
    <row r="34" spans="1:20" x14ac:dyDescent="0.25">
      <c r="A34" s="206"/>
      <c r="B34" s="206"/>
      <c r="C34" s="206">
        <v>6</v>
      </c>
      <c r="D34" s="206">
        <v>3232</v>
      </c>
      <c r="E34" s="206" t="s">
        <v>306</v>
      </c>
      <c r="F34" s="206">
        <v>51.4</v>
      </c>
      <c r="G34" s="206">
        <v>117</v>
      </c>
      <c r="H34" s="206" t="s">
        <v>303</v>
      </c>
      <c r="I34" s="206">
        <v>7.2</v>
      </c>
      <c r="J34" s="206" t="s">
        <v>84</v>
      </c>
      <c r="K34" s="206"/>
      <c r="L34" s="206"/>
      <c r="M34" s="206"/>
      <c r="N34" s="206"/>
      <c r="O34" s="206">
        <v>6</v>
      </c>
      <c r="P34" s="206">
        <v>3232</v>
      </c>
      <c r="Q34" s="206" t="s">
        <v>306</v>
      </c>
      <c r="R34" s="206" t="s">
        <v>359</v>
      </c>
      <c r="S34" s="206" t="s">
        <v>360</v>
      </c>
      <c r="T34" s="206">
        <v>50.6</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E6583-7F61-4DEC-A0E6-7EAB5A5046F7}">
  <dimension ref="A1:L38"/>
  <sheetViews>
    <sheetView tabSelected="1" topLeftCell="A25" zoomScaleNormal="100" workbookViewId="0">
      <selection activeCell="N3" sqref="N3"/>
    </sheetView>
  </sheetViews>
  <sheetFormatPr defaultRowHeight="15" x14ac:dyDescent="0.25"/>
  <cols>
    <col min="1" max="1" width="13.5703125" style="196" bestFit="1" customWidth="1"/>
    <col min="2" max="2" width="14" style="196" customWidth="1"/>
    <col min="3" max="3" width="10.42578125" style="196" customWidth="1"/>
    <col min="4" max="4" width="11.28515625" style="196" customWidth="1"/>
    <col min="5" max="5" width="26.42578125" style="196" bestFit="1" customWidth="1"/>
    <col min="6" max="6" width="21.140625" style="196" customWidth="1"/>
    <col min="7" max="7" width="10.140625" style="196" customWidth="1"/>
    <col min="8" max="8" width="9.140625" style="196"/>
    <col min="9" max="9" width="18.140625" style="1" customWidth="1"/>
    <col min="10" max="10" width="10.7109375" style="1" customWidth="1"/>
    <col min="11" max="16384" width="9.140625" style="196"/>
  </cols>
  <sheetData>
    <row r="1" spans="1:10" ht="23.25" x14ac:dyDescent="0.35">
      <c r="A1" s="66" t="s">
        <v>366</v>
      </c>
      <c r="B1" s="66"/>
      <c r="C1" s="66"/>
      <c r="D1" s="66"/>
      <c r="E1" s="66"/>
    </row>
    <row r="3" spans="1:10" ht="18.75" x14ac:dyDescent="0.3">
      <c r="A3" s="43">
        <v>43551</v>
      </c>
    </row>
    <row r="5" spans="1:10" ht="15.75" x14ac:dyDescent="0.25">
      <c r="A5" s="126"/>
      <c r="B5" s="208" t="s">
        <v>41</v>
      </c>
      <c r="C5" s="208" t="s">
        <v>113</v>
      </c>
      <c r="D5" s="208" t="s">
        <v>142</v>
      </c>
      <c r="E5" s="208" t="s">
        <v>112</v>
      </c>
      <c r="F5" s="208" t="s">
        <v>111</v>
      </c>
      <c r="G5" s="208" t="s">
        <v>15</v>
      </c>
      <c r="I5" s="198" t="s">
        <v>374</v>
      </c>
      <c r="J5" s="209"/>
    </row>
    <row r="6" spans="1:10" ht="16.5" thickBot="1" x14ac:dyDescent="0.3">
      <c r="A6" s="126"/>
      <c r="B6" s="208"/>
      <c r="C6" s="208"/>
      <c r="D6" s="208"/>
      <c r="E6" s="208"/>
      <c r="F6" s="208"/>
      <c r="G6" s="208"/>
      <c r="H6" s="126"/>
      <c r="I6" s="209"/>
      <c r="J6" s="209"/>
    </row>
    <row r="7" spans="1:10" ht="15.75" x14ac:dyDescent="0.25">
      <c r="A7" s="126"/>
      <c r="B7" s="210" t="s">
        <v>106</v>
      </c>
      <c r="C7" s="54">
        <v>3506</v>
      </c>
      <c r="D7" s="54" t="s">
        <v>302</v>
      </c>
      <c r="E7" s="54"/>
      <c r="F7" s="54"/>
      <c r="G7" s="211"/>
      <c r="H7" s="126"/>
      <c r="I7" s="209">
        <v>20.8</v>
      </c>
      <c r="J7" s="209"/>
    </row>
    <row r="8" spans="1:10" ht="15.75" x14ac:dyDescent="0.25">
      <c r="A8" s="126"/>
      <c r="B8" s="212" t="s">
        <v>105</v>
      </c>
      <c r="C8" s="193">
        <v>3006</v>
      </c>
      <c r="D8" s="193" t="s">
        <v>306</v>
      </c>
      <c r="E8" s="193"/>
      <c r="F8" s="193"/>
      <c r="G8" s="213"/>
      <c r="H8" s="22"/>
      <c r="I8" s="209">
        <v>13.6</v>
      </c>
      <c r="J8" s="209"/>
    </row>
    <row r="9" spans="1:10" ht="15.75" x14ac:dyDescent="0.25">
      <c r="A9" s="126"/>
      <c r="B9" s="212" t="s">
        <v>104</v>
      </c>
      <c r="C9" s="193">
        <v>3205</v>
      </c>
      <c r="D9" s="193" t="s">
        <v>306</v>
      </c>
      <c r="E9" s="193"/>
      <c r="F9" s="193"/>
      <c r="G9" s="213"/>
      <c r="H9" s="22"/>
      <c r="I9" s="209">
        <v>34</v>
      </c>
      <c r="J9" s="209"/>
    </row>
    <row r="10" spans="1:10" ht="15.75" x14ac:dyDescent="0.25">
      <c r="A10" s="126"/>
      <c r="B10" s="212" t="s">
        <v>102</v>
      </c>
      <c r="C10" s="193">
        <v>3290</v>
      </c>
      <c r="D10" s="193" t="s">
        <v>140</v>
      </c>
      <c r="E10" s="193" t="s">
        <v>367</v>
      </c>
      <c r="F10" s="193" t="s">
        <v>51</v>
      </c>
      <c r="G10" s="213" t="s">
        <v>18</v>
      </c>
      <c r="H10" s="22"/>
      <c r="I10" s="209">
        <v>28.4</v>
      </c>
      <c r="J10" s="209"/>
    </row>
    <row r="11" spans="1:10" ht="15.75" x14ac:dyDescent="0.25">
      <c r="A11" s="126"/>
      <c r="B11" s="212" t="s">
        <v>101</v>
      </c>
      <c r="C11" s="193">
        <v>3170</v>
      </c>
      <c r="D11" s="193" t="s">
        <v>306</v>
      </c>
      <c r="E11" s="193"/>
      <c r="F11" s="193"/>
      <c r="G11" s="213"/>
      <c r="H11" s="22"/>
      <c r="I11" s="209">
        <v>3.1</v>
      </c>
      <c r="J11" s="209"/>
    </row>
    <row r="12" spans="1:10" ht="16.5" thickBot="1" x14ac:dyDescent="0.3">
      <c r="A12" s="126"/>
      <c r="B12" s="214" t="s">
        <v>100</v>
      </c>
      <c r="C12" s="51">
        <v>3209</v>
      </c>
      <c r="D12" s="51" t="s">
        <v>306</v>
      </c>
      <c r="E12" s="51"/>
      <c r="F12" s="51"/>
      <c r="G12" s="215"/>
      <c r="H12" s="126"/>
      <c r="I12" s="209">
        <v>38.1</v>
      </c>
      <c r="J12" s="209"/>
    </row>
    <row r="13" spans="1:10" ht="15.75" x14ac:dyDescent="0.25">
      <c r="A13" s="126"/>
      <c r="B13" s="22"/>
      <c r="C13" s="22"/>
      <c r="D13" s="22"/>
      <c r="E13" s="22"/>
      <c r="F13" s="22"/>
      <c r="G13" s="22"/>
      <c r="H13" s="126"/>
      <c r="I13" s="209"/>
      <c r="J13" s="209"/>
    </row>
    <row r="14" spans="1:10" ht="16.5" thickBot="1" x14ac:dyDescent="0.3">
      <c r="A14" s="126"/>
      <c r="B14" s="208" t="s">
        <v>47</v>
      </c>
      <c r="C14" s="22"/>
      <c r="D14" s="22"/>
      <c r="E14" s="22"/>
      <c r="F14" s="22"/>
      <c r="G14" s="22"/>
      <c r="H14" s="126"/>
      <c r="I14" s="209"/>
      <c r="J14" s="209"/>
    </row>
    <row r="15" spans="1:10" ht="15.75" x14ac:dyDescent="0.25">
      <c r="A15" s="126"/>
      <c r="B15" s="210" t="s">
        <v>106</v>
      </c>
      <c r="C15" s="54">
        <v>2502</v>
      </c>
      <c r="D15" s="54" t="s">
        <v>317</v>
      </c>
      <c r="E15" s="54"/>
      <c r="F15" s="54"/>
      <c r="G15" s="211"/>
      <c r="H15" s="126"/>
      <c r="I15" s="209">
        <v>13.6</v>
      </c>
      <c r="J15" s="209"/>
    </row>
    <row r="16" spans="1:10" ht="15.75" x14ac:dyDescent="0.25">
      <c r="A16" s="126"/>
      <c r="B16" s="212" t="s">
        <v>105</v>
      </c>
      <c r="C16" s="193">
        <v>3507</v>
      </c>
      <c r="D16" s="193" t="s">
        <v>140</v>
      </c>
      <c r="E16" s="193"/>
      <c r="F16" s="193"/>
      <c r="G16" s="213"/>
      <c r="H16" s="126"/>
      <c r="I16" s="209">
        <v>24.7</v>
      </c>
      <c r="J16" s="209"/>
    </row>
    <row r="17" spans="1:12" ht="15.75" x14ac:dyDescent="0.25">
      <c r="A17" s="126"/>
      <c r="B17" s="212" t="s">
        <v>104</v>
      </c>
      <c r="C17" s="193">
        <v>3187</v>
      </c>
      <c r="D17" s="193" t="s">
        <v>306</v>
      </c>
      <c r="E17" s="193"/>
      <c r="F17" s="193"/>
      <c r="G17" s="213"/>
      <c r="H17" s="126"/>
      <c r="I17" s="209">
        <v>12.3</v>
      </c>
      <c r="J17" s="209"/>
    </row>
    <row r="18" spans="1:12" ht="15.75" x14ac:dyDescent="0.25">
      <c r="A18" s="126"/>
      <c r="B18" s="212" t="s">
        <v>102</v>
      </c>
      <c r="C18" s="193">
        <v>2509</v>
      </c>
      <c r="D18" s="193" t="s">
        <v>317</v>
      </c>
      <c r="E18" s="193" t="s">
        <v>368</v>
      </c>
      <c r="F18" s="193" t="s">
        <v>51</v>
      </c>
      <c r="G18" s="213" t="s">
        <v>18</v>
      </c>
      <c r="H18" s="126"/>
      <c r="I18" s="209">
        <v>5.8</v>
      </c>
      <c r="J18" s="209"/>
    </row>
    <row r="19" spans="1:12" ht="15.75" x14ac:dyDescent="0.25">
      <c r="A19" s="126"/>
      <c r="B19" s="212" t="s">
        <v>101</v>
      </c>
      <c r="C19" s="193">
        <v>2492</v>
      </c>
      <c r="D19" s="193" t="s">
        <v>317</v>
      </c>
      <c r="E19" s="193"/>
      <c r="F19" s="193"/>
      <c r="G19" s="213"/>
      <c r="H19" s="126"/>
      <c r="I19" s="209">
        <v>42.1</v>
      </c>
      <c r="J19" s="209"/>
    </row>
    <row r="20" spans="1:12" ht="16.5" thickBot="1" x14ac:dyDescent="0.3">
      <c r="A20" s="126"/>
      <c r="B20" s="214" t="s">
        <v>100</v>
      </c>
      <c r="C20" s="51">
        <v>2508</v>
      </c>
      <c r="D20" s="51" t="s">
        <v>317</v>
      </c>
      <c r="E20" s="51"/>
      <c r="F20" s="51"/>
      <c r="G20" s="215"/>
      <c r="H20" s="126"/>
      <c r="I20" s="209">
        <v>5.2</v>
      </c>
      <c r="J20" s="209"/>
    </row>
    <row r="21" spans="1:12" ht="15.75" x14ac:dyDescent="0.25">
      <c r="A21" s="126"/>
      <c r="B21" s="22"/>
      <c r="C21" s="22"/>
      <c r="D21" s="22"/>
      <c r="E21" s="22"/>
      <c r="F21" s="22"/>
      <c r="G21" s="22"/>
      <c r="H21" s="126"/>
      <c r="I21" s="209"/>
      <c r="J21" s="209"/>
    </row>
    <row r="22" spans="1:12" ht="16.5" thickBot="1" x14ac:dyDescent="0.3">
      <c r="A22" s="126"/>
      <c r="B22" s="208" t="s">
        <v>48</v>
      </c>
      <c r="C22" s="22"/>
      <c r="D22" s="22"/>
      <c r="E22" s="22"/>
      <c r="F22" s="22"/>
      <c r="G22" s="22"/>
      <c r="H22" s="126"/>
      <c r="I22" s="209"/>
      <c r="J22" s="209"/>
    </row>
    <row r="23" spans="1:12" ht="15.75" x14ac:dyDescent="0.25">
      <c r="A23" s="126"/>
      <c r="B23" s="210" t="s">
        <v>106</v>
      </c>
      <c r="C23" s="54">
        <v>5718</v>
      </c>
      <c r="D23" s="54" t="s">
        <v>333</v>
      </c>
      <c r="E23" s="54"/>
      <c r="F23" s="54"/>
      <c r="G23" s="211"/>
      <c r="H23" s="126"/>
      <c r="I23" s="209">
        <v>25.1</v>
      </c>
      <c r="J23" s="209"/>
    </row>
    <row r="24" spans="1:12" ht="15.75" x14ac:dyDescent="0.25">
      <c r="A24" s="126"/>
      <c r="B24" s="212" t="s">
        <v>105</v>
      </c>
      <c r="C24" s="193">
        <v>2351</v>
      </c>
      <c r="D24" s="193" t="s">
        <v>336</v>
      </c>
      <c r="E24" s="193"/>
      <c r="F24" s="193"/>
      <c r="G24" s="213"/>
      <c r="H24" s="126"/>
      <c r="I24" s="209">
        <v>6.5</v>
      </c>
      <c r="J24" s="209"/>
    </row>
    <row r="25" spans="1:12" ht="15.75" x14ac:dyDescent="0.25">
      <c r="A25" s="126"/>
      <c r="B25" s="212" t="s">
        <v>104</v>
      </c>
      <c r="C25" s="193">
        <v>5685</v>
      </c>
      <c r="D25" s="193" t="s">
        <v>330</v>
      </c>
      <c r="E25" s="193"/>
      <c r="F25" s="193"/>
      <c r="G25" s="213"/>
      <c r="H25" s="126"/>
      <c r="I25" s="219">
        <v>162</v>
      </c>
      <c r="J25" s="209"/>
    </row>
    <row r="26" spans="1:12" ht="15.75" x14ac:dyDescent="0.25">
      <c r="A26" s="126"/>
      <c r="B26" s="212" t="s">
        <v>102</v>
      </c>
      <c r="C26" s="193">
        <v>5637</v>
      </c>
      <c r="D26" s="193" t="s">
        <v>330</v>
      </c>
      <c r="E26" s="193" t="s">
        <v>369</v>
      </c>
      <c r="F26" s="193" t="s">
        <v>51</v>
      </c>
      <c r="G26" s="213" t="s">
        <v>18</v>
      </c>
      <c r="H26" s="126"/>
      <c r="I26" s="1">
        <v>36</v>
      </c>
      <c r="K26" s="2" t="s">
        <v>370</v>
      </c>
      <c r="L26" s="2" t="s">
        <v>142</v>
      </c>
    </row>
    <row r="27" spans="1:12" ht="15.75" x14ac:dyDescent="0.25">
      <c r="A27" s="126"/>
      <c r="B27" s="212" t="s">
        <v>101</v>
      </c>
      <c r="C27" s="193">
        <v>5640</v>
      </c>
      <c r="D27" s="193" t="s">
        <v>330</v>
      </c>
      <c r="E27" s="193"/>
      <c r="F27" s="193"/>
      <c r="G27" s="213"/>
      <c r="H27" s="126"/>
      <c r="I27" s="1">
        <v>11.6</v>
      </c>
      <c r="K27" s="2">
        <v>5670</v>
      </c>
      <c r="L27" s="2" t="s">
        <v>330</v>
      </c>
    </row>
    <row r="28" spans="1:12" ht="16.5" thickBot="1" x14ac:dyDescent="0.3">
      <c r="A28" s="126"/>
      <c r="B28" s="214" t="s">
        <v>100</v>
      </c>
      <c r="C28" s="51">
        <v>3184</v>
      </c>
      <c r="D28" s="51" t="s">
        <v>306</v>
      </c>
      <c r="E28" s="51"/>
      <c r="F28" s="51"/>
      <c r="G28" s="215"/>
      <c r="H28" s="126"/>
      <c r="I28" s="1" t="s">
        <v>138</v>
      </c>
      <c r="K28" s="2">
        <v>5650</v>
      </c>
      <c r="L28" s="2" t="s">
        <v>371</v>
      </c>
    </row>
    <row r="29" spans="1:12" ht="15.75" x14ac:dyDescent="0.25">
      <c r="A29" s="126"/>
      <c r="B29" s="22"/>
      <c r="C29" s="22"/>
      <c r="D29" s="22"/>
      <c r="E29" s="22"/>
      <c r="F29" s="22"/>
      <c r="G29" s="22"/>
      <c r="H29" s="126"/>
      <c r="I29" s="2"/>
      <c r="J29" s="2"/>
    </row>
    <row r="30" spans="1:12" ht="16.5" thickBot="1" x14ac:dyDescent="0.3">
      <c r="A30" s="126"/>
      <c r="B30" s="208" t="s">
        <v>49</v>
      </c>
      <c r="C30" s="22"/>
      <c r="D30" s="22"/>
      <c r="E30" s="22"/>
      <c r="F30" s="22"/>
      <c r="G30" s="22"/>
      <c r="H30" s="126"/>
      <c r="I30" s="2"/>
      <c r="J30" s="2"/>
    </row>
    <row r="31" spans="1:12" ht="15.75" x14ac:dyDescent="0.25">
      <c r="A31" s="126"/>
      <c r="B31" s="210" t="s">
        <v>106</v>
      </c>
      <c r="C31" s="54">
        <v>6287</v>
      </c>
      <c r="D31" s="54" t="s">
        <v>137</v>
      </c>
      <c r="E31" s="54"/>
      <c r="F31" s="54"/>
      <c r="G31" s="211"/>
      <c r="H31" s="126"/>
      <c r="I31" s="1">
        <v>13.2</v>
      </c>
      <c r="K31" s="2">
        <v>3015</v>
      </c>
      <c r="L31" s="2" t="s">
        <v>306</v>
      </c>
    </row>
    <row r="32" spans="1:12" ht="15.75" x14ac:dyDescent="0.25">
      <c r="A32" s="126"/>
      <c r="B32" s="212" t="s">
        <v>105</v>
      </c>
      <c r="C32" s="193">
        <v>3230</v>
      </c>
      <c r="D32" s="193" t="s">
        <v>306</v>
      </c>
      <c r="E32" s="130"/>
      <c r="F32" s="130"/>
      <c r="G32" s="216"/>
      <c r="H32" s="126"/>
      <c r="I32" s="209">
        <v>16</v>
      </c>
      <c r="J32" s="2"/>
    </row>
    <row r="33" spans="1:12" ht="15.75" x14ac:dyDescent="0.25">
      <c r="A33" s="126"/>
      <c r="B33" s="212" t="s">
        <v>104</v>
      </c>
      <c r="C33" s="193">
        <v>6224</v>
      </c>
      <c r="D33" s="193" t="s">
        <v>137</v>
      </c>
      <c r="E33" s="193"/>
      <c r="F33" s="193"/>
      <c r="G33" s="213"/>
      <c r="H33" s="126"/>
      <c r="I33" s="1">
        <v>13.8</v>
      </c>
      <c r="K33" s="2">
        <v>3233</v>
      </c>
      <c r="L33" s="2" t="s">
        <v>306</v>
      </c>
    </row>
    <row r="34" spans="1:12" ht="15.75" x14ac:dyDescent="0.25">
      <c r="A34" s="126"/>
      <c r="B34" s="212" t="s">
        <v>102</v>
      </c>
      <c r="C34" s="193">
        <v>3203</v>
      </c>
      <c r="D34" s="193" t="s">
        <v>306</v>
      </c>
      <c r="E34" s="202" t="s">
        <v>372</v>
      </c>
      <c r="F34" s="193" t="s">
        <v>51</v>
      </c>
      <c r="G34" s="213" t="s">
        <v>18</v>
      </c>
      <c r="H34" s="126"/>
      <c r="I34" s="219">
        <v>68</v>
      </c>
      <c r="J34" s="2"/>
    </row>
    <row r="35" spans="1:12" ht="15.75" x14ac:dyDescent="0.25">
      <c r="A35" s="126"/>
      <c r="B35" s="212" t="s">
        <v>101</v>
      </c>
      <c r="C35" s="193">
        <v>3204</v>
      </c>
      <c r="D35" s="193" t="s">
        <v>306</v>
      </c>
      <c r="E35" s="130"/>
      <c r="F35" s="130"/>
      <c r="G35" s="216"/>
      <c r="H35" s="126"/>
      <c r="I35" s="219">
        <v>70</v>
      </c>
      <c r="J35" s="2"/>
    </row>
    <row r="36" spans="1:12" ht="16.5" thickBot="1" x14ac:dyDescent="0.3">
      <c r="A36" s="126"/>
      <c r="B36" s="214" t="s">
        <v>100</v>
      </c>
      <c r="C36" s="51">
        <v>3232</v>
      </c>
      <c r="D36" s="51" t="s">
        <v>306</v>
      </c>
      <c r="E36" s="217"/>
      <c r="F36" s="217"/>
      <c r="G36" s="218"/>
      <c r="H36" s="126"/>
      <c r="I36" s="209">
        <v>51.4</v>
      </c>
      <c r="J36" s="2"/>
    </row>
    <row r="37" spans="1:12" ht="15.75" x14ac:dyDescent="0.25">
      <c r="A37" s="126"/>
      <c r="B37" s="126"/>
      <c r="C37" s="126"/>
      <c r="D37" s="126"/>
      <c r="E37" s="126"/>
      <c r="F37" s="126"/>
      <c r="G37" s="126"/>
      <c r="H37" s="126"/>
      <c r="I37" s="209"/>
      <c r="J37" s="209"/>
    </row>
    <row r="38" spans="1:12" ht="15.75" x14ac:dyDescent="0.25">
      <c r="A38" s="126"/>
      <c r="B38" s="196" t="s">
        <v>373</v>
      </c>
      <c r="F38" s="126"/>
      <c r="G38" s="126"/>
      <c r="H38" s="126"/>
      <c r="I38" s="209"/>
      <c r="J38" s="209"/>
    </row>
  </sheetData>
  <pageMargins left="0.7" right="0.7" top="0.75" bottom="0.75" header="0.3" footer="0.3"/>
  <pageSetup paperSize="9" orientation="portrait" horizontalDpi="300"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62E8B9B8F494F4F9FA5AC6115F8BAFC" ma:contentTypeVersion="14" ma:contentTypeDescription="Create a new document." ma:contentTypeScope="" ma:versionID="3d2c6979e8007f0c673cdef31668f95a">
  <xsd:schema xmlns:xsd="http://www.w3.org/2001/XMLSchema" xmlns:xs="http://www.w3.org/2001/XMLSchema" xmlns:p="http://schemas.microsoft.com/office/2006/metadata/properties" xmlns:ns2="41b3182d-22ee-41df-9219-a7264fbbfb0e" xmlns:ns3="2ae7472c-b71f-4cab-b94a-416f482a757b" targetNamespace="http://schemas.microsoft.com/office/2006/metadata/properties" ma:root="true" ma:fieldsID="f3c0934017ae9f5ce032209485dc8b02" ns2:_="" ns3:_="">
    <xsd:import namespace="41b3182d-22ee-41df-9219-a7264fbbfb0e"/>
    <xsd:import namespace="2ae7472c-b71f-4cab-b94a-416f482a757b"/>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b3182d-22ee-41df-9219-a7264fbbfb0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fd420da9-6cce-460f-935b-b5e0b28d9e79"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ae7472c-b71f-4cab-b94a-416f482a757b"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5550a66c-5f6a-49ac-92d8-0dc107bde606}" ma:internalName="TaxCatchAll" ma:showField="CatchAllData" ma:web="2ae7472c-b71f-4cab-b94a-416f482a757b">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2ae7472c-b71f-4cab-b94a-416f482a757b" xsi:nil="true"/>
    <lcf76f155ced4ddcb4097134ff3c332f xmlns="41b3182d-22ee-41df-9219-a7264fbbfb0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0EE72F6-D357-40C8-9A6E-DDA90264FEA1}"/>
</file>

<file path=customXml/itemProps2.xml><?xml version="1.0" encoding="utf-8"?>
<ds:datastoreItem xmlns:ds="http://schemas.openxmlformats.org/officeDocument/2006/customXml" ds:itemID="{D26C7E7C-2D6A-4F36-A62D-FF0202B6CDC5}"/>
</file>

<file path=customXml/itemProps3.xml><?xml version="1.0" encoding="utf-8"?>
<ds:datastoreItem xmlns:ds="http://schemas.openxmlformats.org/officeDocument/2006/customXml" ds:itemID="{6B4C7E65-2958-4A0B-A983-2FAE26932C6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Stack Test jul062018</vt:lpstr>
      <vt:lpstr>Stack Test jul072018</vt:lpstr>
      <vt:lpstr>Operational Data</vt:lpstr>
      <vt:lpstr>Spares Data</vt:lpstr>
      <vt:lpstr>Summary Data for Graphics</vt:lpstr>
      <vt:lpstr>Replacement Stacks 1</vt:lpstr>
      <vt:lpstr>Replacement Stacks 2</vt:lpstr>
      <vt:lpstr>Temperature Dependence</vt:lpstr>
      <vt:lpstr>infineon devices for test</vt:lpstr>
      <vt:lpstr>high-pot results</vt:lpstr>
      <vt:lpstr>rectifier high-pot results</vt:lpstr>
      <vt:lpstr>desy thyristor leakageI</vt:lpstr>
      <vt:lpstr>ler 4-4</vt:lpstr>
      <vt:lpstr>spare stacks</vt:lpstr>
      <vt:lpstr>HVPS1 stacks 20190226</vt:lpstr>
      <vt:lpstr>spare crowbar stacks 20190327</vt:lpstr>
    </vt:vector>
  </TitlesOfParts>
  <Company>SLAC National Accelerator Laboratory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Jenks, Stephen</dc:creator>
  <cp:lastModifiedBy>Sebek, Jim</cp:lastModifiedBy>
  <dcterms:created xsi:type="dcterms:W3CDTF">2018-07-28T18:28:18Z</dcterms:created>
  <dcterms:modified xsi:type="dcterms:W3CDTF">2021-08-17T15:49:24Z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0x010100162E8B9B8F494F4F9FA5AC6115F8BAFC</vt:lpwstr>
  </property>
</Properties>
</file>