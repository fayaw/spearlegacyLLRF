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files\Documents\spear3\hvps\data\"/>
    </mc:Choice>
  </mc:AlternateContent>
  <xr:revisionPtr revIDLastSave="0" documentId="13_ncr:1_{7F64042A-AC35-42ED-8451-C146F587C37A}" xr6:coauthVersionLast="47" xr6:coauthVersionMax="47" xr10:uidLastSave="{00000000-0000-0000-0000-000000000000}"/>
  <workbookProtection lockWindows="1"/>
  <bookViews>
    <workbookView xWindow="3810" yWindow="3810" windowWidth="21600" windowHeight="12645" firstSheet="26" activeTab="29"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5" r:id="rId13"/>
    <sheet name="Sheet14" sheetId="16" r:id="rId14"/>
    <sheet name="Sheet15" sheetId="17" r:id="rId15"/>
    <sheet name="Sheet16" sheetId="18" r:id="rId16"/>
    <sheet name="Sheet17" sheetId="20" r:id="rId17"/>
    <sheet name="Sheet18" sheetId="21" r:id="rId18"/>
    <sheet name="Sheet19" sheetId="22" r:id="rId19"/>
    <sheet name="Sheet20" sheetId="23" r:id="rId20"/>
    <sheet name="Sheet21" sheetId="24" r:id="rId21"/>
    <sheet name="Sheet22" sheetId="25" r:id="rId22"/>
    <sheet name="Sheet23" sheetId="26" r:id="rId23"/>
    <sheet name="Sheet24" sheetId="27" r:id="rId24"/>
    <sheet name="Sheet25" sheetId="28" r:id="rId25"/>
    <sheet name="Sheet26" sheetId="31" r:id="rId26"/>
    <sheet name="PhsStackTemplate" sheetId="32" r:id="rId27"/>
    <sheet name="Sheet 27" sheetId="34" r:id="rId28"/>
    <sheet name="PhaseStacks" sheetId="35" r:id="rId29"/>
    <sheet name="2022 Phs Stack Report" sheetId="38" r:id="rId30"/>
    <sheet name="CrowbarTemplate" sheetId="39" r:id="rId3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6" i="38" l="1"/>
  <c r="G197" i="38"/>
  <c r="G198" i="38"/>
  <c r="G199" i="38"/>
  <c r="G200" i="38"/>
  <c r="G201" i="38"/>
  <c r="G202" i="38"/>
  <c r="G203" i="38"/>
  <c r="G204" i="38"/>
  <c r="G205" i="38"/>
  <c r="G206" i="38"/>
  <c r="G207" i="38"/>
  <c r="G208" i="38"/>
  <c r="G195" i="38"/>
  <c r="G179" i="38"/>
  <c r="G180" i="38"/>
  <c r="G181" i="38"/>
  <c r="G182" i="38"/>
  <c r="G183" i="38"/>
  <c r="G184" i="38"/>
  <c r="G185" i="38"/>
  <c r="G186" i="38"/>
  <c r="G187" i="38"/>
  <c r="G188" i="38"/>
  <c r="G189" i="38"/>
  <c r="G190" i="38"/>
  <c r="G191" i="38"/>
  <c r="G178" i="38"/>
  <c r="G162" i="38"/>
  <c r="G163" i="38"/>
  <c r="G164" i="38"/>
  <c r="G165" i="38"/>
  <c r="G166" i="38"/>
  <c r="G167" i="38"/>
  <c r="G168" i="38"/>
  <c r="G169" i="38"/>
  <c r="G170" i="38"/>
  <c r="G171" i="38"/>
  <c r="G172" i="38"/>
  <c r="G173" i="38"/>
  <c r="G174" i="38"/>
  <c r="G161" i="38"/>
  <c r="G145" i="38"/>
  <c r="G146" i="38"/>
  <c r="G147" i="38"/>
  <c r="G148" i="38"/>
  <c r="G149" i="38"/>
  <c r="G150" i="38"/>
  <c r="G151" i="38"/>
  <c r="G152" i="38"/>
  <c r="G153" i="38"/>
  <c r="G154" i="38"/>
  <c r="G155" i="38"/>
  <c r="G156" i="38"/>
  <c r="G157" i="38"/>
  <c r="G144" i="38"/>
  <c r="G128" i="38"/>
  <c r="G129" i="38"/>
  <c r="G130" i="38"/>
  <c r="G131" i="38"/>
  <c r="G132" i="38"/>
  <c r="G133" i="38"/>
  <c r="G134" i="38"/>
  <c r="G135" i="38"/>
  <c r="G136" i="38"/>
  <c r="G137" i="38"/>
  <c r="G138" i="38"/>
  <c r="G139" i="38"/>
  <c r="G140" i="38"/>
  <c r="G127" i="38"/>
  <c r="G111" i="38"/>
  <c r="G112" i="38"/>
  <c r="G113" i="38"/>
  <c r="G114" i="38"/>
  <c r="G115" i="38"/>
  <c r="G116" i="38"/>
  <c r="G117" i="38"/>
  <c r="G118" i="38"/>
  <c r="G119" i="38"/>
  <c r="G120" i="38"/>
  <c r="G121" i="38"/>
  <c r="G122" i="38"/>
  <c r="G110" i="38"/>
  <c r="G94" i="38"/>
  <c r="G95" i="38"/>
  <c r="G96" i="38"/>
  <c r="G97" i="38"/>
  <c r="G98" i="38"/>
  <c r="G99" i="38"/>
  <c r="G100" i="38"/>
  <c r="G101" i="38"/>
  <c r="G102" i="38"/>
  <c r="G103" i="38"/>
  <c r="G104" i="38"/>
  <c r="G105" i="38"/>
  <c r="G106" i="38"/>
  <c r="G93" i="38"/>
  <c r="G81" i="38"/>
  <c r="G79" i="38"/>
  <c r="G77" i="38"/>
  <c r="G78" i="38"/>
  <c r="G80" i="38"/>
  <c r="G82" i="38"/>
  <c r="G83" i="38"/>
  <c r="G84" i="38"/>
  <c r="G85" i="38"/>
  <c r="G86" i="38"/>
  <c r="G87" i="38"/>
  <c r="G88" i="38"/>
  <c r="G76" i="38"/>
  <c r="G60" i="38"/>
  <c r="G61" i="38"/>
  <c r="G62" i="38"/>
  <c r="G63" i="38"/>
  <c r="G64" i="38"/>
  <c r="G65" i="38"/>
  <c r="G66" i="38"/>
  <c r="G67" i="38"/>
  <c r="G68" i="38"/>
  <c r="G69" i="38"/>
  <c r="G70" i="38"/>
  <c r="G71" i="38"/>
  <c r="G72" i="38"/>
  <c r="G59" i="38"/>
  <c r="G43" i="38"/>
  <c r="G44" i="38"/>
  <c r="G45" i="38"/>
  <c r="G46" i="38"/>
  <c r="G47" i="38"/>
  <c r="G48" i="38"/>
  <c r="G49" i="38"/>
  <c r="G50" i="38"/>
  <c r="G51" i="38"/>
  <c r="G52" i="38"/>
  <c r="G53" i="38"/>
  <c r="G54" i="38"/>
  <c r="G55" i="38"/>
  <c r="G42" i="38"/>
  <c r="G26" i="38"/>
  <c r="G27" i="38"/>
  <c r="G28" i="38"/>
  <c r="G29" i="38"/>
  <c r="G30" i="38"/>
  <c r="G31" i="38"/>
  <c r="G32" i="38"/>
  <c r="G33" i="38"/>
  <c r="G34" i="38"/>
  <c r="G35" i="38"/>
  <c r="G36" i="38"/>
  <c r="G37" i="38"/>
  <c r="G25" i="38"/>
  <c r="G9" i="38"/>
  <c r="G10" i="38"/>
  <c r="G11" i="38"/>
  <c r="G12" i="38"/>
  <c r="G13" i="38"/>
  <c r="G14" i="38"/>
  <c r="G15" i="38"/>
  <c r="G16" i="38"/>
  <c r="G17" i="38"/>
  <c r="G18" i="38"/>
  <c r="G19" i="38"/>
  <c r="G20" i="38"/>
  <c r="G8" i="38"/>
  <c r="G256" i="24"/>
  <c r="G257" i="24"/>
  <c r="G258" i="24"/>
  <c r="G259" i="24"/>
  <c r="G260" i="24"/>
  <c r="G249" i="24"/>
  <c r="G250" i="24"/>
  <c r="G251" i="24"/>
  <c r="G252" i="24"/>
  <c r="G253" i="24"/>
  <c r="G254" i="24"/>
  <c r="G248" i="24"/>
  <c r="G231" i="24"/>
  <c r="G232" i="24"/>
  <c r="G234" i="24"/>
  <c r="G235" i="24"/>
  <c r="G236" i="24"/>
  <c r="G237" i="24"/>
  <c r="G238" i="24"/>
  <c r="G239" i="24"/>
  <c r="G240" i="24"/>
  <c r="G241" i="24"/>
  <c r="N402" i="24"/>
  <c r="G391" i="24"/>
  <c r="G392" i="24"/>
  <c r="G393" i="24"/>
  <c r="G394" i="24"/>
  <c r="G395" i="24"/>
  <c r="G396" i="24"/>
  <c r="G397" i="24"/>
  <c r="G398" i="24"/>
  <c r="G399" i="24"/>
  <c r="G400" i="24"/>
  <c r="G401" i="24"/>
  <c r="G402" i="24"/>
  <c r="G403" i="24"/>
  <c r="G404" i="24"/>
  <c r="F392" i="24"/>
  <c r="F393" i="24"/>
  <c r="F394" i="24"/>
  <c r="F395" i="24"/>
  <c r="F396" i="24"/>
  <c r="F397" i="24"/>
  <c r="F398" i="24"/>
  <c r="F399" i="24"/>
  <c r="F400" i="24"/>
  <c r="F401" i="24"/>
  <c r="F402" i="24"/>
  <c r="F403" i="24"/>
  <c r="F404" i="24"/>
  <c r="F391" i="24"/>
  <c r="G375" i="24"/>
  <c r="G376" i="24"/>
  <c r="G377" i="24"/>
  <c r="G378" i="24"/>
  <c r="G379" i="24"/>
  <c r="G380" i="24"/>
  <c r="G381" i="24"/>
  <c r="G382" i="24"/>
  <c r="G383" i="24"/>
  <c r="G384" i="24"/>
  <c r="G385" i="24"/>
  <c r="G386" i="24"/>
  <c r="G387" i="24"/>
  <c r="G388" i="24"/>
  <c r="F376" i="24"/>
  <c r="F377" i="24"/>
  <c r="F378" i="24"/>
  <c r="F379" i="24"/>
  <c r="F380" i="24"/>
  <c r="F381" i="24"/>
  <c r="F382" i="24"/>
  <c r="F383" i="24"/>
  <c r="F384" i="24"/>
  <c r="F385" i="24"/>
  <c r="F386" i="24"/>
  <c r="F387" i="24"/>
  <c r="F388" i="24"/>
  <c r="F375" i="24"/>
  <c r="G279" i="24"/>
  <c r="G280" i="24"/>
  <c r="G281" i="24"/>
  <c r="G282" i="24"/>
  <c r="G283" i="24"/>
  <c r="G284" i="24"/>
  <c r="G285" i="24"/>
  <c r="G286" i="24"/>
  <c r="G287" i="24"/>
  <c r="G288" i="24"/>
  <c r="G289" i="24"/>
  <c r="G290" i="24"/>
  <c r="G291" i="24"/>
  <c r="G292" i="24"/>
  <c r="F280" i="24"/>
  <c r="F281" i="24"/>
  <c r="F282" i="24"/>
  <c r="F283" i="24"/>
  <c r="F284" i="24"/>
  <c r="F285" i="24"/>
  <c r="F286" i="24"/>
  <c r="F287" i="24"/>
  <c r="F288" i="24"/>
  <c r="F289" i="24"/>
  <c r="F290" i="24"/>
  <c r="F291" i="24"/>
  <c r="F292" i="24"/>
  <c r="F279" i="24"/>
  <c r="F51" i="31"/>
  <c r="F50" i="31"/>
  <c r="F49" i="31"/>
  <c r="F48" i="31"/>
  <c r="F47" i="31"/>
  <c r="F46" i="31"/>
  <c r="G359" i="24"/>
  <c r="G360" i="24"/>
  <c r="G361" i="24"/>
  <c r="G362" i="24"/>
  <c r="G363" i="24"/>
  <c r="G364" i="24"/>
  <c r="G365" i="24"/>
  <c r="G366" i="24"/>
  <c r="G367" i="24"/>
  <c r="G368" i="24"/>
  <c r="G369" i="24"/>
  <c r="G370" i="24"/>
  <c r="G371" i="24"/>
  <c r="F359" i="24"/>
  <c r="F360" i="24"/>
  <c r="F361" i="24"/>
  <c r="F362" i="24"/>
  <c r="F363" i="24"/>
  <c r="F364" i="24"/>
  <c r="F365" i="24"/>
  <c r="F366" i="24"/>
  <c r="F367" i="24"/>
  <c r="F368" i="24"/>
  <c r="F369" i="24"/>
  <c r="F370" i="24"/>
  <c r="F371" i="24"/>
  <c r="G351" i="24"/>
  <c r="G343" i="24"/>
  <c r="G344" i="24"/>
  <c r="G345" i="24"/>
  <c r="G346" i="24"/>
  <c r="G347" i="24"/>
  <c r="G348" i="24"/>
  <c r="G349" i="24"/>
  <c r="G350" i="24"/>
  <c r="G352" i="24"/>
  <c r="G353" i="24"/>
  <c r="G354" i="24"/>
  <c r="G355" i="24"/>
  <c r="F343" i="24"/>
  <c r="F344" i="24"/>
  <c r="F345" i="24"/>
  <c r="F346" i="24"/>
  <c r="F347" i="24"/>
  <c r="F348" i="24"/>
  <c r="F349" i="24"/>
  <c r="F350" i="24"/>
  <c r="F351" i="24"/>
  <c r="F352" i="24"/>
  <c r="F353" i="24"/>
  <c r="F354" i="24"/>
  <c r="F355" i="24"/>
  <c r="N335" i="24"/>
  <c r="N337" i="24"/>
  <c r="N338" i="24"/>
  <c r="N339" i="24"/>
  <c r="G340" i="24"/>
  <c r="G336" i="24"/>
  <c r="G327" i="24"/>
  <c r="G328" i="24"/>
  <c r="G329" i="24"/>
  <c r="G330" i="24"/>
  <c r="G331" i="24"/>
  <c r="G332" i="24"/>
  <c r="G333" i="24"/>
  <c r="G334" i="24"/>
  <c r="F327" i="24"/>
  <c r="F328" i="24"/>
  <c r="F329" i="24"/>
  <c r="F330" i="24"/>
  <c r="F331" i="24"/>
  <c r="F332" i="24"/>
  <c r="F333" i="24"/>
  <c r="F334" i="24"/>
  <c r="F335" i="24"/>
  <c r="F336" i="24"/>
  <c r="F337" i="24"/>
  <c r="F338" i="24"/>
  <c r="F339" i="24"/>
  <c r="F340" i="24"/>
  <c r="G311" i="24"/>
  <c r="G312" i="24"/>
  <c r="G313" i="24"/>
  <c r="G314" i="24"/>
  <c r="G315" i="24"/>
  <c r="G316" i="24"/>
  <c r="G317" i="24"/>
  <c r="G318" i="24"/>
  <c r="G319" i="24"/>
  <c r="G320" i="24"/>
  <c r="G321" i="24"/>
  <c r="G322" i="24"/>
  <c r="G323" i="24"/>
  <c r="F311" i="24"/>
  <c r="F312" i="24"/>
  <c r="F313" i="24"/>
  <c r="F314" i="24"/>
  <c r="F315" i="24"/>
  <c r="F316" i="24"/>
  <c r="F317" i="24"/>
  <c r="F318" i="24"/>
  <c r="F319" i="24"/>
  <c r="F320" i="24"/>
  <c r="F321" i="24"/>
  <c r="F322" i="24"/>
  <c r="F323" i="24"/>
  <c r="G295" i="24"/>
  <c r="G296" i="24"/>
  <c r="G297" i="24"/>
  <c r="G298" i="24"/>
  <c r="G299" i="24"/>
  <c r="G300" i="24"/>
  <c r="G301" i="24"/>
  <c r="G302" i="24"/>
  <c r="G303" i="24"/>
  <c r="G304" i="24"/>
  <c r="G305" i="24"/>
  <c r="G306" i="24"/>
  <c r="F295" i="24"/>
  <c r="F296" i="24"/>
  <c r="F297" i="24"/>
  <c r="F298" i="24"/>
  <c r="F299" i="24"/>
  <c r="F300" i="24"/>
  <c r="F301" i="24"/>
  <c r="F302" i="24"/>
  <c r="F303" i="24"/>
  <c r="F304" i="24"/>
  <c r="F305" i="24"/>
  <c r="F306" i="24"/>
  <c r="F307" i="24"/>
  <c r="N255" i="24"/>
  <c r="F247" i="24"/>
  <c r="F248" i="24"/>
  <c r="F249" i="24"/>
  <c r="F250" i="24"/>
  <c r="F251" i="24"/>
  <c r="F252" i="24"/>
  <c r="F253" i="24"/>
  <c r="F254" i="24"/>
  <c r="F255" i="24"/>
  <c r="F256" i="24"/>
  <c r="F257" i="24"/>
  <c r="F258" i="24"/>
  <c r="F259" i="24"/>
  <c r="F260" i="24"/>
  <c r="G263" i="24"/>
  <c r="G264" i="24"/>
  <c r="G265" i="24"/>
  <c r="G266" i="24"/>
  <c r="G267" i="24"/>
  <c r="G268" i="24"/>
  <c r="G269" i="24"/>
  <c r="G270" i="24"/>
  <c r="G271" i="24"/>
  <c r="G272" i="24"/>
  <c r="G273" i="24"/>
  <c r="G274" i="24"/>
  <c r="G275" i="24"/>
  <c r="F263" i="24"/>
  <c r="F264" i="24"/>
  <c r="F265" i="24"/>
  <c r="F266" i="24"/>
  <c r="F267" i="24"/>
  <c r="F268" i="24"/>
  <c r="F269" i="24"/>
  <c r="F270" i="24"/>
  <c r="F271" i="24"/>
  <c r="F272" i="24"/>
  <c r="F273" i="24"/>
  <c r="F274" i="24"/>
  <c r="F275" i="24"/>
  <c r="F231" i="24"/>
  <c r="F232" i="24"/>
  <c r="F233" i="24"/>
  <c r="F234" i="24"/>
  <c r="F235" i="24"/>
  <c r="F236" i="24"/>
  <c r="F237" i="24"/>
  <c r="F238" i="24"/>
  <c r="F239" i="24"/>
  <c r="F240" i="24"/>
  <c r="F241" i="24"/>
  <c r="G215" i="24"/>
  <c r="G216" i="24"/>
  <c r="G217" i="24"/>
  <c r="G218" i="24"/>
  <c r="G219" i="24"/>
  <c r="G220" i="24"/>
  <c r="G221" i="24"/>
  <c r="G222" i="24"/>
  <c r="G223" i="24"/>
  <c r="G224" i="24"/>
  <c r="G225" i="24"/>
  <c r="G226" i="24"/>
  <c r="G227" i="24"/>
  <c r="G228" i="24"/>
  <c r="F215" i="24"/>
  <c r="F216" i="24"/>
  <c r="F217" i="24"/>
  <c r="F218" i="24"/>
  <c r="F219" i="24"/>
  <c r="F220" i="24"/>
  <c r="F221" i="24"/>
  <c r="F222" i="24"/>
  <c r="F223" i="24"/>
  <c r="F224" i="24"/>
  <c r="F225" i="24"/>
  <c r="F226" i="24"/>
  <c r="F227" i="24"/>
  <c r="F228" i="24"/>
  <c r="G199" i="24"/>
  <c r="G200" i="24"/>
  <c r="G201" i="24"/>
  <c r="G202" i="24"/>
  <c r="G203" i="24"/>
  <c r="G204" i="24"/>
  <c r="G205" i="24"/>
  <c r="G206" i="24"/>
  <c r="G207" i="24"/>
  <c r="G208" i="24"/>
  <c r="G209" i="24"/>
  <c r="G210" i="24"/>
  <c r="G211" i="24"/>
  <c r="G212" i="24"/>
  <c r="F200" i="24"/>
  <c r="F201" i="24"/>
  <c r="F202" i="24"/>
  <c r="F203" i="24"/>
  <c r="F204" i="24"/>
  <c r="F205" i="24"/>
  <c r="F206" i="24"/>
  <c r="F207" i="24"/>
  <c r="F208" i="24"/>
  <c r="F209" i="24"/>
  <c r="F210" i="24"/>
  <c r="F211" i="24"/>
  <c r="F212" i="24"/>
  <c r="F199" i="24"/>
  <c r="N189" i="24"/>
  <c r="N184" i="24"/>
  <c r="G183" i="24"/>
  <c r="G184" i="24"/>
  <c r="G185" i="24"/>
  <c r="G186" i="24"/>
  <c r="G187" i="24"/>
  <c r="G188" i="24"/>
  <c r="G189" i="24"/>
  <c r="G190" i="24"/>
  <c r="G191" i="24"/>
  <c r="G192" i="24"/>
  <c r="G193" i="24"/>
  <c r="G194" i="24"/>
  <c r="G195" i="24"/>
  <c r="G196" i="24"/>
  <c r="F183" i="24"/>
  <c r="F184" i="24"/>
  <c r="F185" i="24"/>
  <c r="F186" i="24"/>
  <c r="F187" i="24"/>
  <c r="F188" i="24"/>
  <c r="F189" i="24"/>
  <c r="F190" i="24"/>
  <c r="F191" i="24"/>
  <c r="F192" i="24"/>
  <c r="F193" i="24"/>
  <c r="F194" i="24"/>
  <c r="F195" i="24"/>
  <c r="F196" i="24"/>
  <c r="G167" i="24"/>
  <c r="G168" i="24"/>
  <c r="G169" i="24"/>
  <c r="G170" i="24"/>
  <c r="G172" i="24"/>
  <c r="G173" i="24"/>
  <c r="G174" i="24"/>
  <c r="G175" i="24"/>
  <c r="G176" i="24"/>
  <c r="G177" i="24"/>
  <c r="G178" i="24"/>
  <c r="G179" i="24"/>
  <c r="F167" i="24"/>
  <c r="F168" i="24"/>
  <c r="F169" i="24"/>
  <c r="F170" i="24"/>
  <c r="F171" i="24"/>
  <c r="G171" i="24"/>
  <c r="F172" i="24"/>
  <c r="F173" i="24"/>
  <c r="F174" i="24"/>
  <c r="F175" i="24"/>
  <c r="F176" i="24"/>
  <c r="F177" i="24"/>
  <c r="F178" i="24"/>
  <c r="F179" i="24"/>
  <c r="N161" i="24"/>
  <c r="N158" i="24"/>
  <c r="N152" i="24"/>
  <c r="G151" i="24"/>
  <c r="G152" i="24"/>
  <c r="G153" i="24"/>
  <c r="G154" i="24"/>
  <c r="G155" i="24"/>
  <c r="G156" i="24"/>
  <c r="G157" i="24"/>
  <c r="G158" i="24"/>
  <c r="G159" i="24"/>
  <c r="G160" i="24"/>
  <c r="G161" i="24"/>
  <c r="G162" i="24"/>
  <c r="G163" i="24"/>
  <c r="G164" i="24"/>
  <c r="F152" i="24"/>
  <c r="F153" i="24"/>
  <c r="F154" i="24"/>
  <c r="F155" i="24"/>
  <c r="F156" i="24"/>
  <c r="F157" i="24"/>
  <c r="F158" i="24"/>
  <c r="F159" i="24"/>
  <c r="F160" i="24"/>
  <c r="F161" i="24"/>
  <c r="F162" i="24"/>
  <c r="F163" i="24"/>
  <c r="F164" i="24"/>
  <c r="F151" i="24"/>
  <c r="F31" i="28"/>
  <c r="F29" i="28"/>
  <c r="F27" i="28"/>
  <c r="F25" i="28"/>
  <c r="F23" i="28"/>
  <c r="F21" i="28"/>
  <c r="F13" i="28"/>
  <c r="F15" i="28"/>
  <c r="F17" i="28"/>
  <c r="F19" i="28"/>
  <c r="F11" i="28"/>
  <c r="F9" i="28"/>
  <c r="N139" i="24"/>
  <c r="F135" i="24"/>
  <c r="G135" i="24"/>
  <c r="F136" i="24"/>
  <c r="G136" i="24"/>
  <c r="F137" i="24"/>
  <c r="G137" i="24"/>
  <c r="F138" i="24"/>
  <c r="G138" i="24"/>
  <c r="F139" i="24"/>
  <c r="F140" i="24"/>
  <c r="G140" i="24"/>
  <c r="F141" i="24"/>
  <c r="G141" i="24"/>
  <c r="F142" i="24"/>
  <c r="G142" i="24"/>
  <c r="F143" i="24"/>
  <c r="G143" i="24"/>
  <c r="F144" i="24"/>
  <c r="G144" i="24"/>
  <c r="F145" i="24"/>
  <c r="G145" i="24"/>
  <c r="F146" i="24"/>
  <c r="G146" i="24"/>
  <c r="F147" i="24"/>
  <c r="G147" i="24"/>
  <c r="G121" i="24"/>
  <c r="G127" i="24"/>
  <c r="G128" i="24"/>
  <c r="G129" i="24"/>
  <c r="F119" i="24"/>
  <c r="G119" i="24"/>
  <c r="F120" i="24"/>
  <c r="G120" i="24"/>
  <c r="F121" i="24"/>
  <c r="F122" i="24"/>
  <c r="G122" i="24"/>
  <c r="F123" i="24"/>
  <c r="G123" i="24"/>
  <c r="F124" i="24"/>
  <c r="G124" i="24"/>
  <c r="F125" i="24"/>
  <c r="G125" i="24"/>
  <c r="F126" i="24"/>
  <c r="G126" i="24"/>
  <c r="F127" i="24"/>
  <c r="F128" i="24"/>
  <c r="F129" i="24"/>
  <c r="F130" i="24"/>
  <c r="G130" i="24"/>
  <c r="F131" i="24"/>
  <c r="G131" i="24"/>
  <c r="G103" i="24"/>
  <c r="G115" i="24"/>
  <c r="F104" i="24"/>
  <c r="G104" i="24"/>
  <c r="F105" i="24"/>
  <c r="G105" i="24"/>
  <c r="F106" i="24"/>
  <c r="G106" i="24"/>
  <c r="F107" i="24"/>
  <c r="G107" i="24"/>
  <c r="F108" i="24"/>
  <c r="G108" i="24"/>
  <c r="F109" i="24"/>
  <c r="G109" i="24"/>
  <c r="F110" i="24"/>
  <c r="G110" i="24"/>
  <c r="F111" i="24"/>
  <c r="G111" i="24"/>
  <c r="F112" i="24"/>
  <c r="G112" i="24"/>
  <c r="F113" i="24"/>
  <c r="G113" i="24"/>
  <c r="F114" i="24"/>
  <c r="G114" i="24"/>
  <c r="F115" i="24"/>
  <c r="F87" i="24"/>
  <c r="G87" i="24"/>
  <c r="F88" i="24"/>
  <c r="G88" i="24"/>
  <c r="F89" i="24"/>
  <c r="G89" i="24"/>
  <c r="F90" i="24"/>
  <c r="G90" i="24"/>
  <c r="F91" i="24"/>
  <c r="G91" i="24"/>
  <c r="F92" i="24"/>
  <c r="G92" i="24"/>
  <c r="F93" i="24"/>
  <c r="G93" i="24"/>
  <c r="F94" i="24"/>
  <c r="G94" i="24"/>
  <c r="F95" i="24"/>
  <c r="G95" i="24"/>
  <c r="F96" i="24"/>
  <c r="G96" i="24"/>
  <c r="F97" i="24"/>
  <c r="G97" i="24"/>
  <c r="F98" i="24"/>
  <c r="F99" i="24"/>
  <c r="F100" i="24"/>
  <c r="G82" i="24"/>
  <c r="G83" i="24"/>
  <c r="F72" i="24"/>
  <c r="G72" i="24"/>
  <c r="F73" i="24"/>
  <c r="G73" i="24"/>
  <c r="F74" i="24"/>
  <c r="G74" i="24"/>
  <c r="F75" i="24"/>
  <c r="G75" i="24"/>
  <c r="F76" i="24"/>
  <c r="G76" i="24"/>
  <c r="F77" i="24"/>
  <c r="G77" i="24"/>
  <c r="F78" i="24"/>
  <c r="G78" i="24"/>
  <c r="F79" i="24"/>
  <c r="G79" i="24"/>
  <c r="F80" i="24"/>
  <c r="G80" i="24"/>
  <c r="F81" i="24"/>
  <c r="G81" i="24"/>
  <c r="F82" i="24"/>
  <c r="F83" i="24"/>
  <c r="F84" i="24"/>
  <c r="G84" i="24"/>
  <c r="F71" i="24"/>
  <c r="G71" i="24"/>
  <c r="G55" i="24"/>
  <c r="G66" i="24"/>
  <c r="G67" i="24"/>
  <c r="F56" i="24"/>
  <c r="G56" i="24"/>
  <c r="F57" i="24"/>
  <c r="G57" i="24"/>
  <c r="F58" i="24"/>
  <c r="G58" i="24"/>
  <c r="F59" i="24"/>
  <c r="G59" i="24"/>
  <c r="F60" i="24"/>
  <c r="G60" i="24"/>
  <c r="F61" i="24"/>
  <c r="G61" i="24"/>
  <c r="F62" i="24"/>
  <c r="G62" i="24"/>
  <c r="F63" i="24"/>
  <c r="G63" i="24"/>
  <c r="F64" i="24"/>
  <c r="G64" i="24"/>
  <c r="F65" i="24"/>
  <c r="G65" i="24"/>
  <c r="F66" i="24"/>
  <c r="F67" i="24"/>
  <c r="F68" i="24"/>
  <c r="G68" i="24"/>
  <c r="F23" i="24"/>
  <c r="G23" i="24"/>
  <c r="F24" i="24"/>
  <c r="G24" i="24"/>
  <c r="F25" i="24"/>
  <c r="G25" i="24"/>
  <c r="F26" i="24"/>
  <c r="G26" i="24"/>
  <c r="F27" i="24"/>
  <c r="G27" i="24"/>
  <c r="F28" i="24"/>
  <c r="G28" i="24"/>
  <c r="F29" i="24"/>
  <c r="G29" i="24"/>
  <c r="F30" i="24"/>
  <c r="G30" i="24"/>
  <c r="F31" i="24"/>
  <c r="G31" i="24"/>
  <c r="F32" i="24"/>
  <c r="G32" i="24"/>
  <c r="F33" i="24"/>
  <c r="G33" i="24"/>
  <c r="F34" i="24"/>
  <c r="G34" i="24"/>
  <c r="F35" i="24"/>
  <c r="G35" i="24"/>
  <c r="F36" i="24"/>
  <c r="G36" i="24"/>
  <c r="G52" i="24"/>
  <c r="G51" i="24"/>
  <c r="G50" i="24"/>
  <c r="G49" i="24"/>
  <c r="G48" i="24"/>
  <c r="G47" i="24"/>
  <c r="G46" i="24"/>
  <c r="G45" i="24"/>
  <c r="G44" i="24"/>
  <c r="G43" i="24"/>
  <c r="G42" i="24"/>
  <c r="G41" i="24"/>
  <c r="G40" i="24"/>
  <c r="G39" i="24"/>
  <c r="H6" i="27"/>
  <c r="S6" i="27"/>
  <c r="T6" i="27"/>
  <c r="H7" i="27"/>
  <c r="S7" i="27"/>
  <c r="T7" i="27"/>
  <c r="H8" i="27"/>
  <c r="S8" i="27"/>
  <c r="T8" i="27"/>
  <c r="H9" i="27"/>
  <c r="S9" i="27"/>
  <c r="T9" i="27"/>
  <c r="H10" i="27"/>
  <c r="S10" i="27"/>
  <c r="T10" i="27"/>
  <c r="H11" i="27"/>
  <c r="S11" i="27"/>
  <c r="T11" i="27"/>
  <c r="H12" i="27"/>
  <c r="S12" i="27"/>
  <c r="T12" i="27"/>
  <c r="H13" i="27"/>
  <c r="S13" i="27"/>
  <c r="T13" i="27"/>
  <c r="H14" i="27"/>
  <c r="S14" i="27"/>
  <c r="T14" i="27"/>
  <c r="H15" i="27"/>
  <c r="S15" i="27"/>
  <c r="T15" i="27"/>
  <c r="H16" i="27"/>
  <c r="S16" i="27"/>
  <c r="T16" i="27"/>
  <c r="H17" i="27"/>
  <c r="S17" i="27"/>
  <c r="T17" i="27"/>
  <c r="H18" i="27"/>
  <c r="S18" i="27"/>
  <c r="T18" i="27"/>
  <c r="H19" i="27"/>
  <c r="S19" i="27"/>
  <c r="T19" i="27"/>
  <c r="S65" i="26"/>
  <c r="S66" i="26"/>
  <c r="R53" i="26"/>
  <c r="S53" i="26"/>
  <c r="R54" i="26"/>
  <c r="S54" i="26"/>
  <c r="R55" i="26"/>
  <c r="S55" i="26"/>
  <c r="R56" i="26"/>
  <c r="S56" i="26"/>
  <c r="R57" i="26"/>
  <c r="S57" i="26"/>
  <c r="R58" i="26"/>
  <c r="S58" i="26"/>
  <c r="R59" i="26"/>
  <c r="S59" i="26"/>
  <c r="R60" i="26"/>
  <c r="S60" i="26"/>
  <c r="R61" i="26"/>
  <c r="S61" i="26"/>
  <c r="R62" i="26"/>
  <c r="S62" i="26"/>
  <c r="R63" i="26"/>
  <c r="S63" i="26"/>
  <c r="R64" i="26"/>
  <c r="S64" i="26"/>
  <c r="R65" i="26"/>
  <c r="R66" i="26"/>
  <c r="G53" i="26"/>
  <c r="G54" i="26"/>
  <c r="G55" i="26"/>
  <c r="G56" i="26"/>
  <c r="G57" i="26"/>
  <c r="G58" i="26"/>
  <c r="G59" i="26"/>
  <c r="G60" i="26"/>
  <c r="G61" i="26"/>
  <c r="G62" i="26"/>
  <c r="G63" i="26"/>
  <c r="G64" i="26"/>
  <c r="G65" i="26"/>
  <c r="G66" i="26"/>
  <c r="F7" i="26"/>
  <c r="G7" i="26"/>
  <c r="F8" i="26"/>
  <c r="G8" i="26"/>
  <c r="F9" i="26"/>
  <c r="G9" i="26"/>
  <c r="F10" i="26"/>
  <c r="G10" i="26"/>
  <c r="F11" i="26"/>
  <c r="G11" i="26"/>
  <c r="F12" i="26"/>
  <c r="G12" i="26"/>
  <c r="F13" i="26"/>
  <c r="G13" i="26"/>
  <c r="F14" i="26"/>
  <c r="G14" i="26"/>
  <c r="F15" i="26"/>
  <c r="G15" i="26"/>
  <c r="F20" i="26"/>
  <c r="G20" i="26"/>
  <c r="F19" i="26"/>
  <c r="G19" i="26"/>
  <c r="F18" i="26"/>
  <c r="G18" i="26"/>
  <c r="F17" i="26"/>
  <c r="G17" i="26"/>
  <c r="F16" i="26"/>
  <c r="G16" i="26"/>
  <c r="G8" i="24"/>
  <c r="G15" i="24"/>
  <c r="G16" i="24"/>
  <c r="G19" i="24"/>
  <c r="G20" i="24"/>
  <c r="F7" i="24"/>
  <c r="G7" i="24"/>
  <c r="F8" i="24"/>
  <c r="F9" i="24"/>
  <c r="G9" i="24"/>
  <c r="F10" i="24"/>
  <c r="G10" i="24"/>
  <c r="F11" i="24"/>
  <c r="G11" i="24"/>
  <c r="F12" i="24"/>
  <c r="G12" i="24"/>
  <c r="F13" i="24"/>
  <c r="G13" i="24"/>
  <c r="F14" i="24"/>
  <c r="G14" i="24"/>
  <c r="F15" i="24"/>
  <c r="F16" i="24"/>
  <c r="F17" i="24"/>
  <c r="G17" i="24"/>
  <c r="F18" i="24"/>
  <c r="G18" i="24"/>
  <c r="F19" i="24"/>
  <c r="F20" i="24"/>
  <c r="E31" i="6"/>
  <c r="O13" i="6"/>
  <c r="O40" i="6"/>
  <c r="O31" i="6"/>
  <c r="O22" i="6"/>
  <c r="E40" i="6"/>
  <c r="E22" i="6"/>
  <c r="E13" i="6"/>
</calcChain>
</file>

<file path=xl/sharedStrings.xml><?xml version="1.0" encoding="utf-8"?>
<sst xmlns="http://schemas.openxmlformats.org/spreadsheetml/2006/main" count="3977" uniqueCount="917">
  <si>
    <t>Spear 2 Crowbar Stack Testing</t>
  </si>
  <si>
    <t>Crowbar 1</t>
  </si>
  <si>
    <t>Crowbar 2</t>
  </si>
  <si>
    <t>Crowbar 3</t>
  </si>
  <si>
    <t>Crowbar 4</t>
  </si>
  <si>
    <t>LC @ 25KV</t>
  </si>
  <si>
    <t>mA</t>
  </si>
  <si>
    <t>Temps</t>
  </si>
  <si>
    <t>Deg. C</t>
  </si>
  <si>
    <t xml:space="preserve">All data @ 30 minutes </t>
  </si>
  <si>
    <t>HV applied</t>
  </si>
  <si>
    <t>All 4 stacks removed from Spear 2 RF HVPS on July 6, 2018</t>
  </si>
  <si>
    <t>28.4-35.2</t>
  </si>
  <si>
    <t>Overvolts</t>
  </si>
  <si>
    <t>Self-Fire KV</t>
  </si>
  <si>
    <t>Pass/Fail</t>
  </si>
  <si>
    <t>Light</t>
  </si>
  <si>
    <t>Trigger</t>
  </si>
  <si>
    <t>Pass</t>
  </si>
  <si>
    <t>Time= 30 mins</t>
  </si>
  <si>
    <t>28.2-37.9</t>
  </si>
  <si>
    <t>P 42.8KV</t>
  </si>
  <si>
    <t>P43.3KV</t>
  </si>
  <si>
    <t>P 43.4KV</t>
  </si>
  <si>
    <t>28.2-32.4</t>
  </si>
  <si>
    <t>0.891+</t>
  </si>
  <si>
    <t>Stacks removed July 06, 2018</t>
  </si>
  <si>
    <t xml:space="preserve">Test Date: 7/28/2018 </t>
  </si>
  <si>
    <t>P43.25KV</t>
  </si>
  <si>
    <t>0.911+</t>
  </si>
  <si>
    <t>Conclusions:  Stack 4 has high leakage current (nominal should be &lt; .890 mA) and is likely a culprit in sagging output volts.  Stack 1 leakage current creaping upward slowly and is marginal.  Stacks 2+3 appear to be good:  leakage current was steady over 1/2 hour test period.</t>
  </si>
  <si>
    <t>29.1-35.6</t>
  </si>
  <si>
    <t>Failed @ 43KV</t>
  </si>
  <si>
    <t>Pass @ 43.55KV</t>
  </si>
  <si>
    <t>Pass @ 44.2 KV</t>
  </si>
  <si>
    <t>1.12 mA</t>
  </si>
  <si>
    <t>Pass @ 43.05</t>
  </si>
  <si>
    <t>Test Date: 8/4/2018</t>
  </si>
  <si>
    <t>Stacks removed from Spear 2  August 03, 2018</t>
  </si>
  <si>
    <t>Conclusions:  Stack 1 functioned normally with good, stable leakage current.  One SCR (#3 in stack 1) failed with self-fire @ 43 KV.  The stack was good during ops.  It is not normal for a stack to self-fire--the crowbar ckt operates with a trigger pulse.  Leakage after failed SCR was 1.1 mA and stable @ 25KV.  The other 5 SCRs in the stack are good. Stack 2 leakage @ 30 minutes was a little high, but appears to function correctly.  Stacks 3+4 are good with stable leakage current @ 25 KVDC.  It's possible over a longer operational period at higher temperatures in the crowbar tank than in free air the stacks started to partially self-fire (possibly stack 2).  But from the uncertainty of this limited testing, it is warranted to test the main tank rectifiers and filter circuits and to replace the main tank rectifiers and filter caps and to perform a thorough inspection of wiring and bushings.</t>
  </si>
  <si>
    <t xml:space="preserve">Spear 2 RF HVPS Individual SCR Tests </t>
  </si>
  <si>
    <t>Stack 1</t>
  </si>
  <si>
    <t>SCR #</t>
  </si>
  <si>
    <t>uA @ 4.2 KV</t>
  </si>
  <si>
    <t>uA @ 6.5KV</t>
  </si>
  <si>
    <t>F.O. Trigs</t>
  </si>
  <si>
    <t xml:space="preserve">OV Self-Fire </t>
  </si>
  <si>
    <t>Stack 2</t>
  </si>
  <si>
    <t>Stack 3</t>
  </si>
  <si>
    <t>Stack 4</t>
  </si>
  <si>
    <t>Set 2 Crowar Stacks removed 3 August 2018</t>
  </si>
  <si>
    <t>Serial #</t>
  </si>
  <si>
    <t>Good</t>
  </si>
  <si>
    <t xml:space="preserve">Fail! </t>
  </si>
  <si>
    <t>Re-Use?</t>
  </si>
  <si>
    <t>No</t>
  </si>
  <si>
    <t>7.3 KV</t>
  </si>
  <si>
    <t>Yes</t>
  </si>
  <si>
    <t>7.7 KV</t>
  </si>
  <si>
    <t>7.2 KV</t>
  </si>
  <si>
    <t>7.5 KV</t>
  </si>
  <si>
    <t>57.4 +</t>
  </si>
  <si>
    <t>94.2 +</t>
  </si>
  <si>
    <t>Note:  " + " symbol after a leakage current # = current creeping upwards.  Bad sign device will eventually</t>
  </si>
  <si>
    <t>break down under voltage in crowbar tank.</t>
  </si>
  <si>
    <t>Fail!</t>
  </si>
  <si>
    <t>92 +</t>
  </si>
  <si>
    <t>279 +</t>
  </si>
  <si>
    <t>7.72 KV</t>
  </si>
  <si>
    <t xml:space="preserve">80 + </t>
  </si>
  <si>
    <t>220 +</t>
  </si>
  <si>
    <t>42 +</t>
  </si>
  <si>
    <t>140 +</t>
  </si>
  <si>
    <t>101 +</t>
  </si>
  <si>
    <t>286 +</t>
  </si>
  <si>
    <t>84.7 +</t>
  </si>
  <si>
    <t>413 +</t>
  </si>
  <si>
    <t>Conclusions</t>
  </si>
  <si>
    <t>Stacks 2 + 4 were bad.  Believe these 2 be the culprit in the second Spear 2 failure (&lt; 2 days run time).</t>
  </si>
  <si>
    <t>Stack 4 had 4 devices marginal or failed at self-fire (permanent short with one shot).</t>
  </si>
  <si>
    <t xml:space="preserve">Stacks 1 + 3 are decent--not great though.  Overall, found 10 devices out of 24  either marginal or failed. </t>
  </si>
  <si>
    <t xml:space="preserve">It is apparent the previous 2 failures were due to crowbar stack failures.  At this point, will construct and test </t>
  </si>
  <si>
    <t>best possible stacks with each device tested for leakage, fiber optic triggering and ability to withstand</t>
  </si>
  <si>
    <t>over-voltage self-firing.  Testing the whole stack and calling that stack good is obviously not the way to go.</t>
  </si>
  <si>
    <t>Previously, we tested the whole stack--it the overall leakage was under .890 and stable and passed trigger</t>
  </si>
  <si>
    <t xml:space="preserve">testing, we declared it good.  From now on, we will test each device thoroughly and individually and use </t>
  </si>
  <si>
    <t>the whole stack tests after a stack is assembled to make sure it works as a unit.</t>
  </si>
  <si>
    <t>Spare SCR tests to rebuild Spear 2 Crowbar Stacks.</t>
  </si>
  <si>
    <t>Spare #</t>
  </si>
  <si>
    <t xml:space="preserve">Serial # </t>
  </si>
  <si>
    <t>uA @ 6.5 KV</t>
  </si>
  <si>
    <t>Fiber Optic</t>
  </si>
  <si>
    <t>OV Self-Fire</t>
  </si>
  <si>
    <t>Good/Bad</t>
  </si>
  <si>
    <t>7.8 KV</t>
  </si>
  <si>
    <t xml:space="preserve">32.7 + </t>
  </si>
  <si>
    <t>66.4 +</t>
  </si>
  <si>
    <t>Bad</t>
  </si>
  <si>
    <t>15.4 +</t>
  </si>
  <si>
    <t>42.1 +</t>
  </si>
  <si>
    <t>Marginal</t>
  </si>
  <si>
    <t>45.6+</t>
  </si>
  <si>
    <t>11.4+</t>
  </si>
  <si>
    <t>40.1+</t>
  </si>
  <si>
    <t>20.5+</t>
  </si>
  <si>
    <t>138.1+</t>
  </si>
  <si>
    <t>84.3+</t>
  </si>
  <si>
    <t>Set 1 Crowar Stacks removed 6 July 2018</t>
  </si>
  <si>
    <t>154.2+</t>
  </si>
  <si>
    <t>81.6+</t>
  </si>
  <si>
    <t>99.3+</t>
  </si>
  <si>
    <t>495+</t>
  </si>
  <si>
    <t>143.5+</t>
  </si>
  <si>
    <t>276.5+</t>
  </si>
  <si>
    <t>45+</t>
  </si>
  <si>
    <t>27.2+</t>
  </si>
  <si>
    <t>63.4+</t>
  </si>
  <si>
    <t>85.7+</t>
  </si>
  <si>
    <t>150+</t>
  </si>
  <si>
    <t>521+</t>
  </si>
  <si>
    <t>127.8+</t>
  </si>
  <si>
    <t xml:space="preserve">Stack 1 had 3 SCRs with high leakage current and a 4th SCR that failed on over-volts self-fire.  </t>
  </si>
  <si>
    <t xml:space="preserve">Stack 3 has 3 SCRs with high leakage current.  Both stack 1 + 3 indicate likely strong candidates for </t>
  </si>
  <si>
    <t>Spear 2 failure on July 06, 2018.</t>
  </si>
  <si>
    <t>633.2+</t>
  </si>
  <si>
    <t>366+</t>
  </si>
  <si>
    <t xml:space="preserve">Stacks 2 + 4 are reasonably good.  </t>
  </si>
  <si>
    <t>It strongly appears both sets of crowbar stacks installed in Spear 2 led to the failures seen on Spear 2 over</t>
  </si>
  <si>
    <t xml:space="preserve">the short run times due to the inability of at least 2 stacks in each set being unable to hold off the </t>
  </si>
  <si>
    <t>necessary voltage to allow full power supply output.</t>
  </si>
  <si>
    <t>New Set of Crowbar Stacks for Spear 2 RF HVPS  18 Aug 2018</t>
  </si>
  <si>
    <t>Stack Leakage @ 25 KVDC</t>
  </si>
  <si>
    <t>Fiber Optic Trig Test</t>
  </si>
  <si>
    <t>SCR S/N</t>
  </si>
  <si>
    <t>Cell 1</t>
  </si>
  <si>
    <t>Cell 2</t>
  </si>
  <si>
    <t>Cell 3</t>
  </si>
  <si>
    <t>Cell 4</t>
  </si>
  <si>
    <t>Cell 5</t>
  </si>
  <si>
    <t>Cell 6</t>
  </si>
  <si>
    <t>.859 uA</t>
  </si>
  <si>
    <t>.851 uA</t>
  </si>
  <si>
    <t>Ohm Tests for New Spear 2 Crowbar Stacks</t>
  </si>
  <si>
    <t>Fwd Direction</t>
  </si>
  <si>
    <t>Ohms</t>
  </si>
  <si>
    <t>Volts</t>
  </si>
  <si>
    <t>Current</t>
  </si>
  <si>
    <t>Reverse Direction</t>
  </si>
  <si>
    <t>M Ohms</t>
  </si>
  <si>
    <t>358 uA</t>
  </si>
  <si>
    <t>374 uA</t>
  </si>
  <si>
    <t>355 uA</t>
  </si>
  <si>
    <t>376 uA</t>
  </si>
  <si>
    <t>378 uA</t>
  </si>
  <si>
    <t>AVG:</t>
  </si>
  <si>
    <t>uA /mA</t>
  </si>
  <si>
    <t>Replaced SCRs 2,4, 5 in stack 1.</t>
  </si>
  <si>
    <t>Test results updated.</t>
  </si>
  <si>
    <t>356 uA</t>
  </si>
  <si>
    <t>1.16 mA</t>
  </si>
  <si>
    <t>Replaced SCRs 2 + 5.  Test results</t>
  </si>
  <si>
    <t>updated.</t>
  </si>
  <si>
    <t>Replace S/N</t>
  </si>
  <si>
    <t>Old #'s</t>
  </si>
  <si>
    <t xml:space="preserve">Updated </t>
  </si>
  <si>
    <t>394 uA</t>
  </si>
  <si>
    <t>Old #s</t>
  </si>
  <si>
    <t>383 uA</t>
  </si>
  <si>
    <t>357 uA</t>
  </si>
  <si>
    <t>Old #</t>
  </si>
  <si>
    <t>0.846 uA</t>
  </si>
  <si>
    <t>.848 uA</t>
  </si>
  <si>
    <t>SCRs sent to Infineon for analysis</t>
  </si>
  <si>
    <t>Number</t>
  </si>
  <si>
    <t>S/N</t>
  </si>
  <si>
    <t>Date Code</t>
  </si>
  <si>
    <t>26R9</t>
  </si>
  <si>
    <t>20U9</t>
  </si>
  <si>
    <t>25S5</t>
  </si>
  <si>
    <t>13R2</t>
  </si>
  <si>
    <t>?</t>
  </si>
  <si>
    <t>SCRs 11 + 12 are tested out of box, but unused in field.</t>
  </si>
  <si>
    <t>Spear 2 RF HVPS Hipot Test Results</t>
  </si>
  <si>
    <t>7 Sept. 2018</t>
  </si>
  <si>
    <t>Stage 1</t>
  </si>
  <si>
    <t>Volts KV</t>
  </si>
  <si>
    <t>Leakage I</t>
  </si>
  <si>
    <t>Start/Stop</t>
  </si>
  <si>
    <t>Begin</t>
  </si>
  <si>
    <t>5 mins.</t>
  </si>
  <si>
    <t>Stage 2</t>
  </si>
  <si>
    <t>Stage 3</t>
  </si>
  <si>
    <t>0945</t>
  </si>
  <si>
    <t>0940</t>
  </si>
  <si>
    <t>0954</t>
  </si>
  <si>
    <t>0959</t>
  </si>
  <si>
    <t>1006</t>
  </si>
  <si>
    <t>1011</t>
  </si>
  <si>
    <t>1017</t>
  </si>
  <si>
    <t>1022</t>
  </si>
  <si>
    <t>Stage 4</t>
  </si>
  <si>
    <t>Stage 1 to Stage 3:</t>
  </si>
  <si>
    <t>10 mins.</t>
  </si>
  <si>
    <t>1057</t>
  </si>
  <si>
    <t>1107</t>
  </si>
  <si>
    <t>Stage 1 to Stage 4:</t>
  </si>
  <si>
    <t>1120</t>
  </si>
  <si>
    <t>1130</t>
  </si>
  <si>
    <t>1142</t>
  </si>
  <si>
    <t>1152</t>
  </si>
  <si>
    <t>1158</t>
  </si>
  <si>
    <t>1208</t>
  </si>
  <si>
    <t>1214</t>
  </si>
  <si>
    <t>1225</t>
  </si>
  <si>
    <t>1227</t>
  </si>
  <si>
    <t>1237</t>
  </si>
  <si>
    <t>Not performed.</t>
  </si>
  <si>
    <t>16 Aug 2018 + 24 Aug 2018</t>
  </si>
  <si>
    <t>Test of Spear 2 RF HVPS Main Rectifier Stack #3 vs Spare Main Rectifier Stack</t>
  </si>
  <si>
    <t>from Building 725</t>
  </si>
  <si>
    <t xml:space="preserve">Hipot leakage currents stage to stage from August 16, 2018 </t>
  </si>
  <si>
    <t>Spare Main Rectifier Diode Stack and Filter Box Diode Hipot Tests</t>
  </si>
  <si>
    <t>Spear 2 RF HVPS Main Rectifier Diode Stack and Filter Box Diode Hipot Tests</t>
  </si>
  <si>
    <t>8 Sept. 2018</t>
  </si>
  <si>
    <t>Neg Rail</t>
  </si>
  <si>
    <t>A-</t>
  </si>
  <si>
    <t>B-</t>
  </si>
  <si>
    <t>C-</t>
  </si>
  <si>
    <t>Pos Rail</t>
  </si>
  <si>
    <t xml:space="preserve">Leakage I </t>
  </si>
  <si>
    <t>KV</t>
  </si>
  <si>
    <t>Dwell time</t>
  </si>
  <si>
    <t>Dwell Time</t>
  </si>
  <si>
    <t>A+</t>
  </si>
  <si>
    <t>B+</t>
  </si>
  <si>
    <t>C+</t>
  </si>
  <si>
    <t>1 Min.</t>
  </si>
  <si>
    <t>Filter Box Diodes, Spare Stack</t>
  </si>
  <si>
    <t>Filter Box Diodes, #3 Rectifier Stack</t>
  </si>
  <si>
    <t>uA</t>
  </si>
  <si>
    <t>Leakage Tests of SCRs Removed From LER 4-4 (Sept. 13-14, 2018) + 2 Stacks From Spear 2 (Oct. 26, 2012)</t>
  </si>
  <si>
    <t>I @ 4.2 KV</t>
  </si>
  <si>
    <t>I @ 6.5 KV</t>
  </si>
  <si>
    <t>F.O.</t>
  </si>
  <si>
    <t>Pass?</t>
  </si>
  <si>
    <t>Spear 2 Crowbar Stack removed Oct. 26, 2012</t>
  </si>
  <si>
    <t>LER 4-4 Crowbar Stack SCRs removed 13+14 Sept. 2018</t>
  </si>
  <si>
    <t>LER 4-4 Phase Stack SCRs removed 13+14 Sept. 2018</t>
  </si>
  <si>
    <t xml:space="preserve"> S1 A-</t>
  </si>
  <si>
    <t>S1 A+</t>
  </si>
  <si>
    <t>S1 B-</t>
  </si>
  <si>
    <t>S1 B+</t>
  </si>
  <si>
    <t>S1 C-</t>
  </si>
  <si>
    <t>S1 C+</t>
  </si>
  <si>
    <t>S2 A-</t>
  </si>
  <si>
    <t>S2 A+</t>
  </si>
  <si>
    <t>S2 B-</t>
  </si>
  <si>
    <t>S2 B+</t>
  </si>
  <si>
    <t>S2 C-</t>
  </si>
  <si>
    <t>S2 C+</t>
  </si>
  <si>
    <t>Note 1:  all currents listed on this sheet are in microamps (uA).</t>
  </si>
  <si>
    <t>Note 2:  "+" symbol after a leakage current number denotes creeping current.</t>
  </si>
  <si>
    <t>Y</t>
  </si>
  <si>
    <t>S. F. KV</t>
  </si>
  <si>
    <t>Marg.</t>
  </si>
  <si>
    <t>N</t>
  </si>
  <si>
    <t>3100+</t>
  </si>
  <si>
    <t>202.5+</t>
  </si>
  <si>
    <t>334+</t>
  </si>
  <si>
    <t>43+</t>
  </si>
  <si>
    <t>163+</t>
  </si>
  <si>
    <t>46.7+</t>
  </si>
  <si>
    <t>98.5+</t>
  </si>
  <si>
    <t>20.3+</t>
  </si>
  <si>
    <t>84+</t>
  </si>
  <si>
    <t>76.8+</t>
  </si>
  <si>
    <t>113+</t>
  </si>
  <si>
    <t>87.5+</t>
  </si>
  <si>
    <t>875+</t>
  </si>
  <si>
    <t>1268+</t>
  </si>
  <si>
    <t>4000+</t>
  </si>
  <si>
    <t>9+ No SF</t>
  </si>
  <si>
    <t>Short SF</t>
  </si>
  <si>
    <t>SCRs are from LER 4-4 which were removed 14 Sept. 2018</t>
  </si>
  <si>
    <t>SF KV</t>
  </si>
  <si>
    <t>Set 1</t>
  </si>
  <si>
    <t>Set 2</t>
  </si>
  <si>
    <t>.857 mA</t>
  </si>
  <si>
    <t>.855 mA</t>
  </si>
  <si>
    <t>.856 mA</t>
  </si>
  <si>
    <t>.850 mA</t>
  </si>
  <si>
    <t>Date:  Oct 2, 2018</t>
  </si>
  <si>
    <t>Marg</t>
  </si>
  <si>
    <t>70+</t>
  </si>
  <si>
    <t>39+</t>
  </si>
  <si>
    <t>32.8+</t>
  </si>
  <si>
    <t>116+</t>
  </si>
  <si>
    <t>208+</t>
  </si>
  <si>
    <t>49.3+</t>
  </si>
  <si>
    <t>800+</t>
  </si>
  <si>
    <t>Date:  Oct 6, 2018</t>
  </si>
  <si>
    <t>New Spare Crowbar Stack Sets for Spear 1+2.</t>
  </si>
  <si>
    <t>.836 mA</t>
  </si>
  <si>
    <t>.837 mA</t>
  </si>
  <si>
    <t>.841 mA</t>
  </si>
  <si>
    <t>Cold Tests @ 22 deg. C</t>
  </si>
  <si>
    <t>G</t>
  </si>
  <si>
    <t>02S4</t>
  </si>
  <si>
    <t>24R3</t>
  </si>
  <si>
    <t>162+</t>
  </si>
  <si>
    <t>219+</t>
  </si>
  <si>
    <t>18R2</t>
  </si>
  <si>
    <t>Shorted</t>
  </si>
  <si>
    <t>65+</t>
  </si>
  <si>
    <t>06U2</t>
  </si>
  <si>
    <t>Hot Tests @ approx. 50 deg. C</t>
  </si>
  <si>
    <t>N/A</t>
  </si>
  <si>
    <t>192+</t>
  </si>
  <si>
    <t>1402+</t>
  </si>
  <si>
    <t>AnodeTemp</t>
  </si>
  <si>
    <t>Anode temperature probe located on top of anode casing.</t>
  </si>
  <si>
    <t>Crowbar Stacks removed from Spear 1 on 26 Feb, 2019</t>
  </si>
  <si>
    <t>133.7+</t>
  </si>
  <si>
    <t>226.5+</t>
  </si>
  <si>
    <t>220.5+</t>
  </si>
  <si>
    <t>375+</t>
  </si>
  <si>
    <t>319+</t>
  </si>
  <si>
    <t>586+</t>
  </si>
  <si>
    <t>146.5+</t>
  </si>
  <si>
    <t>322.2+</t>
  </si>
  <si>
    <t>52.1+</t>
  </si>
  <si>
    <t>101.1+</t>
  </si>
  <si>
    <t>344+</t>
  </si>
  <si>
    <t>609+</t>
  </si>
  <si>
    <t>91.2+</t>
  </si>
  <si>
    <t>182.6+</t>
  </si>
  <si>
    <t>122.2+</t>
  </si>
  <si>
    <t>273.6+</t>
  </si>
  <si>
    <t>153.6+</t>
  </si>
  <si>
    <t>287.9+</t>
  </si>
  <si>
    <t>58.8+</t>
  </si>
  <si>
    <t>115.2+</t>
  </si>
  <si>
    <t>205.5+</t>
  </si>
  <si>
    <t>395.2+</t>
  </si>
  <si>
    <t>440.6+</t>
  </si>
  <si>
    <t>105.1+</t>
  </si>
  <si>
    <t>63.9+</t>
  </si>
  <si>
    <t>128.4+</t>
  </si>
  <si>
    <t>551+</t>
  </si>
  <si>
    <t>1015+</t>
  </si>
  <si>
    <t>1104+</t>
  </si>
  <si>
    <t>641+</t>
  </si>
  <si>
    <t>259.1+</t>
  </si>
  <si>
    <t>548+</t>
  </si>
  <si>
    <t xml:space="preserve">Note:  " + " symbol after a leakage current # = current creeping upwards.  </t>
  </si>
  <si>
    <t xml:space="preserve">Note:  " + " symbol after a leakage current # = current creeping upwards. </t>
  </si>
  <si>
    <t>45.5+</t>
  </si>
  <si>
    <t>464.4+</t>
  </si>
  <si>
    <t>895+</t>
  </si>
  <si>
    <t>218.1+</t>
  </si>
  <si>
    <t>371.2+</t>
  </si>
  <si>
    <t>985+</t>
  </si>
  <si>
    <t>1985+</t>
  </si>
  <si>
    <t>757+</t>
  </si>
  <si>
    <t>359.5+</t>
  </si>
  <si>
    <t>607+</t>
  </si>
  <si>
    <t>1139+</t>
  </si>
  <si>
    <t>280.5+</t>
  </si>
  <si>
    <t>651+</t>
  </si>
  <si>
    <t>Overall Conclusions:</t>
  </si>
  <si>
    <t>1 device (Stack 3, #5 shorted when testing over-volts self-fire (no triggers) during "cold test" @ room temp.  1 device (Stack 3 #6) shorted when testing over-volts self-fire (no triggers) during "hot test" @ 50.4 deg. C.</t>
  </si>
  <si>
    <t>Stack 3 had 3 devices that were marginal during ops.  All 4 stacks lasted for approx. 4.5 years running every 6 months.  Stack 4 had 1 device (cold) that has high leakage current.  Consider that device marginal.    All 4</t>
  </si>
  <si>
    <t xml:space="preserve">stacks were good in the cold tests, although I don't know if stack 3 would have run very much longer with 3 marginal devices.  Leakage currents during "hot" tests @ 50 deg. C climbed considerably.  Also, the rate of current climb increased during higher temperature tests.  </t>
  </si>
  <si>
    <t xml:space="preserve">Keep in mind, the heat used to get the device anode to 50 deg. C under HV is directly blown onto device via regulated heat gun.  A stack sitting in temperature regulated oil and constantly under HV may be affected differently.  </t>
  </si>
  <si>
    <t>I am going to discontinue testing the self-firing feature in these devices.  The 2 shorted devices were working fine until I self-fired them by over-voltage.  Most devices work fine with this test, but occasionally get some that fail at first self-trigger.</t>
  </si>
  <si>
    <t xml:space="preserve">Don't know how these stacks were affected during HV ops in the crowbar tank @ 50 deg. C.  We may want to consider going to a higher wattage, lower resistance voltage balancing resistor across each SCR.  The current resistor is a 5 meg ohm, 5 watt 10 KV resistor.  </t>
  </si>
  <si>
    <t>20S4</t>
  </si>
  <si>
    <t>08U2</t>
  </si>
  <si>
    <t>Spear 3 RF HVPS:  conventional phase stack SCR inventory and testing.</t>
  </si>
  <si>
    <t>Batch #</t>
  </si>
  <si>
    <t>I @ 1KV</t>
  </si>
  <si>
    <t>I @ 2KV</t>
  </si>
  <si>
    <t>I @ 2.5 KV</t>
  </si>
  <si>
    <t>Quantity:  200 SCRs, Powerex part # T8K7383503DHAJQ</t>
  </si>
  <si>
    <t xml:space="preserve">Order = SLAC PO #193884, Powerex PO #523726  </t>
  </si>
  <si>
    <t>Wednesday, July 17, 2019 thru July</t>
  </si>
  <si>
    <t>002</t>
  </si>
  <si>
    <t>228</t>
  </si>
  <si>
    <t>184</t>
  </si>
  <si>
    <t>034</t>
  </si>
  <si>
    <t>027</t>
  </si>
  <si>
    <t>171</t>
  </si>
  <si>
    <t>226</t>
  </si>
  <si>
    <t>194</t>
  </si>
  <si>
    <t>198</t>
  </si>
  <si>
    <t>173</t>
  </si>
  <si>
    <t>017</t>
  </si>
  <si>
    <t>019</t>
  </si>
  <si>
    <t>208</t>
  </si>
  <si>
    <t>015</t>
  </si>
  <si>
    <t>199</t>
  </si>
  <si>
    <t>007</t>
  </si>
  <si>
    <t>021</t>
  </si>
  <si>
    <t>159</t>
  </si>
  <si>
    <t>200</t>
  </si>
  <si>
    <t>195</t>
  </si>
  <si>
    <t>022</t>
  </si>
  <si>
    <t>024</t>
  </si>
  <si>
    <t>036</t>
  </si>
  <si>
    <t>298+</t>
  </si>
  <si>
    <t>185</t>
  </si>
  <si>
    <t>013</t>
  </si>
  <si>
    <t>533+</t>
  </si>
  <si>
    <t>201</t>
  </si>
  <si>
    <t>207</t>
  </si>
  <si>
    <t>011</t>
  </si>
  <si>
    <t>003</t>
  </si>
  <si>
    <t>087</t>
  </si>
  <si>
    <t>078</t>
  </si>
  <si>
    <t>176</t>
  </si>
  <si>
    <t>075</t>
  </si>
  <si>
    <t>766+</t>
  </si>
  <si>
    <t>41.9+</t>
  </si>
  <si>
    <t>538+</t>
  </si>
  <si>
    <t>160</t>
  </si>
  <si>
    <t>206</t>
  </si>
  <si>
    <t>094</t>
  </si>
  <si>
    <t>060</t>
  </si>
  <si>
    <t>172</t>
  </si>
  <si>
    <t>211</t>
  </si>
  <si>
    <t>014</t>
  </si>
  <si>
    <t>018</t>
  </si>
  <si>
    <t>177</t>
  </si>
  <si>
    <t>077</t>
  </si>
  <si>
    <t>076</t>
  </si>
  <si>
    <t>175</t>
  </si>
  <si>
    <t>179</t>
  </si>
  <si>
    <t>065</t>
  </si>
  <si>
    <t>108</t>
  </si>
  <si>
    <t>016</t>
  </si>
  <si>
    <t>161</t>
  </si>
  <si>
    <t>080</t>
  </si>
  <si>
    <t>222</t>
  </si>
  <si>
    <t>079</t>
  </si>
  <si>
    <t>020</t>
  </si>
  <si>
    <t>170</t>
  </si>
  <si>
    <t>178</t>
  </si>
  <si>
    <t>219</t>
  </si>
  <si>
    <t>081</t>
  </si>
  <si>
    <t>205</t>
  </si>
  <si>
    <t>025</t>
  </si>
  <si>
    <t>164</t>
  </si>
  <si>
    <t>101</t>
  </si>
  <si>
    <t>213</t>
  </si>
  <si>
    <t>093</t>
  </si>
  <si>
    <t>134</t>
  </si>
  <si>
    <t>136</t>
  </si>
  <si>
    <t>061</t>
  </si>
  <si>
    <t>190</t>
  </si>
  <si>
    <t>140</t>
  </si>
  <si>
    <t>064</t>
  </si>
  <si>
    <t>203</t>
  </si>
  <si>
    <t>143</t>
  </si>
  <si>
    <t>089</t>
  </si>
  <si>
    <t>042</t>
  </si>
  <si>
    <t>095</t>
  </si>
  <si>
    <t>006</t>
  </si>
  <si>
    <t>055</t>
  </si>
  <si>
    <t>084</t>
  </si>
  <si>
    <t>137</t>
  </si>
  <si>
    <t>069</t>
  </si>
  <si>
    <t>141</t>
  </si>
  <si>
    <t>191</t>
  </si>
  <si>
    <t>071</t>
  </si>
  <si>
    <t>165</t>
  </si>
  <si>
    <t>046</t>
  </si>
  <si>
    <t>072</t>
  </si>
  <si>
    <t>337+</t>
  </si>
  <si>
    <t>040</t>
  </si>
  <si>
    <t>001</t>
  </si>
  <si>
    <t>144</t>
  </si>
  <si>
    <t>218</t>
  </si>
  <si>
    <t>224</t>
  </si>
  <si>
    <t>171.2+</t>
  </si>
  <si>
    <t>960+</t>
  </si>
  <si>
    <t>058</t>
  </si>
  <si>
    <t>126</t>
  </si>
  <si>
    <t>217</t>
  </si>
  <si>
    <t>142</t>
  </si>
  <si>
    <t>154</t>
  </si>
  <si>
    <t>149</t>
  </si>
  <si>
    <t>074</t>
  </si>
  <si>
    <t>146</t>
  </si>
  <si>
    <t>130</t>
  </si>
  <si>
    <t>026</t>
  </si>
  <si>
    <t>039</t>
  </si>
  <si>
    <t>151</t>
  </si>
  <si>
    <t>082</t>
  </si>
  <si>
    <t>008</t>
  </si>
  <si>
    <t>070</t>
  </si>
  <si>
    <t>169</t>
  </si>
  <si>
    <t>083</t>
  </si>
  <si>
    <t>028</t>
  </si>
  <si>
    <t>187</t>
  </si>
  <si>
    <t>167</t>
  </si>
  <si>
    <t>215</t>
  </si>
  <si>
    <t>145</t>
  </si>
  <si>
    <t>223</t>
  </si>
  <si>
    <t>012</t>
  </si>
  <si>
    <t>031</t>
  </si>
  <si>
    <t>009</t>
  </si>
  <si>
    <t>035</t>
  </si>
  <si>
    <t>212</t>
  </si>
  <si>
    <t>068</t>
  </si>
  <si>
    <t>188</t>
  </si>
  <si>
    <t>193</t>
  </si>
  <si>
    <t>197</t>
  </si>
  <si>
    <t>209</t>
  </si>
  <si>
    <t>694+</t>
  </si>
  <si>
    <t>192</t>
  </si>
  <si>
    <t>139</t>
  </si>
  <si>
    <t>059</t>
  </si>
  <si>
    <t>004</t>
  </si>
  <si>
    <t>All measurements made between 22-29 deg. C.</t>
  </si>
  <si>
    <t>054</t>
  </si>
  <si>
    <t>037</t>
  </si>
  <si>
    <t>138</t>
  </si>
  <si>
    <t>147</t>
  </si>
  <si>
    <t>010</t>
  </si>
  <si>
    <t>180</t>
  </si>
  <si>
    <t>032</t>
  </si>
  <si>
    <t>005</t>
  </si>
  <si>
    <t>088</t>
  </si>
  <si>
    <t>181</t>
  </si>
  <si>
    <t>033</t>
  </si>
  <si>
    <t>196</t>
  </si>
  <si>
    <t>023</t>
  </si>
  <si>
    <t>148</t>
  </si>
  <si>
    <t>085</t>
  </si>
  <si>
    <t>057</t>
  </si>
  <si>
    <t>029</t>
  </si>
  <si>
    <t>189</t>
  </si>
  <si>
    <t>210</t>
  </si>
  <si>
    <t>066</t>
  </si>
  <si>
    <t>030</t>
  </si>
  <si>
    <t>063</t>
  </si>
  <si>
    <t>132</t>
  </si>
  <si>
    <t>214</t>
  </si>
  <si>
    <t>182</t>
  </si>
  <si>
    <t>115</t>
  </si>
  <si>
    <t>053</t>
  </si>
  <si>
    <t>150</t>
  </si>
  <si>
    <t>221</t>
  </si>
  <si>
    <t>227</t>
  </si>
  <si>
    <t>133</t>
  </si>
  <si>
    <t>131</t>
  </si>
  <si>
    <t>124</t>
  </si>
  <si>
    <t>123</t>
  </si>
  <si>
    <t>049</t>
  </si>
  <si>
    <t>127</t>
  </si>
  <si>
    <t>129</t>
  </si>
  <si>
    <t>125</t>
  </si>
  <si>
    <t>128</t>
  </si>
  <si>
    <t>122</t>
  </si>
  <si>
    <t>048</t>
  </si>
  <si>
    <t>109</t>
  </si>
  <si>
    <t>116</t>
  </si>
  <si>
    <t>100</t>
  </si>
  <si>
    <t>062</t>
  </si>
  <si>
    <t>118</t>
  </si>
  <si>
    <t>052</t>
  </si>
  <si>
    <t>113</t>
  </si>
  <si>
    <t>051</t>
  </si>
  <si>
    <t>15 min</t>
  </si>
  <si>
    <t>1 min</t>
  </si>
  <si>
    <t>30 min</t>
  </si>
  <si>
    <t>45 min</t>
  </si>
  <si>
    <t>1 hr</t>
  </si>
  <si>
    <t>1.5 hr</t>
  </si>
  <si>
    <t>2.0 hr</t>
  </si>
  <si>
    <t>2.5 hr</t>
  </si>
  <si>
    <t>in Milliamps</t>
  </si>
  <si>
    <t>3700 Volts</t>
  </si>
  <si>
    <t>3700 Volt Test</t>
  </si>
  <si>
    <t>Spear 1 Phase Stack SCR Replacement Log</t>
  </si>
  <si>
    <t>Stack SCR Position</t>
  </si>
  <si>
    <t>Low Side Stacks</t>
  </si>
  <si>
    <t>High Side Stacks</t>
  </si>
  <si>
    <t>S2  C-</t>
  </si>
  <si>
    <t>S1 A-</t>
  </si>
  <si>
    <t>Crowbar Stacks removed from Spear 1 on 26 September 2019</t>
  </si>
  <si>
    <t>Cold Tests @ 25 deg. C</t>
  </si>
  <si>
    <t>Individual SCR fwd leakage testing of SCRs removed from Spear 1 RF HVPS on 26 September 2019</t>
  </si>
  <si>
    <t>Crowbar Stacks installed in Spear 1 on 26 September 2019</t>
  </si>
  <si>
    <t>Set 2 from sheet 11</t>
  </si>
  <si>
    <t>Set 1 from sheet 11</t>
  </si>
  <si>
    <t>1.044 mA</t>
  </si>
  <si>
    <t>.980 mA</t>
  </si>
  <si>
    <t>&gt;1.28 mA @ 5KV</t>
  </si>
  <si>
    <t>&gt; 2 mA @ 5KV</t>
  </si>
  <si>
    <t>&gt; 2.4 mA @ 5KV</t>
  </si>
  <si>
    <t>After Last Spear Run</t>
  </si>
  <si>
    <t>Comparison made to fwd leakage value from stack assembly before installation in Spear 1 crowbar tank.</t>
  </si>
  <si>
    <t>Previous Measurement @ 4.2 KV</t>
  </si>
  <si>
    <t>Previous Measurement @ 6.5 KV</t>
  </si>
  <si>
    <t>06T9</t>
  </si>
  <si>
    <t>uA @ 4.2 KV @ 2 mins</t>
  </si>
  <si>
    <t>uA @ 6.5 KV @ 2 mins</t>
  </si>
  <si>
    <t>485.2+</t>
  </si>
  <si>
    <t>1148+</t>
  </si>
  <si>
    <t>770+</t>
  </si>
  <si>
    <t>1681+</t>
  </si>
  <si>
    <t>14T9</t>
  </si>
  <si>
    <t>01T9</t>
  </si>
  <si>
    <t>02T9</t>
  </si>
  <si>
    <t>Unknown</t>
  </si>
  <si>
    <t>22T8</t>
  </si>
  <si>
    <t>57.5+</t>
  </si>
  <si>
    <t>142.4+</t>
  </si>
  <si>
    <t>Set 1 of Spare Crowbar Stacks Made From Stacks Removed From Spear 1 Sept. 26, 2019</t>
  </si>
  <si>
    <t>0.845 mA</t>
  </si>
  <si>
    <t>0.84 mA</t>
  </si>
  <si>
    <t>.842 mA</t>
  </si>
  <si>
    <t>21T9</t>
  </si>
  <si>
    <t>07T9</t>
  </si>
  <si>
    <t>20T9</t>
  </si>
  <si>
    <t>25T8</t>
  </si>
  <si>
    <t>02R4</t>
  </si>
  <si>
    <t>121.5+</t>
  </si>
  <si>
    <t>2158+</t>
  </si>
  <si>
    <t>26.5+</t>
  </si>
  <si>
    <t>5000+</t>
  </si>
  <si>
    <t>356.2+</t>
  </si>
  <si>
    <t>60+</t>
  </si>
  <si>
    <t>SCR Good/Bad</t>
  </si>
  <si>
    <t>Spear 3 RF HVPS Spear 2 Periodic Maintenance Report During July/Aug, 2020 Downtime</t>
  </si>
  <si>
    <t>Phase Tank Snubber Ckts:</t>
  </si>
  <si>
    <t>Resistor = 2200 ohm, 100 watt, +/- 10%</t>
  </si>
  <si>
    <t>Position</t>
  </si>
  <si>
    <t>S1C+</t>
  </si>
  <si>
    <t>S1C-</t>
  </si>
  <si>
    <t>S1B+</t>
  </si>
  <si>
    <t>S1B-</t>
  </si>
  <si>
    <t>S1A+</t>
  </si>
  <si>
    <t>S1A-</t>
  </si>
  <si>
    <t>16.2 nF</t>
  </si>
  <si>
    <t>Capacitor = 15 nF, 30 KV, +/- 15%</t>
  </si>
  <si>
    <t>15.7 nF</t>
  </si>
  <si>
    <t>16.1 nF</t>
  </si>
  <si>
    <t>16.3 nF</t>
  </si>
  <si>
    <t>16.5 nF</t>
  </si>
  <si>
    <t>All measurements made with Fluke 289 DMM</t>
  </si>
  <si>
    <t>2.7881 K ohms</t>
  </si>
  <si>
    <t>2.8073 K ohms</t>
  </si>
  <si>
    <t>2.4511 K ohms</t>
  </si>
  <si>
    <t>2.5623 K ohms</t>
  </si>
  <si>
    <t>2.4977 K ohms</t>
  </si>
  <si>
    <t>2.6739 K ohms</t>
  </si>
  <si>
    <t>Replaced w/ 2.0510 K ohms</t>
  </si>
  <si>
    <t>S2C+</t>
  </si>
  <si>
    <t>S2C-</t>
  </si>
  <si>
    <t>S2B+</t>
  </si>
  <si>
    <t>S2B-</t>
  </si>
  <si>
    <t>S2A+</t>
  </si>
  <si>
    <t>S2A-</t>
  </si>
  <si>
    <t>15.8 nF</t>
  </si>
  <si>
    <t>15.4 nF</t>
  </si>
  <si>
    <t>16.0 nF</t>
  </si>
  <si>
    <t>15.5 nF</t>
  </si>
  <si>
    <t>15.3 nF</t>
  </si>
  <si>
    <t>2.0699 K ohms</t>
  </si>
  <si>
    <t>2.4047 K ohms</t>
  </si>
  <si>
    <t xml:space="preserve">2.8306 K ohms </t>
  </si>
  <si>
    <t>Replaced w/ 2.0775 K ohms</t>
  </si>
  <si>
    <t>2.5274 K ohms</t>
  </si>
  <si>
    <t>2.5596 K ohms</t>
  </si>
  <si>
    <t>2.5068 K ohms</t>
  </si>
  <si>
    <t>Ambient air temp of 74 deg. F</t>
  </si>
  <si>
    <t>Hipot of positive phase stack with cell to cell voltages measured.  31 July 2020</t>
  </si>
  <si>
    <t>1 (top)</t>
  </si>
  <si>
    <t>Volts on top plate</t>
  </si>
  <si>
    <t>Volts on bottom plate</t>
  </si>
  <si>
    <t>Volts difference across SCR</t>
  </si>
  <si>
    <t>Overall stack resistance in SCR fwd bias direction:  24.91 KV/136.51 uA = approx. 182.5 Meg Ohms</t>
  </si>
  <si>
    <t>Note:  hipot set is negative voltage output.</t>
  </si>
  <si>
    <t>2.09 KV</t>
  </si>
  <si>
    <t>SCR ohms (rounded)</t>
  </si>
  <si>
    <t>1.95 KV</t>
  </si>
  <si>
    <t>15.3 Meg Ohms</t>
  </si>
  <si>
    <t>2.04 KV</t>
  </si>
  <si>
    <t>15 Meg Ohms</t>
  </si>
  <si>
    <t>1.93 KV</t>
  </si>
  <si>
    <t>14.1 Meg Ohms</t>
  </si>
  <si>
    <t>1.99 KV</t>
  </si>
  <si>
    <t>14.6 Meg Ohms</t>
  </si>
  <si>
    <t>13.5 Meg Ohms</t>
  </si>
  <si>
    <t>1.84 KV</t>
  </si>
  <si>
    <t>2 KV</t>
  </si>
  <si>
    <t>14.7 Meg ohms</t>
  </si>
  <si>
    <t>15.3  Meg Ohms</t>
  </si>
  <si>
    <t>1.931 KV</t>
  </si>
  <si>
    <t>1.946 KV</t>
  </si>
  <si>
    <t>14.3 Meg Ohms</t>
  </si>
  <si>
    <t>1.98 KV</t>
  </si>
  <si>
    <t>Current through stack @ 24.91KV = 136.51 uA in forward (conducting) direction.  Stack has 13 SCRs.</t>
  </si>
  <si>
    <t>14.5 Meg Ohms</t>
  </si>
  <si>
    <t>9.3 Meg Ohms</t>
  </si>
  <si>
    <t>1.273 KV</t>
  </si>
  <si>
    <t>15.3  M Ohms</t>
  </si>
  <si>
    <t>15.3 M Ohms</t>
  </si>
  <si>
    <t>15 M Ohms</t>
  </si>
  <si>
    <t>14.1 M Ohms</t>
  </si>
  <si>
    <t>14.6 M Ohms</t>
  </si>
  <si>
    <t>13.5 M Ohms</t>
  </si>
  <si>
    <t>14.7 M ohms</t>
  </si>
  <si>
    <t>14.3 M Ohms</t>
  </si>
  <si>
    <t>14.5 M Ohms</t>
  </si>
  <si>
    <t>9.3 M Ohms</t>
  </si>
  <si>
    <t>Conclusion:  12 of 13 SCRs measure right around 15 M Ohms with the exception of SCR 13 (bottom) which is less by appox 5.7 M Ohms or 38% less.</t>
  </si>
  <si>
    <t>Is this indicative of SCR 13 having reduced life?  Will need a larger data set (measuring volt drops across more stacks' SCRs) to make that</t>
  </si>
  <si>
    <t>determination.</t>
  </si>
  <si>
    <t>Inventory of crowbar stacks installed in Spear 2 RF HVPS on Aug. 7, 2020 for PM/Downtime swap.</t>
  </si>
  <si>
    <t>?????????  Not sure if this is correct--SCRs from sheet 10, but no record of stack built with these SCRs.</t>
  </si>
  <si>
    <t>Stack Position</t>
  </si>
  <si>
    <t>Series Current</t>
  </si>
  <si>
    <r>
      <t xml:space="preserve">Volts </t>
    </r>
    <r>
      <rPr>
        <b/>
        <sz val="11"/>
        <color theme="1"/>
        <rFont val="Calibri"/>
        <family val="2"/>
      </rPr>
      <t>Δ</t>
    </r>
    <r>
      <rPr>
        <b/>
        <sz val="11"/>
        <color theme="1"/>
        <rFont val="Calibri"/>
        <family val="2"/>
        <scheme val="minor"/>
      </rPr>
      <t xml:space="preserve"> across SCR</t>
    </r>
  </si>
  <si>
    <t>Current measured in SCR fwd (conducting) direction.</t>
  </si>
  <si>
    <t xml:space="preserve">S1 A - </t>
  </si>
  <si>
    <t>Volts on top plate KV</t>
  </si>
  <si>
    <t>Volts on bottom plate KV</t>
  </si>
  <si>
    <t>Series Current A</t>
  </si>
  <si>
    <t xml:space="preserve">SCR ohms </t>
  </si>
  <si>
    <t>Series Current (A)</t>
  </si>
  <si>
    <t>Stack Removed from Spear 2 Phase Tank July 23, 2020</t>
  </si>
  <si>
    <t>14.8 uA</t>
  </si>
  <si>
    <t>136.51 uA</t>
  </si>
  <si>
    <t>PEP II 8-5 Pos.</t>
  </si>
  <si>
    <t>Gate Trigger Boards Attached!</t>
  </si>
  <si>
    <t>Gate Trigger Boards Off.</t>
  </si>
  <si>
    <t>Spear 2</t>
  </si>
  <si>
    <r>
      <t xml:space="preserve">Test Performed Aug 16, 2020.  </t>
    </r>
    <r>
      <rPr>
        <b/>
        <sz val="14"/>
        <color rgb="FFFF0000"/>
        <rFont val="Calibri"/>
        <family val="2"/>
        <scheme val="minor"/>
      </rPr>
      <t>Trigger boards removed.</t>
    </r>
  </si>
  <si>
    <r>
      <t xml:space="preserve">Test Performed Aug 18, 2020.  </t>
    </r>
    <r>
      <rPr>
        <b/>
        <sz val="14"/>
        <color rgb="FFFF0000"/>
        <rFont val="Calibri"/>
        <family val="2"/>
        <scheme val="minor"/>
      </rPr>
      <t>Trigger boards installed.</t>
    </r>
  </si>
  <si>
    <t xml:space="preserve"> Ohms Rounded M Ohms</t>
  </si>
  <si>
    <t xml:space="preserve">SCR Ohms </t>
  </si>
  <si>
    <t>S2 C- w/ no trigger boards</t>
  </si>
  <si>
    <t>S2 C- without trigger boards</t>
  </si>
  <si>
    <t>Series Current (Amps)</t>
  </si>
  <si>
    <t>SCR ohms</t>
  </si>
  <si>
    <t>SCR Ohms Rounded M Ohms</t>
  </si>
  <si>
    <t>Stack #</t>
  </si>
  <si>
    <t>V applied to stack:  25312 Volts DC</t>
  </si>
  <si>
    <t>Stack Series I = 37.6 uA</t>
  </si>
  <si>
    <t>Left SCR in until next PM maintenance cycle.</t>
  </si>
  <si>
    <t>PEP 2: 8-5</t>
  </si>
  <si>
    <t>Pos Stack</t>
  </si>
  <si>
    <t>V applied to stack:  25402 Volts DC</t>
  </si>
  <si>
    <t>Stack Series I = 14.4 uA</t>
  </si>
  <si>
    <t>2073 Volts DC</t>
  </si>
  <si>
    <t>2353 Volts DC</t>
  </si>
  <si>
    <t>New Batch</t>
  </si>
  <si>
    <t>PEP 2, 8-5</t>
  </si>
  <si>
    <t>Neg Stack</t>
  </si>
  <si>
    <t>Short</t>
  </si>
  <si>
    <t>V applied to stack:  25602 Volts DC</t>
  </si>
  <si>
    <t>Stack Series I = 24.2 uA</t>
  </si>
  <si>
    <t>Boards On</t>
  </si>
  <si>
    <t xml:space="preserve">Stack fwd volts droppage measured with gate drive boards on due to </t>
  </si>
  <si>
    <t>stack being repaired/refurbished prior to stage-stage testing.</t>
  </si>
  <si>
    <t>No 14th stage.</t>
  </si>
  <si>
    <t>Stage 14 removed due to original stack assembly error.</t>
  </si>
  <si>
    <t>Hipot of phase stacks with cell to cell voltages measured.  All 12 stacks removed from Spear 2 RF HVPS July 23, 2020 during SPEAR downtime and from PEP 2, 8-5 July 17, 2020.</t>
  </si>
  <si>
    <t>V applied to stack:  25401 volts DC</t>
  </si>
  <si>
    <t>Stack Series I =  29.7 uA</t>
  </si>
  <si>
    <t>Top Plate</t>
  </si>
  <si>
    <t>Bottom Plate</t>
  </si>
  <si>
    <t>Stack</t>
  </si>
  <si>
    <t>Gate Drive Triggers</t>
  </si>
  <si>
    <t>Test Voltage KV</t>
  </si>
  <si>
    <t>Series Current uA</t>
  </si>
  <si>
    <t>Stack Ohms</t>
  </si>
  <si>
    <t>Over Volts Test KV</t>
  </si>
  <si>
    <t>Stage 9 SCR shorted.</t>
  </si>
  <si>
    <t>Stage 10 SCR shorted.</t>
  </si>
  <si>
    <t>2 board diodes stage 11.</t>
  </si>
  <si>
    <t>Stage 6 SCR shorted.</t>
  </si>
  <si>
    <t>Spear 2 Phase Stack Tests Due to Spear 2 Failure on Sept. 2, 2020</t>
  </si>
  <si>
    <t>Klystron Replacement:  Marconi failed; Phillips/SLAC klystron installed in building 132, Spear ring.</t>
  </si>
  <si>
    <t xml:space="preserve">None </t>
  </si>
  <si>
    <t>None</t>
  </si>
  <si>
    <r>
      <t xml:space="preserve">Failed Parts (Visual) </t>
    </r>
    <r>
      <rPr>
        <b/>
        <sz val="12"/>
        <color rgb="FFFF0000"/>
        <rFont val="Calibri"/>
        <family val="2"/>
        <scheme val="minor"/>
      </rPr>
      <t>*</t>
    </r>
  </si>
  <si>
    <t>*</t>
  </si>
  <si>
    <t>Stack Ohms Rounded</t>
  </si>
  <si>
    <t>Meg Ohms</t>
  </si>
  <si>
    <t>S/N 100</t>
  </si>
  <si>
    <t>V applied to stack:  25440 volts DC</t>
  </si>
  <si>
    <t>Stack Series I =  9.4 uA</t>
  </si>
  <si>
    <t>S/N 101</t>
  </si>
  <si>
    <t>V applied to stack:  25540 volts DC</t>
  </si>
  <si>
    <t>Stack Series I =  129.2 uA</t>
  </si>
  <si>
    <t>S/N 113</t>
  </si>
  <si>
    <t>S/N 115</t>
  </si>
  <si>
    <t>S/N 117</t>
  </si>
  <si>
    <t>S/N 119</t>
  </si>
  <si>
    <t>S/N 114</t>
  </si>
  <si>
    <t>S/N 118</t>
  </si>
  <si>
    <t>S/N 116</t>
  </si>
  <si>
    <t>S/N 104</t>
  </si>
  <si>
    <t>S/N 103</t>
  </si>
  <si>
    <t>S/N 105</t>
  </si>
  <si>
    <t>S/N 106</t>
  </si>
  <si>
    <t>S/N 107</t>
  </si>
  <si>
    <t>S/N 108</t>
  </si>
  <si>
    <t>S/N 109</t>
  </si>
  <si>
    <t>V applied to stack:  25600</t>
  </si>
  <si>
    <t>I = .0000193</t>
  </si>
  <si>
    <t>V applied to stack:  25511</t>
  </si>
  <si>
    <t>I = .0000492</t>
  </si>
  <si>
    <t>S/N 112</t>
  </si>
  <si>
    <t>V applied to stack:  25690</t>
  </si>
  <si>
    <t>I = .0000282</t>
  </si>
  <si>
    <t>V applied to stack:  25890</t>
  </si>
  <si>
    <t>I = .0000217</t>
  </si>
  <si>
    <t>V applied to stack:  25540</t>
  </si>
  <si>
    <t>I = .0000387</t>
  </si>
  <si>
    <t>PEP2, 8-5</t>
  </si>
  <si>
    <t>S/N 110</t>
  </si>
  <si>
    <t>S/N 111</t>
  </si>
  <si>
    <t>I = .0000135</t>
  </si>
  <si>
    <t>V applied to stack:  26150</t>
  </si>
  <si>
    <t>V applied to stack:  25760</t>
  </si>
  <si>
    <t>I = .0000298</t>
  </si>
  <si>
    <t>V applied to stack:  26.0</t>
  </si>
  <si>
    <t>I = .0000518</t>
  </si>
  <si>
    <t>Volts on Top Plate</t>
  </si>
  <si>
    <t>Volts on Bottom Plate</t>
  </si>
  <si>
    <t>∆ Volts</t>
  </si>
  <si>
    <t>Hi + Lo Volts Triggering</t>
  </si>
  <si>
    <t>Crowbar Stack Tests of Spear Crowbar Stacks Removed From Spear 2 RF HVPS on 6 August, 2020</t>
  </si>
  <si>
    <t>Series I @ 25 KVDC</t>
  </si>
  <si>
    <t>I @ 5 KVDC</t>
  </si>
  <si>
    <t>Crowbar Stack Tests of Repaired Spear Crowbar Stacks Removed From Spear 2 RF HVPS on 6 August, 2020</t>
  </si>
  <si>
    <t>SF Volts</t>
  </si>
  <si>
    <t>1.437+</t>
  </si>
  <si>
    <t>43.4 KV</t>
  </si>
  <si>
    <t>42.6 KV</t>
  </si>
  <si>
    <t>41 KV</t>
  </si>
  <si>
    <t>44.4 KV</t>
  </si>
  <si>
    <t>1.220+</t>
  </si>
  <si>
    <t>1.852+</t>
  </si>
  <si>
    <t>1.271+</t>
  </si>
  <si>
    <t>Replacement Ser #/DC</t>
  </si>
  <si>
    <t>5315/20T9</t>
  </si>
  <si>
    <t>Bad SCR S/N Removed</t>
  </si>
  <si>
    <t>41.6 KV</t>
  </si>
  <si>
    <t>42.8 KV</t>
  </si>
  <si>
    <t>5388/21T9</t>
  </si>
  <si>
    <t>3359/No DC</t>
  </si>
  <si>
    <t>5653/10S5</t>
  </si>
  <si>
    <t>5316/20T9</t>
  </si>
  <si>
    <t>3360/10S5</t>
  </si>
  <si>
    <t>43 KV</t>
  </si>
  <si>
    <t>5312/20T9</t>
  </si>
  <si>
    <t>2874/13R8</t>
  </si>
  <si>
    <t>S/N 122</t>
  </si>
  <si>
    <t>Shop Stack</t>
  </si>
  <si>
    <t>S/N 124</t>
  </si>
  <si>
    <t>S/N 123</t>
  </si>
  <si>
    <t>V applied to stack:  25.840</t>
  </si>
  <si>
    <t>I = .0000294</t>
  </si>
  <si>
    <t>MOV Bad!</t>
  </si>
  <si>
    <t xml:space="preserve">Replaced SCRs with previously used spare. </t>
  </si>
  <si>
    <t>V applied to stack:  25.730</t>
  </si>
  <si>
    <t>I = .0000101</t>
  </si>
  <si>
    <t xml:space="preserve">Replaced MOV + SCR with previously used spare. </t>
  </si>
  <si>
    <t>S/N 102</t>
  </si>
  <si>
    <t>Spear 1 RF HVPS Phase Control Stack Tests and Repairs, August 17,  2022</t>
  </si>
  <si>
    <t>23.9 uA</t>
  </si>
  <si>
    <t>13 stage stack.</t>
  </si>
  <si>
    <t>Repairs</t>
  </si>
  <si>
    <t>20.4 uA</t>
  </si>
  <si>
    <t>26.6 uA</t>
  </si>
  <si>
    <t>Replaced twelve Z40 diodes with Z50 diodes on gate drive boards.</t>
  </si>
  <si>
    <t>No Repairs</t>
  </si>
  <si>
    <t>13.1 uA</t>
  </si>
  <si>
    <t>8.2 uA</t>
  </si>
  <si>
    <t>Replaced one 2500 volt MOV in stage 10.</t>
  </si>
  <si>
    <t>43.2 uA</t>
  </si>
  <si>
    <t>10.7 uA</t>
  </si>
  <si>
    <t>955 uA</t>
  </si>
  <si>
    <t>17 (Short)</t>
  </si>
  <si>
    <t>0 (Short)</t>
  </si>
  <si>
    <t>Replaced 14 Z40 diodes with Z50 diodes on gate drive boards.</t>
  </si>
  <si>
    <t>Replaced three 2500 volt MOVs and 3 SCRs in shorted cells.</t>
  </si>
  <si>
    <t>99.7 uA</t>
  </si>
  <si>
    <t>Boards on.</t>
  </si>
  <si>
    <t>35.8 uA</t>
  </si>
  <si>
    <t>21.6 uA</t>
  </si>
  <si>
    <t>Replaced 1 D54 3 amp diode on gate drive board.</t>
  </si>
  <si>
    <t>Replaced four 2500 volt MOVs.</t>
  </si>
  <si>
    <t>43.7 uA</t>
  </si>
  <si>
    <t>24.8 uA</t>
  </si>
  <si>
    <t>41.3 uA</t>
  </si>
  <si>
    <t>Replaced two 2500 volt MOVs.</t>
  </si>
  <si>
    <t>19.3 uA</t>
  </si>
  <si>
    <t xml:space="preserve">Replaced five 2500 volt MOVs and 1 SCR in stage 5.  </t>
  </si>
  <si>
    <t>Replaced four 2500 volt MOVs in stages 5,6, 11, and 12.  Replaced 2 SCRs in stages 5 + 11.</t>
  </si>
  <si>
    <t>S/N 120</t>
  </si>
  <si>
    <t>22.8 uA</t>
  </si>
  <si>
    <t>10.6 uA</t>
  </si>
  <si>
    <t>S/N 121</t>
  </si>
  <si>
    <t>15.7 uA</t>
  </si>
  <si>
    <t>Replaced three 2500 volt MOVs.</t>
  </si>
  <si>
    <t>31.6 uA</t>
  </si>
  <si>
    <t>Replaced 3 Z40 diodes with Z50 diodes on gate drive boards.</t>
  </si>
  <si>
    <t>21.5 uA</t>
  </si>
  <si>
    <t>Resistance</t>
  </si>
  <si>
    <t>31.6e-6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</si>
</sst>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5"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b/>
      <sz val="18"/>
      <color theme="1"/>
      <name val="Calibri"/>
      <family val="2"/>
      <scheme val="minor"/>
    </font>
    <font>
      <sz val="11"/>
      <color theme="1"/>
      <name val="Calibri"/>
      <family val="2"/>
      <scheme val="minor"/>
    </font>
    <font>
      <sz val="11"/>
      <name val="Calibri"/>
      <family val="2"/>
      <scheme val="minor"/>
    </font>
    <font>
      <b/>
      <u/>
      <sz val="11"/>
      <color theme="1"/>
      <name val="Calibri"/>
      <family val="2"/>
      <scheme val="minor"/>
    </font>
    <font>
      <u/>
      <sz val="11"/>
      <color theme="1"/>
      <name val="Calibri"/>
      <family val="2"/>
      <scheme val="minor"/>
    </font>
    <font>
      <sz val="14"/>
      <color theme="1"/>
      <name val="Calibri"/>
      <family val="2"/>
      <scheme val="minor"/>
    </font>
    <font>
      <sz val="14"/>
      <color rgb="FFFF0000"/>
      <name val="Calibri"/>
      <family val="2"/>
      <scheme val="minor"/>
    </font>
    <font>
      <sz val="14"/>
      <name val="Calibri"/>
      <family val="2"/>
      <scheme val="minor"/>
    </font>
    <font>
      <sz val="20"/>
      <color theme="1"/>
      <name val="Calibri"/>
      <family val="2"/>
      <scheme val="minor"/>
    </font>
    <font>
      <b/>
      <sz val="8"/>
      <color theme="1"/>
      <name val="Calibri"/>
      <family val="2"/>
      <scheme val="minor"/>
    </font>
    <font>
      <sz val="18"/>
      <color theme="1"/>
      <name val="Calibri"/>
      <family val="2"/>
      <scheme val="minor"/>
    </font>
    <font>
      <b/>
      <sz val="16"/>
      <color theme="1"/>
      <name val="Calibri"/>
      <family val="2"/>
      <scheme val="minor"/>
    </font>
    <font>
      <u/>
      <sz val="11"/>
      <color theme="10"/>
      <name val="Calibri"/>
      <family val="2"/>
      <scheme val="minor"/>
    </font>
    <font>
      <b/>
      <sz val="11"/>
      <name val="Calibri"/>
      <family val="2"/>
      <scheme val="minor"/>
    </font>
    <font>
      <b/>
      <sz val="11"/>
      <color rgb="FFFF0000"/>
      <name val="Calibri"/>
      <family val="2"/>
      <scheme val="minor"/>
    </font>
    <font>
      <b/>
      <sz val="11"/>
      <color theme="3"/>
      <name val="Calibri"/>
      <family val="2"/>
      <scheme val="minor"/>
    </font>
    <font>
      <sz val="16"/>
      <color theme="1"/>
      <name val="Calibri"/>
      <family val="2"/>
      <scheme val="minor"/>
    </font>
    <font>
      <b/>
      <sz val="16"/>
      <color rgb="FF00B050"/>
      <name val="Calibri"/>
      <family val="2"/>
      <scheme val="minor"/>
    </font>
    <font>
      <b/>
      <sz val="11"/>
      <color rgb="FF00B050"/>
      <name val="Calibri"/>
      <family val="2"/>
      <scheme val="minor"/>
    </font>
    <font>
      <b/>
      <sz val="14"/>
      <color rgb="FF00B050"/>
      <name val="Calibri"/>
      <family val="2"/>
      <scheme val="minor"/>
    </font>
    <font>
      <b/>
      <sz val="11"/>
      <color theme="1"/>
      <name val="Calibri"/>
      <family val="2"/>
    </font>
    <font>
      <b/>
      <sz val="14"/>
      <color rgb="FFFF0000"/>
      <name val="Calibri"/>
      <family val="2"/>
      <scheme val="minor"/>
    </font>
    <font>
      <b/>
      <sz val="12"/>
      <color rgb="FFFF0000"/>
      <name val="Calibri"/>
      <family val="2"/>
      <scheme val="minor"/>
    </font>
    <font>
      <b/>
      <sz val="11"/>
      <name val="Calibri"/>
      <family val="2"/>
    </font>
    <font>
      <b/>
      <sz val="11"/>
      <color rgb="FF9C6500"/>
      <name val="Calibri"/>
      <family val="2"/>
      <scheme val="minor"/>
    </font>
    <font>
      <b/>
      <sz val="11"/>
      <color rgb="FF9C0006"/>
      <name val="Calibri"/>
      <family val="2"/>
      <scheme val="minor"/>
    </font>
    <font>
      <b/>
      <sz val="11"/>
      <color rgb="FF006100"/>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92D050"/>
        <bgColor indexed="64"/>
      </patternFill>
    </fill>
    <fill>
      <patternFill patternType="solid">
        <fgColor theme="6"/>
        <bgColor indexed="64"/>
      </patternFill>
    </fill>
    <fill>
      <patternFill patternType="solid">
        <fgColor rgb="FF00B050"/>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9" fillId="5" borderId="15" applyNumberFormat="0" applyFont="0" applyAlignment="0" applyProtection="0"/>
    <xf numFmtId="0" fontId="20" fillId="0" borderId="0" applyNumberFormat="0" applyFill="0" applyBorder="0" applyAlignment="0" applyProtection="0"/>
  </cellStyleXfs>
  <cellXfs count="271">
    <xf numFmtId="0" fontId="0" fillId="0" borderId="0" xfId="0"/>
    <xf numFmtId="0" fontId="0" fillId="0" borderId="0" xfId="0" applyAlignment="1">
      <alignment horizontal="center"/>
    </xf>
    <xf numFmtId="0" fontId="4" fillId="0" borderId="0" xfId="0" applyFont="1" applyAlignment="1">
      <alignment horizontal="center"/>
    </xf>
    <xf numFmtId="15" fontId="0" fillId="0" borderId="0" xfId="0" applyNumberFormat="1" applyAlignment="1">
      <alignment horizontal="center"/>
    </xf>
    <xf numFmtId="0" fontId="0" fillId="0" borderId="0" xfId="0" applyAlignment="1">
      <alignment horizontal="center" wrapText="1"/>
    </xf>
    <xf numFmtId="0" fontId="2" fillId="3" borderId="0" xfId="2" applyAlignment="1">
      <alignment horizontal="center"/>
    </xf>
    <xf numFmtId="0" fontId="0" fillId="0" borderId="0" xfId="0" applyAlignment="1">
      <alignment horizontal="left" vertical="center"/>
    </xf>
    <xf numFmtId="15" fontId="0" fillId="0" borderId="0" xfId="0" applyNumberFormat="1" applyAlignment="1">
      <alignment horizontal="center" wrapText="1"/>
    </xf>
    <xf numFmtId="0" fontId="1" fillId="2" borderId="0" xfId="1" applyAlignment="1">
      <alignment horizontal="center"/>
    </xf>
    <xf numFmtId="0" fontId="3" fillId="4" borderId="0" xfId="3" applyAlignment="1">
      <alignment horizontal="center"/>
    </xf>
    <xf numFmtId="0" fontId="0" fillId="0" borderId="1" xfId="0" applyBorder="1" applyAlignment="1">
      <alignment horizontal="center" wrapText="1"/>
    </xf>
    <xf numFmtId="0" fontId="1" fillId="2" borderId="2" xfId="1" applyBorder="1" applyAlignment="1">
      <alignment horizontal="center"/>
    </xf>
    <xf numFmtId="0" fontId="1" fillId="2" borderId="3" xfId="1" applyBorder="1" applyAlignment="1">
      <alignment horizontal="center"/>
    </xf>
    <xf numFmtId="0" fontId="1" fillId="2" borderId="4" xfId="1" applyBorder="1" applyAlignment="1">
      <alignment horizontal="center"/>
    </xf>
    <xf numFmtId="0" fontId="1" fillId="2" borderId="5" xfId="1" applyBorder="1" applyAlignment="1">
      <alignment horizontal="center"/>
    </xf>
    <xf numFmtId="0" fontId="2" fillId="3" borderId="0" xfId="2" applyAlignment="1">
      <alignment horizontal="center" wrapText="1"/>
    </xf>
    <xf numFmtId="0" fontId="2" fillId="3" borderId="0" xfId="2" applyAlignment="1">
      <alignment horizontal="center" vertical="center" wrapText="1"/>
    </xf>
    <xf numFmtId="0" fontId="0" fillId="0" borderId="1" xfId="0" applyBorder="1" applyAlignment="1">
      <alignment horizontal="center" vertical="top" wrapText="1"/>
    </xf>
    <xf numFmtId="0" fontId="0" fillId="0" borderId="0" xfId="0" applyAlignment="1">
      <alignment horizontal="center" vertical="center"/>
    </xf>
    <xf numFmtId="0" fontId="5"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15" fontId="5" fillId="0" borderId="0" xfId="0" applyNumberFormat="1" applyFont="1" applyAlignment="1">
      <alignment horizontal="center" vertical="center"/>
    </xf>
    <xf numFmtId="0" fontId="6" fillId="0" borderId="6" xfId="0" applyFont="1" applyBorder="1" applyAlignment="1">
      <alignment horizontal="center" vertical="center"/>
    </xf>
    <xf numFmtId="0" fontId="5" fillId="0" borderId="6" xfId="0" applyFont="1" applyBorder="1" applyAlignment="1">
      <alignment horizontal="center" vertical="center"/>
    </xf>
    <xf numFmtId="0" fontId="0" fillId="0" borderId="6" xfId="0" applyBorder="1"/>
    <xf numFmtId="0" fontId="0" fillId="0" borderId="6" xfId="0" applyBorder="1" applyAlignment="1">
      <alignment horizontal="center" vertical="center"/>
    </xf>
    <xf numFmtId="0" fontId="2" fillId="3" borderId="6" xfId="2" applyBorder="1" applyAlignment="1">
      <alignment horizontal="center" vertical="center"/>
    </xf>
    <xf numFmtId="0" fontId="0" fillId="0" borderId="8" xfId="0" applyBorder="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3" xfId="0" applyBorder="1" applyAlignment="1">
      <alignment horizontal="center" vertical="center"/>
    </xf>
    <xf numFmtId="0" fontId="0" fillId="0" borderId="14" xfId="0"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0" borderId="6" xfId="0" applyFont="1" applyBorder="1" applyAlignment="1">
      <alignment horizontal="center" vertical="center"/>
    </xf>
    <xf numFmtId="0" fontId="7" fillId="0" borderId="0" xfId="0" applyFont="1"/>
    <xf numFmtId="15" fontId="7" fillId="0" borderId="0" xfId="0" applyNumberFormat="1" applyFont="1"/>
    <xf numFmtId="0" fontId="3" fillId="4" borderId="6" xfId="3" applyBorder="1" applyAlignment="1">
      <alignment horizontal="center" vertical="center"/>
    </xf>
    <xf numFmtId="0" fontId="8" fillId="0" borderId="0" xfId="0" applyFont="1"/>
    <xf numFmtId="15" fontId="0" fillId="0" borderId="0" xfId="0" applyNumberFormat="1" applyAlignment="1">
      <alignment horizontal="center" vertical="center"/>
    </xf>
    <xf numFmtId="0" fontId="4" fillId="0" borderId="0" xfId="0" applyFont="1"/>
    <xf numFmtId="0" fontId="0" fillId="0" borderId="0" xfId="0" applyAlignment="1">
      <alignment horizontal="left" vertical="top"/>
    </xf>
    <xf numFmtId="0" fontId="0" fillId="0" borderId="6" xfId="0" applyBorder="1" applyAlignment="1">
      <alignment horizontal="center"/>
    </xf>
    <xf numFmtId="0" fontId="5" fillId="0" borderId="0" xfId="0" applyFont="1" applyAlignment="1">
      <alignment horizontal="left" vertical="center"/>
    </xf>
    <xf numFmtId="49" fontId="0" fillId="0" borderId="0" xfId="0" applyNumberFormat="1" applyAlignment="1">
      <alignment horizontal="center" vertical="center"/>
    </xf>
    <xf numFmtId="49" fontId="7" fillId="0" borderId="0" xfId="0" applyNumberFormat="1" applyFont="1"/>
    <xf numFmtId="49" fontId="0" fillId="0" borderId="0" xfId="0" applyNumberFormat="1"/>
    <xf numFmtId="49" fontId="5" fillId="0" borderId="0" xfId="0" applyNumberFormat="1" applyFont="1" applyAlignment="1">
      <alignment horizontal="center" vertical="center"/>
    </xf>
    <xf numFmtId="49" fontId="0" fillId="0" borderId="6" xfId="0" applyNumberFormat="1" applyBorder="1" applyAlignment="1">
      <alignment horizontal="center" vertical="center"/>
    </xf>
    <xf numFmtId="0" fontId="5" fillId="0" borderId="6" xfId="0" applyFont="1" applyBorder="1" applyAlignment="1">
      <alignment horizontal="left" vertical="center"/>
    </xf>
    <xf numFmtId="15" fontId="0" fillId="0" borderId="6" xfId="0" applyNumberFormat="1" applyBorder="1" applyAlignment="1">
      <alignment horizontal="center" vertical="center"/>
    </xf>
    <xf numFmtId="0" fontId="3" fillId="4" borderId="6" xfId="3"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10" fillId="6" borderId="15" xfId="4" applyFont="1" applyFill="1" applyAlignment="1">
      <alignment horizontal="center" vertical="center"/>
    </xf>
    <xf numFmtId="0" fontId="5" fillId="6" borderId="6" xfId="0" applyFont="1" applyFill="1" applyBorder="1" applyAlignment="1">
      <alignment horizontal="center" vertical="center"/>
    </xf>
    <xf numFmtId="0" fontId="11" fillId="0" borderId="0" xfId="0" applyFont="1"/>
    <xf numFmtId="0" fontId="12" fillId="0" borderId="0" xfId="0" applyFont="1"/>
    <xf numFmtId="0" fontId="10" fillId="6" borderId="6" xfId="0" applyFont="1" applyFill="1" applyBorder="1" applyAlignment="1">
      <alignment horizontal="center" vertical="center"/>
    </xf>
    <xf numFmtId="0" fontId="10" fillId="6" borderId="6" xfId="2" applyFont="1" applyFill="1" applyBorder="1" applyAlignment="1">
      <alignment horizontal="center" vertical="center"/>
    </xf>
    <xf numFmtId="0" fontId="0" fillId="0" borderId="0" xfId="0" applyAlignment="1">
      <alignment horizontal="left"/>
    </xf>
    <xf numFmtId="15" fontId="0" fillId="0" borderId="0" xfId="0" applyNumberFormat="1" applyAlignment="1">
      <alignment horizontal="left" vertical="center"/>
    </xf>
    <xf numFmtId="0" fontId="6" fillId="0" borderId="0" xfId="0" applyFont="1" applyAlignment="1">
      <alignment horizontal="left" vertical="center"/>
    </xf>
    <xf numFmtId="0" fontId="6" fillId="0" borderId="0" xfId="0" applyFont="1"/>
    <xf numFmtId="0" fontId="4" fillId="0" borderId="6" xfId="0" applyFont="1" applyBorder="1" applyAlignment="1">
      <alignment horizontal="center"/>
    </xf>
    <xf numFmtId="0" fontId="6" fillId="0" borderId="6" xfId="0" applyFont="1" applyBorder="1" applyAlignment="1">
      <alignment horizontal="center"/>
    </xf>
    <xf numFmtId="0" fontId="4" fillId="0" borderId="0" xfId="0" applyFont="1" applyAlignment="1">
      <alignment horizontal="center" vertical="center"/>
    </xf>
    <xf numFmtId="0" fontId="6" fillId="0" borderId="0" xfId="0" applyFont="1" applyAlignment="1">
      <alignment horizontal="center"/>
    </xf>
    <xf numFmtId="0" fontId="6" fillId="0" borderId="6" xfId="0" applyFont="1" applyBorder="1"/>
    <xf numFmtId="0" fontId="13" fillId="0" borderId="0" xfId="0" applyFont="1"/>
    <xf numFmtId="0" fontId="7" fillId="0" borderId="0" xfId="0" applyFont="1" applyAlignment="1">
      <alignment horizontal="left" vertical="center"/>
    </xf>
    <xf numFmtId="0" fontId="7" fillId="0" borderId="0" xfId="0" applyFont="1" applyAlignment="1">
      <alignment vertical="center"/>
    </xf>
    <xf numFmtId="0" fontId="13" fillId="0" borderId="0" xfId="0" applyFont="1" applyAlignment="1">
      <alignment vertical="center"/>
    </xf>
    <xf numFmtId="0" fontId="13" fillId="0" borderId="0" xfId="0" applyFont="1" applyAlignment="1">
      <alignment horizontal="left" vertical="center"/>
    </xf>
    <xf numFmtId="0" fontId="14" fillId="0" borderId="0" xfId="0" applyFont="1"/>
    <xf numFmtId="0" fontId="15" fillId="0" borderId="0" xfId="0" applyFont="1"/>
    <xf numFmtId="0" fontId="2" fillId="3" borderId="6" xfId="2" applyBorder="1" applyAlignment="1">
      <alignment horizontal="center"/>
    </xf>
    <xf numFmtId="0" fontId="6" fillId="5" borderId="15" xfId="4" applyFont="1" applyAlignment="1">
      <alignment horizontal="center"/>
    </xf>
    <xf numFmtId="0" fontId="10" fillId="5" borderId="15" xfId="4" applyFont="1" applyAlignment="1">
      <alignment horizontal="center"/>
    </xf>
    <xf numFmtId="0" fontId="6" fillId="0" borderId="16" xfId="0" applyFont="1" applyBorder="1" applyAlignment="1">
      <alignment horizontal="center"/>
    </xf>
    <xf numFmtId="0" fontId="16" fillId="0" borderId="0" xfId="0" applyFont="1"/>
    <xf numFmtId="0" fontId="0" fillId="7" borderId="0" xfId="0" applyFill="1" applyAlignment="1">
      <alignment horizontal="center" vertical="center"/>
    </xf>
    <xf numFmtId="0" fontId="0" fillId="7" borderId="0" xfId="0" applyFill="1"/>
    <xf numFmtId="0" fontId="5" fillId="7" borderId="0" xfId="0" applyFont="1" applyFill="1" applyAlignment="1">
      <alignment horizontal="center" vertical="center"/>
    </xf>
    <xf numFmtId="0" fontId="2" fillId="7" borderId="0" xfId="2" applyFill="1" applyAlignment="1">
      <alignment horizontal="center" vertical="center"/>
    </xf>
    <xf numFmtId="0" fontId="2" fillId="7" borderId="0" xfId="2" applyFill="1"/>
    <xf numFmtId="0" fontId="5" fillId="7" borderId="0" xfId="2" applyFont="1" applyFill="1" applyAlignment="1">
      <alignment horizontal="center" vertical="center"/>
    </xf>
    <xf numFmtId="0" fontId="5" fillId="0" borderId="6" xfId="0" applyFont="1" applyBorder="1" applyAlignment="1">
      <alignment horizontal="center"/>
    </xf>
    <xf numFmtId="0" fontId="17" fillId="0" borderId="6" xfId="0" applyFont="1" applyBorder="1" applyAlignment="1">
      <alignment horizontal="center" vertical="center"/>
    </xf>
    <xf numFmtId="0" fontId="18" fillId="0" borderId="0" xfId="0" applyFont="1"/>
    <xf numFmtId="0" fontId="19" fillId="0" borderId="0" xfId="0" applyFont="1"/>
    <xf numFmtId="0" fontId="5" fillId="0" borderId="17"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2" fontId="0" fillId="0" borderId="0" xfId="0" applyNumberFormat="1"/>
    <xf numFmtId="2" fontId="5" fillId="0" borderId="0" xfId="0" applyNumberFormat="1" applyFont="1" applyAlignment="1">
      <alignment horizontal="center" vertical="center"/>
    </xf>
    <xf numFmtId="2" fontId="5" fillId="0" borderId="6" xfId="0" applyNumberFormat="1" applyFont="1" applyBorder="1" applyAlignment="1">
      <alignment horizontal="center" vertical="center"/>
    </xf>
    <xf numFmtId="0" fontId="5" fillId="0" borderId="18" xfId="0" applyFont="1" applyBorder="1" applyAlignment="1">
      <alignment horizontal="center" vertical="center"/>
    </xf>
    <xf numFmtId="2" fontId="21" fillId="0" borderId="18" xfId="5" applyNumberFormat="1" applyFont="1" applyFill="1" applyBorder="1" applyAlignment="1">
      <alignment horizontal="center" vertical="center"/>
    </xf>
    <xf numFmtId="0" fontId="5" fillId="0" borderId="23" xfId="0" applyFont="1" applyBorder="1" applyAlignment="1">
      <alignment horizontal="center" vertical="center"/>
    </xf>
    <xf numFmtId="2" fontId="5" fillId="0" borderId="23" xfId="0" applyNumberFormat="1" applyFont="1" applyBorder="1" applyAlignment="1">
      <alignment horizontal="center" vertical="center"/>
    </xf>
    <xf numFmtId="0" fontId="8" fillId="0" borderId="0" xfId="0" applyFont="1" applyAlignment="1">
      <alignment horizontal="left"/>
    </xf>
    <xf numFmtId="2" fontId="8" fillId="0" borderId="0" xfId="0" applyNumberFormat="1" applyFont="1" applyAlignment="1">
      <alignment horizontal="left"/>
    </xf>
    <xf numFmtId="2" fontId="4" fillId="0" borderId="0" xfId="0" applyNumberFormat="1" applyFont="1" applyAlignment="1">
      <alignment horizontal="left" vertical="center"/>
    </xf>
    <xf numFmtId="2" fontId="4" fillId="0" borderId="0" xfId="0" applyNumberFormat="1" applyFont="1" applyAlignment="1">
      <alignment horizontal="left"/>
    </xf>
    <xf numFmtId="2" fontId="5" fillId="0" borderId="18" xfId="0" applyNumberFormat="1" applyFont="1" applyBorder="1" applyAlignment="1">
      <alignment horizontal="center" vertical="center"/>
    </xf>
    <xf numFmtId="2" fontId="5" fillId="0" borderId="19" xfId="0" applyNumberFormat="1" applyFont="1" applyBorder="1" applyAlignment="1">
      <alignment horizontal="center" vertical="center"/>
    </xf>
    <xf numFmtId="2" fontId="5" fillId="0" borderId="21" xfId="0" applyNumberFormat="1" applyFont="1" applyBorder="1" applyAlignment="1">
      <alignment horizontal="center" vertical="center"/>
    </xf>
    <xf numFmtId="2" fontId="5" fillId="0" borderId="24" xfId="0" applyNumberFormat="1" applyFont="1" applyBorder="1" applyAlignment="1">
      <alignment horizontal="center" vertical="center"/>
    </xf>
    <xf numFmtId="49" fontId="8" fillId="0" borderId="0" xfId="0" applyNumberFormat="1" applyFont="1" applyAlignment="1">
      <alignment horizontal="left"/>
    </xf>
    <xf numFmtId="49" fontId="4" fillId="0" borderId="0" xfId="0" applyNumberFormat="1" applyFont="1" applyAlignment="1">
      <alignment horizontal="left" vertical="center"/>
    </xf>
    <xf numFmtId="49" fontId="5" fillId="0" borderId="18"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23" xfId="0" applyNumberFormat="1" applyFont="1" applyBorder="1" applyAlignment="1">
      <alignment horizontal="center" vertical="center"/>
    </xf>
    <xf numFmtId="0" fontId="5" fillId="6" borderId="20" xfId="0" applyFont="1" applyFill="1" applyBorder="1" applyAlignment="1">
      <alignment horizontal="center" vertical="center"/>
    </xf>
    <xf numFmtId="49" fontId="5" fillId="6" borderId="6" xfId="0" applyNumberFormat="1" applyFont="1" applyFill="1" applyBorder="1" applyAlignment="1">
      <alignment horizontal="center" vertical="center"/>
    </xf>
    <xf numFmtId="2" fontId="5" fillId="6" borderId="6" xfId="0" applyNumberFormat="1" applyFont="1" applyFill="1" applyBorder="1" applyAlignment="1">
      <alignment horizontal="center" vertical="center"/>
    </xf>
    <xf numFmtId="0" fontId="21" fillId="0" borderId="0" xfId="0" applyFont="1" applyAlignment="1">
      <alignment horizontal="center" vertical="center"/>
    </xf>
    <xf numFmtId="0" fontId="10" fillId="0" borderId="0" xfId="0" applyFont="1"/>
    <xf numFmtId="2" fontId="5" fillId="8" borderId="21" xfId="0" applyNumberFormat="1" applyFont="1" applyFill="1" applyBorder="1" applyAlignment="1">
      <alignment horizontal="center" vertical="center"/>
    </xf>
    <xf numFmtId="2" fontId="1" fillId="7" borderId="21" xfId="1" applyNumberFormat="1" applyFill="1" applyBorder="1" applyAlignment="1">
      <alignment horizontal="center" vertical="center"/>
    </xf>
    <xf numFmtId="2" fontId="5" fillId="7" borderId="21" xfId="0" applyNumberFormat="1" applyFont="1" applyFill="1" applyBorder="1" applyAlignment="1">
      <alignment horizontal="center" vertical="center"/>
    </xf>
    <xf numFmtId="0" fontId="5" fillId="0" borderId="0" xfId="0" applyFont="1" applyAlignment="1">
      <alignment horizontal="center" vertical="center" wrapText="1"/>
    </xf>
    <xf numFmtId="0" fontId="0" fillId="0" borderId="0" xfId="0" applyAlignment="1">
      <alignment wrapText="1"/>
    </xf>
    <xf numFmtId="2" fontId="5" fillId="6" borderId="25" xfId="0" applyNumberFormat="1" applyFont="1" applyFill="1" applyBorder="1" applyAlignment="1">
      <alignment horizontal="center" vertical="center"/>
    </xf>
    <xf numFmtId="2" fontId="5" fillId="0" borderId="25" xfId="0" applyNumberFormat="1" applyFont="1" applyBorder="1" applyAlignment="1">
      <alignment horizontal="center" vertical="center"/>
    </xf>
    <xf numFmtId="0" fontId="5" fillId="6" borderId="20" xfId="2" applyFont="1" applyFill="1" applyBorder="1" applyAlignment="1">
      <alignment horizontal="center" vertical="center"/>
    </xf>
    <xf numFmtId="0" fontId="5" fillId="6" borderId="6" xfId="2" applyFont="1" applyFill="1" applyBorder="1" applyAlignment="1">
      <alignment horizontal="center" vertical="center"/>
    </xf>
    <xf numFmtId="49" fontId="5" fillId="6" borderId="6" xfId="2" applyNumberFormat="1" applyFont="1" applyFill="1" applyBorder="1" applyAlignment="1">
      <alignment horizontal="center" vertical="center"/>
    </xf>
    <xf numFmtId="2" fontId="5" fillId="6" borderId="6" xfId="2" applyNumberFormat="1" applyFont="1" applyFill="1" applyBorder="1" applyAlignment="1">
      <alignment horizontal="center" vertical="center"/>
    </xf>
    <xf numFmtId="2" fontId="5" fillId="6" borderId="25" xfId="2" applyNumberFormat="1" applyFont="1" applyFill="1" applyBorder="1" applyAlignment="1">
      <alignment horizontal="center" vertical="center"/>
    </xf>
    <xf numFmtId="0" fontId="21" fillId="6" borderId="20" xfId="0" applyFont="1" applyFill="1" applyBorder="1" applyAlignment="1">
      <alignment horizontal="center" vertical="center"/>
    </xf>
    <xf numFmtId="0" fontId="21" fillId="6" borderId="6" xfId="0" applyFont="1" applyFill="1" applyBorder="1" applyAlignment="1">
      <alignment horizontal="center" vertical="center"/>
    </xf>
    <xf numFmtId="49" fontId="21" fillId="6" borderId="6" xfId="0" applyNumberFormat="1" applyFont="1" applyFill="1" applyBorder="1" applyAlignment="1">
      <alignment horizontal="center" vertical="center"/>
    </xf>
    <xf numFmtId="2" fontId="21" fillId="6" borderId="6" xfId="0" applyNumberFormat="1" applyFont="1" applyFill="1" applyBorder="1" applyAlignment="1">
      <alignment horizontal="center" vertical="center"/>
    </xf>
    <xf numFmtId="2" fontId="21" fillId="6" borderId="25" xfId="0" applyNumberFormat="1" applyFont="1" applyFill="1" applyBorder="1" applyAlignment="1">
      <alignment horizontal="center" vertical="center"/>
    </xf>
    <xf numFmtId="0" fontId="19" fillId="0" borderId="0" xfId="0" applyFont="1" applyAlignment="1">
      <alignment horizontal="left"/>
    </xf>
    <xf numFmtId="0" fontId="0" fillId="9" borderId="6" xfId="0" applyFill="1" applyBorder="1" applyAlignment="1">
      <alignment horizontal="center" vertical="center"/>
    </xf>
    <xf numFmtId="2" fontId="0" fillId="0" borderId="6" xfId="0" applyNumberFormat="1" applyBorder="1" applyAlignment="1">
      <alignment horizontal="center" vertical="center"/>
    </xf>
    <xf numFmtId="2" fontId="2" fillId="7" borderId="0" xfId="2" applyNumberFormat="1" applyFill="1" applyAlignment="1">
      <alignment horizontal="center" vertical="center"/>
    </xf>
    <xf numFmtId="2" fontId="0" fillId="7" borderId="0" xfId="0" applyNumberFormat="1" applyFill="1" applyAlignment="1">
      <alignment horizontal="center" vertical="center"/>
    </xf>
    <xf numFmtId="2" fontId="5" fillId="7" borderId="0" xfId="0" applyNumberFormat="1" applyFont="1" applyFill="1" applyAlignment="1">
      <alignment horizontal="center" vertical="center"/>
    </xf>
    <xf numFmtId="2" fontId="0" fillId="0" borderId="6" xfId="0" applyNumberFormat="1" applyBorder="1"/>
    <xf numFmtId="2" fontId="8" fillId="0" borderId="0" xfId="0" applyNumberFormat="1" applyFont="1"/>
    <xf numFmtId="2" fontId="5" fillId="0" borderId="0" xfId="0" applyNumberFormat="1" applyFont="1"/>
    <xf numFmtId="2" fontId="0" fillId="7" borderId="0" xfId="0" applyNumberFormat="1" applyFill="1"/>
    <xf numFmtId="2" fontId="6" fillId="0" borderId="0" xfId="0" applyNumberFormat="1" applyFont="1" applyAlignment="1">
      <alignment horizontal="center" vertical="center"/>
    </xf>
    <xf numFmtId="2" fontId="4" fillId="0" borderId="6" xfId="0" applyNumberFormat="1" applyFont="1" applyBorder="1" applyAlignment="1">
      <alignment horizontal="center" vertical="center"/>
    </xf>
    <xf numFmtId="2" fontId="0" fillId="9" borderId="6" xfId="0" applyNumberFormat="1" applyFill="1" applyBorder="1" applyAlignment="1">
      <alignment horizontal="center" vertical="center"/>
    </xf>
    <xf numFmtId="2" fontId="8" fillId="0" borderId="0" xfId="0" applyNumberFormat="1" applyFont="1" applyAlignment="1">
      <alignment horizontal="center" vertical="center"/>
    </xf>
    <xf numFmtId="2" fontId="0" fillId="0" borderId="0" xfId="0" applyNumberFormat="1" applyAlignment="1">
      <alignment horizontal="center" vertical="center"/>
    </xf>
    <xf numFmtId="0" fontId="22" fillId="0" borderId="0" xfId="0" applyFont="1" applyAlignment="1">
      <alignment horizontal="center"/>
    </xf>
    <xf numFmtId="0" fontId="22" fillId="0" borderId="6" xfId="0" applyFont="1" applyBorder="1" applyAlignment="1">
      <alignment horizontal="center"/>
    </xf>
    <xf numFmtId="0" fontId="22" fillId="0" borderId="6" xfId="0" applyFont="1" applyBorder="1" applyAlignment="1">
      <alignment horizontal="center" vertical="center"/>
    </xf>
    <xf numFmtId="0" fontId="22" fillId="9" borderId="6" xfId="0" applyFont="1" applyFill="1" applyBorder="1" applyAlignment="1">
      <alignment horizontal="center"/>
    </xf>
    <xf numFmtId="0" fontId="22" fillId="9" borderId="6" xfId="0" applyFont="1" applyFill="1" applyBorder="1" applyAlignment="1">
      <alignment horizontal="center" vertical="center"/>
    </xf>
    <xf numFmtId="2" fontId="1" fillId="2" borderId="6" xfId="1" applyNumberFormat="1" applyBorder="1" applyAlignment="1">
      <alignment horizontal="center" vertical="center"/>
    </xf>
    <xf numFmtId="2" fontId="2" fillId="3" borderId="6" xfId="2" applyNumberFormat="1" applyBorder="1" applyAlignment="1">
      <alignment horizontal="center" vertical="center"/>
    </xf>
    <xf numFmtId="0" fontId="23" fillId="4" borderId="6" xfId="3" applyFont="1" applyBorder="1" applyAlignment="1">
      <alignment horizontal="center" vertical="center"/>
    </xf>
    <xf numFmtId="0" fontId="1" fillId="2" borderId="6" xfId="1" applyBorder="1" applyAlignment="1">
      <alignment horizontal="center" vertical="center"/>
    </xf>
    <xf numFmtId="2" fontId="4" fillId="0" borderId="0" xfId="0" applyNumberFormat="1" applyFont="1" applyAlignment="1">
      <alignment horizontal="center" vertical="center"/>
    </xf>
    <xf numFmtId="0" fontId="24" fillId="0" borderId="0" xfId="0" applyFont="1"/>
    <xf numFmtId="0" fontId="25" fillId="0" borderId="0" xfId="0" applyFont="1"/>
    <xf numFmtId="0" fontId="19" fillId="0" borderId="0" xfId="0" applyFont="1" applyAlignment="1">
      <alignment horizontal="center"/>
    </xf>
    <xf numFmtId="0" fontId="5" fillId="0" borderId="6" xfId="0" applyFont="1" applyBorder="1"/>
    <xf numFmtId="0" fontId="24" fillId="0" borderId="0" xfId="0" applyFont="1" applyAlignment="1">
      <alignment horizontal="center"/>
    </xf>
    <xf numFmtId="0" fontId="5" fillId="0" borderId="0" xfId="0" applyFont="1" applyAlignment="1">
      <alignment vertical="center"/>
    </xf>
    <xf numFmtId="0" fontId="4" fillId="0" borderId="0" xfId="0" applyFont="1" applyAlignment="1">
      <alignment vertical="center"/>
    </xf>
    <xf numFmtId="0" fontId="26" fillId="0" borderId="0" xfId="0" applyFont="1" applyAlignment="1">
      <alignment horizontal="left"/>
    </xf>
    <xf numFmtId="0" fontId="26" fillId="0" borderId="0" xfId="0" applyFont="1" applyAlignment="1">
      <alignment horizontal="center"/>
    </xf>
    <xf numFmtId="0" fontId="19" fillId="0" borderId="0" xfId="0" applyFont="1" applyAlignment="1">
      <alignment horizontal="center" vertical="center"/>
    </xf>
    <xf numFmtId="0" fontId="5" fillId="0" borderId="6" xfId="0" applyFont="1" applyBorder="1" applyAlignment="1">
      <alignment vertical="center"/>
    </xf>
    <xf numFmtId="0" fontId="27" fillId="0" borderId="0" xfId="0" applyFont="1"/>
    <xf numFmtId="0" fontId="26" fillId="0" borderId="0" xfId="0" applyFont="1"/>
    <xf numFmtId="1" fontId="26" fillId="0" borderId="0" xfId="0" applyNumberFormat="1" applyFont="1" applyAlignment="1">
      <alignment horizontal="center"/>
    </xf>
    <xf numFmtId="1" fontId="5" fillId="0" borderId="0" xfId="0" applyNumberFormat="1" applyFont="1" applyAlignment="1">
      <alignment horizontal="center"/>
    </xf>
    <xf numFmtId="1" fontId="5" fillId="0" borderId="6" xfId="0" applyNumberFormat="1" applyFont="1" applyBorder="1" applyAlignment="1">
      <alignment horizontal="center" vertical="center"/>
    </xf>
    <xf numFmtId="1" fontId="5" fillId="0" borderId="6" xfId="0" applyNumberFormat="1" applyFont="1" applyBorder="1" applyAlignment="1">
      <alignment horizontal="center"/>
    </xf>
    <xf numFmtId="15" fontId="5" fillId="0" borderId="0" xfId="0" applyNumberFormat="1" applyFont="1" applyAlignment="1">
      <alignment horizontal="center"/>
    </xf>
    <xf numFmtId="0" fontId="22" fillId="0" borderId="0" xfId="0" applyFont="1" applyAlignment="1">
      <alignment horizontal="center" vertical="center"/>
    </xf>
    <xf numFmtId="0" fontId="5" fillId="0" borderId="7" xfId="0" applyFont="1" applyBorder="1" applyAlignment="1">
      <alignment horizontal="center"/>
    </xf>
    <xf numFmtId="0" fontId="21" fillId="0" borderId="18" xfId="0" applyFont="1" applyBorder="1" applyAlignment="1">
      <alignment horizontal="center" vertical="center"/>
    </xf>
    <xf numFmtId="0" fontId="21" fillId="0" borderId="18" xfId="0" applyFont="1" applyBorder="1" applyAlignment="1">
      <alignment horizontal="center"/>
    </xf>
    <xf numFmtId="0" fontId="5" fillId="0" borderId="10" xfId="0" applyFont="1" applyBorder="1" applyAlignment="1">
      <alignment horizontal="center"/>
    </xf>
    <xf numFmtId="0" fontId="5" fillId="0" borderId="21" xfId="0" applyFont="1" applyBorder="1" applyAlignment="1">
      <alignment horizontal="center"/>
    </xf>
    <xf numFmtId="0" fontId="5" fillId="0" borderId="21" xfId="0" applyFont="1" applyBorder="1" applyAlignment="1">
      <alignment horizontal="center" vertical="center"/>
    </xf>
    <xf numFmtId="0" fontId="5" fillId="0" borderId="20" xfId="0" applyFont="1" applyBorder="1" applyAlignment="1">
      <alignment horizontal="center"/>
    </xf>
    <xf numFmtId="0" fontId="5" fillId="0" borderId="12" xfId="0" applyFont="1" applyBorder="1" applyAlignment="1">
      <alignment horizontal="center"/>
    </xf>
    <xf numFmtId="1" fontId="5" fillId="0" borderId="23" xfId="0" applyNumberFormat="1" applyFont="1" applyBorder="1" applyAlignment="1">
      <alignment horizontal="center" vertical="center"/>
    </xf>
    <xf numFmtId="0" fontId="5" fillId="0" borderId="24" xfId="0" applyFont="1" applyBorder="1" applyAlignment="1">
      <alignment horizontal="center" vertical="center"/>
    </xf>
    <xf numFmtId="0" fontId="5" fillId="0" borderId="17" xfId="0" applyFont="1" applyBorder="1" applyAlignment="1">
      <alignment horizontal="center"/>
    </xf>
    <xf numFmtId="1" fontId="5" fillId="0" borderId="18" xfId="0" applyNumberFormat="1" applyFont="1" applyBorder="1" applyAlignment="1">
      <alignment horizontal="center" vertical="center"/>
    </xf>
    <xf numFmtId="0" fontId="5" fillId="0" borderId="19" xfId="0" applyFont="1" applyBorder="1" applyAlignment="1">
      <alignment horizontal="center" vertical="center"/>
    </xf>
    <xf numFmtId="0" fontId="5" fillId="6" borderId="21" xfId="0" applyFont="1" applyFill="1" applyBorder="1" applyAlignment="1">
      <alignment horizontal="center"/>
    </xf>
    <xf numFmtId="0" fontId="5" fillId="0" borderId="23" xfId="0" applyFont="1" applyBorder="1" applyAlignment="1">
      <alignment horizontal="center"/>
    </xf>
    <xf numFmtId="1" fontId="5" fillId="0" borderId="23" xfId="0" applyNumberFormat="1" applyFont="1" applyBorder="1" applyAlignment="1">
      <alignment horizontal="center"/>
    </xf>
    <xf numFmtId="0" fontId="5" fillId="0" borderId="24" xfId="0" applyFont="1" applyBorder="1" applyAlignment="1">
      <alignment horizont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6" borderId="24" xfId="0" applyFont="1" applyFill="1" applyBorder="1" applyAlignment="1">
      <alignment horizontal="center"/>
    </xf>
    <xf numFmtId="1" fontId="5" fillId="0" borderId="21" xfId="0" applyNumberFormat="1" applyFont="1" applyBorder="1" applyAlignment="1">
      <alignment horizontal="center" vertical="center"/>
    </xf>
    <xf numFmtId="0" fontId="32" fillId="4" borderId="6" xfId="3" applyFont="1" applyBorder="1" applyAlignment="1">
      <alignment horizontal="center" vertical="center"/>
    </xf>
    <xf numFmtId="0" fontId="32" fillId="4" borderId="21" xfId="3" applyFont="1" applyBorder="1" applyAlignment="1">
      <alignment horizontal="center"/>
    </xf>
    <xf numFmtId="0" fontId="33" fillId="3" borderId="6" xfId="2" applyFont="1" applyBorder="1" applyAlignment="1">
      <alignment horizontal="center" vertical="center"/>
    </xf>
    <xf numFmtId="1" fontId="33" fillId="3" borderId="6" xfId="2" applyNumberFormat="1" applyFont="1" applyBorder="1" applyAlignment="1">
      <alignment horizontal="center" vertical="center"/>
    </xf>
    <xf numFmtId="0" fontId="33" fillId="3" borderId="21" xfId="2" applyFont="1" applyBorder="1" applyAlignment="1">
      <alignment horizontal="center"/>
    </xf>
    <xf numFmtId="0" fontId="33" fillId="3" borderId="23" xfId="2" applyFont="1" applyBorder="1" applyAlignment="1">
      <alignment horizontal="center" vertical="center"/>
    </xf>
    <xf numFmtId="0" fontId="33" fillId="3" borderId="23" xfId="2" applyFont="1" applyBorder="1" applyAlignment="1">
      <alignment horizontal="center"/>
    </xf>
    <xf numFmtId="1" fontId="33" fillId="3" borderId="23" xfId="2" applyNumberFormat="1" applyFont="1" applyBorder="1" applyAlignment="1">
      <alignment horizontal="center"/>
    </xf>
    <xf numFmtId="0" fontId="32" fillId="4" borderId="23" xfId="3" applyFont="1" applyBorder="1" applyAlignment="1">
      <alignment horizontal="center" vertical="center"/>
    </xf>
    <xf numFmtId="0" fontId="32" fillId="4" borderId="24" xfId="3" applyFont="1" applyBorder="1" applyAlignment="1">
      <alignment horizontal="center"/>
    </xf>
    <xf numFmtId="0" fontId="34" fillId="2" borderId="22" xfId="1" applyFont="1" applyBorder="1" applyAlignment="1">
      <alignment horizontal="center" vertical="center"/>
    </xf>
    <xf numFmtId="0" fontId="34" fillId="2" borderId="23" xfId="1" applyFont="1" applyBorder="1" applyAlignment="1">
      <alignment horizontal="center" vertical="center"/>
    </xf>
    <xf numFmtId="0" fontId="34" fillId="2" borderId="24" xfId="1" applyFont="1" applyBorder="1" applyAlignment="1">
      <alignment horizontal="center" vertical="center"/>
    </xf>
    <xf numFmtId="0" fontId="34" fillId="2" borderId="10" xfId="1" applyFont="1" applyBorder="1" applyAlignment="1">
      <alignment horizontal="center"/>
    </xf>
    <xf numFmtId="0" fontId="34" fillId="2" borderId="0" xfId="1" applyFont="1"/>
    <xf numFmtId="1" fontId="32" fillId="4" borderId="6" xfId="3" applyNumberFormat="1" applyFont="1" applyBorder="1" applyAlignment="1">
      <alignment horizontal="center" vertical="center"/>
    </xf>
    <xf numFmtId="0" fontId="34" fillId="2" borderId="0" xfId="1" applyFont="1" applyAlignment="1">
      <alignment horizontal="center"/>
    </xf>
    <xf numFmtId="0" fontId="5" fillId="0" borderId="26" xfId="0" applyFont="1" applyBorder="1" applyAlignment="1">
      <alignment horizontal="left"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2" xfId="0" applyFont="1" applyBorder="1"/>
    <xf numFmtId="0" fontId="5" fillId="0" borderId="24" xfId="0" applyFont="1" applyBorder="1"/>
    <xf numFmtId="1" fontId="31" fillId="0" borderId="18" xfId="0" applyNumberFormat="1" applyFont="1" applyBorder="1" applyAlignment="1">
      <alignment horizontal="center"/>
    </xf>
    <xf numFmtId="0" fontId="5" fillId="0" borderId="19" xfId="0" applyFont="1" applyBorder="1" applyAlignment="1">
      <alignment horizontal="center"/>
    </xf>
    <xf numFmtId="0" fontId="5" fillId="0" borderId="22" xfId="0" applyFont="1" applyBorder="1" applyAlignment="1">
      <alignment horizontal="center"/>
    </xf>
    <xf numFmtId="0" fontId="5" fillId="0" borderId="29" xfId="0" applyFont="1" applyBorder="1" applyAlignment="1">
      <alignment horizontal="center" vertical="center"/>
    </xf>
    <xf numFmtId="0" fontId="5" fillId="0" borderId="25" xfId="0" applyFont="1" applyBorder="1" applyAlignment="1">
      <alignment horizontal="center" vertical="center"/>
    </xf>
    <xf numFmtId="0" fontId="5" fillId="0" borderId="30" xfId="0" applyFont="1" applyBorder="1" applyAlignment="1">
      <alignment horizontal="center" vertical="center"/>
    </xf>
    <xf numFmtId="164" fontId="21" fillId="0" borderId="18" xfId="0" applyNumberFormat="1" applyFont="1" applyBorder="1" applyAlignment="1">
      <alignment horizontal="center"/>
    </xf>
    <xf numFmtId="164" fontId="5" fillId="0" borderId="6" xfId="0" applyNumberFormat="1" applyFont="1" applyBorder="1" applyAlignment="1">
      <alignment horizontal="center"/>
    </xf>
    <xf numFmtId="164" fontId="5" fillId="0" borderId="6" xfId="0" applyNumberFormat="1" applyFont="1" applyBorder="1" applyAlignment="1">
      <alignment horizontal="center" vertical="center"/>
    </xf>
    <xf numFmtId="164" fontId="5" fillId="0" borderId="23" xfId="0" applyNumberFormat="1" applyFont="1" applyBorder="1" applyAlignment="1">
      <alignment horizontal="center" vertical="center"/>
    </xf>
    <xf numFmtId="164" fontId="0" fillId="0" borderId="0" xfId="0" applyNumberFormat="1"/>
    <xf numFmtId="164" fontId="5" fillId="0" borderId="0" xfId="0" applyNumberFormat="1" applyFont="1" applyAlignment="1">
      <alignment horizontal="center"/>
    </xf>
    <xf numFmtId="0" fontId="2" fillId="3" borderId="21" xfId="2" applyBorder="1" applyAlignment="1">
      <alignment horizontal="center" vertical="center"/>
    </xf>
    <xf numFmtId="0" fontId="5" fillId="0" borderId="18" xfId="0" applyFont="1" applyBorder="1" applyAlignment="1">
      <alignment horizontal="center"/>
    </xf>
    <xf numFmtId="0" fontId="21" fillId="0" borderId="0" xfId="0" applyFont="1" applyAlignment="1">
      <alignment horizontal="left"/>
    </xf>
    <xf numFmtId="1" fontId="21" fillId="0" borderId="0" xfId="0" applyNumberFormat="1" applyFont="1" applyAlignment="1">
      <alignment horizontal="center"/>
    </xf>
    <xf numFmtId="0" fontId="21" fillId="0" borderId="0" xfId="0" applyFont="1" applyAlignment="1">
      <alignment horizontal="center"/>
    </xf>
    <xf numFmtId="164" fontId="21" fillId="0" borderId="0" xfId="0" applyNumberFormat="1" applyFont="1" applyAlignment="1">
      <alignment horizontal="center"/>
    </xf>
    <xf numFmtId="1" fontId="5" fillId="0" borderId="0" xfId="0" applyNumberFormat="1" applyFont="1" applyAlignment="1">
      <alignment horizontal="center" vertical="center"/>
    </xf>
    <xf numFmtId="164" fontId="21" fillId="0" borderId="0" xfId="0" applyNumberFormat="1" applyFont="1" applyAlignment="1">
      <alignment horizontal="center" vertical="center"/>
    </xf>
    <xf numFmtId="164" fontId="5" fillId="0" borderId="0" xfId="0" applyNumberFormat="1" applyFont="1" applyAlignment="1">
      <alignment horizontal="center" vertical="center"/>
    </xf>
    <xf numFmtId="1" fontId="33" fillId="3" borderId="21" xfId="2" applyNumberFormat="1" applyFont="1" applyBorder="1" applyAlignment="1">
      <alignment horizontal="center" vertical="center"/>
    </xf>
    <xf numFmtId="1" fontId="2" fillId="3" borderId="6" xfId="2" applyNumberFormat="1" applyBorder="1" applyAlignment="1">
      <alignment horizontal="center" vertical="center"/>
    </xf>
    <xf numFmtId="0" fontId="2" fillId="3" borderId="21" xfId="2" applyBorder="1" applyAlignment="1">
      <alignment horizontal="center"/>
    </xf>
    <xf numFmtId="0" fontId="24" fillId="0" borderId="0" xfId="0" applyFont="1" applyAlignment="1">
      <alignment horizontal="left" vertical="center"/>
    </xf>
    <xf numFmtId="0" fontId="19" fillId="0" borderId="0" xfId="0" applyFont="1" applyAlignment="1">
      <alignment horizontal="left" vertical="center"/>
    </xf>
    <xf numFmtId="0" fontId="21" fillId="0" borderId="29" xfId="0" applyFont="1" applyBorder="1" applyAlignment="1">
      <alignment horizontal="center" vertical="center"/>
    </xf>
    <xf numFmtId="0" fontId="21" fillId="0" borderId="6" xfId="0" applyFont="1" applyBorder="1" applyAlignment="1">
      <alignment horizontal="center" vertical="center"/>
    </xf>
    <xf numFmtId="0" fontId="21" fillId="0" borderId="6" xfId="0" applyFont="1" applyBorder="1" applyAlignment="1">
      <alignment horizontal="center"/>
    </xf>
    <xf numFmtId="1" fontId="31" fillId="0" borderId="6" xfId="0" applyNumberFormat="1" applyFont="1" applyBorder="1" applyAlignment="1">
      <alignment horizontal="center"/>
    </xf>
    <xf numFmtId="164" fontId="21" fillId="0" borderId="6" xfId="0" applyNumberFormat="1" applyFont="1" applyBorder="1" applyAlignment="1">
      <alignment horizontal="center"/>
    </xf>
    <xf numFmtId="164" fontId="21" fillId="0" borderId="6" xfId="0" applyNumberFormat="1" applyFont="1" applyBorder="1" applyAlignment="1">
      <alignment horizontal="center" vertical="center"/>
    </xf>
    <xf numFmtId="0" fontId="0" fillId="0" borderId="21" xfId="0" applyBorder="1"/>
    <xf numFmtId="0" fontId="0" fillId="0" borderId="24" xfId="0" applyBorder="1"/>
    <xf numFmtId="0" fontId="5" fillId="0" borderId="31" xfId="0" applyFont="1" applyBorder="1" applyAlignment="1">
      <alignment horizontal="center"/>
    </xf>
    <xf numFmtId="0" fontId="5" fillId="0" borderId="32" xfId="0" applyFont="1" applyBorder="1" applyAlignment="1">
      <alignment horizontal="center" vertical="center"/>
    </xf>
    <xf numFmtId="0" fontId="5" fillId="0" borderId="33" xfId="0" applyFont="1" applyBorder="1" applyAlignment="1">
      <alignment horizontal="center"/>
    </xf>
    <xf numFmtId="0" fontId="21" fillId="0" borderId="34"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Border="1" applyAlignment="1">
      <alignment horizontal="center"/>
    </xf>
    <xf numFmtId="0" fontId="2" fillId="3" borderId="0" xfId="2" applyBorder="1" applyAlignment="1">
      <alignment horizontal="center"/>
    </xf>
    <xf numFmtId="11" fontId="5" fillId="0" borderId="6" xfId="0" applyNumberFormat="1" applyFont="1" applyBorder="1" applyAlignment="1">
      <alignment horizontal="center" vertical="center"/>
    </xf>
    <xf numFmtId="11" fontId="5" fillId="0" borderId="0" xfId="0" applyNumberFormat="1" applyFont="1" applyBorder="1" applyAlignment="1">
      <alignment horizontal="center" vertical="center"/>
    </xf>
    <xf numFmtId="0" fontId="5" fillId="0" borderId="16" xfId="0" applyNumberFormat="1" applyFont="1" applyFill="1" applyBorder="1" applyAlignment="1">
      <alignment horizontal="center" vertical="center"/>
    </xf>
  </cellXfs>
  <cellStyles count="6">
    <cellStyle name="Bad" xfId="2" builtinId="27"/>
    <cellStyle name="Good" xfId="1" builtinId="26"/>
    <cellStyle name="Hyperlink" xfId="5" builtinId="8"/>
    <cellStyle name="Neutral" xfId="3" builtinId="28"/>
    <cellStyle name="Normal" xfId="0" builtinId="0"/>
    <cellStyle name="Note" xfId="4"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200025</xdr:colOff>
      <xdr:row>42</xdr:row>
      <xdr:rowOff>95249</xdr:rowOff>
    </xdr:from>
    <xdr:ext cx="5105400" cy="2343151"/>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638425" y="7524749"/>
          <a:ext cx="5105400" cy="2343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All tests performed with Fluke</a:t>
          </a:r>
          <a:r>
            <a:rPr lang="en-US" sz="1400" b="1" baseline="0"/>
            <a:t> 1555 10KV insulation tester.  Stack test current measured in uA.  Each individual device measured in mA with a 5 meg ohm, 5 watt, 1% resistor in parallel with the device.</a:t>
          </a:r>
          <a:endParaRPr lang="en-US" sz="1400" b="1"/>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323851</xdr:colOff>
      <xdr:row>2</xdr:row>
      <xdr:rowOff>19051</xdr:rowOff>
    </xdr:from>
    <xdr:ext cx="5267324" cy="619124"/>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323851" y="495301"/>
          <a:ext cx="5267324" cy="619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xdr:col>
      <xdr:colOff>28575</xdr:colOff>
      <xdr:row>2</xdr:row>
      <xdr:rowOff>38100</xdr:rowOff>
    </xdr:from>
    <xdr:to>
      <xdr:col>9</xdr:col>
      <xdr:colOff>9525</xdr:colOff>
      <xdr:row>7</xdr:row>
      <xdr:rowOff>0</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638175" y="514350"/>
          <a:ext cx="5610225"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Supply hipot testing performed with crowbar stacks and crowbar</a:t>
          </a:r>
          <a:r>
            <a:rPr lang="en-US" sz="1100" baseline="0"/>
            <a:t> snubber resistors removed.</a:t>
          </a:r>
        </a:p>
        <a:p>
          <a:r>
            <a:rPr lang="en-US" sz="1100" baseline="0"/>
            <a:t>Hipot test set used (High Voltage Inc. 130 KVDC, 10 mA) has analog volt and current meters.</a:t>
          </a:r>
          <a:endParaRPr lang="en-US" sz="1100"/>
        </a:p>
      </xdr:txBody>
    </xdr:sp>
    <xdr:clientData/>
  </xdr:twoCellAnchor>
  <xdr:oneCellAnchor>
    <xdr:from>
      <xdr:col>13</xdr:col>
      <xdr:colOff>323851</xdr:colOff>
      <xdr:row>2</xdr:row>
      <xdr:rowOff>19051</xdr:rowOff>
    </xdr:from>
    <xdr:ext cx="5267324" cy="619124"/>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323851" y="495301"/>
          <a:ext cx="5267324" cy="619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14</xdr:col>
      <xdr:colOff>28575</xdr:colOff>
      <xdr:row>2</xdr:row>
      <xdr:rowOff>38100</xdr:rowOff>
    </xdr:from>
    <xdr:to>
      <xdr:col>22</xdr:col>
      <xdr:colOff>9525</xdr:colOff>
      <xdr:row>8</xdr:row>
      <xdr:rowOff>152400</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9363075" y="514350"/>
          <a:ext cx="4857750"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Supply hipot testing performed after newly</a:t>
          </a:r>
          <a:r>
            <a:rPr lang="en-US" sz="1100" baseline="0"/>
            <a:t> rebuilt crowbar stacks installed and 13 main tank rectifier  filter/current limiting resistors changed out (32 resistors total in tank).  Crowbar snubber resistors installed.  The 500 ohm filter resistors were out of tolerance band (450-550 ohms) either high or low (mostly low).  Stage 3 rectifier swapped with spare from building 725.  Hipot set for individual stages = Phenix Technologies 40 KVDC, 20 mA with digital voltage and current meters.   Overall and stage 1-3 tests done with same hipotter as used on 24 Aug 2018.</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32</xdr:row>
      <xdr:rowOff>104775</xdr:rowOff>
    </xdr:from>
    <xdr:to>
      <xdr:col>16</xdr:col>
      <xdr:colOff>371475</xdr:colOff>
      <xdr:row>42</xdr:row>
      <xdr:rowOff>180975</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190500" y="6200775"/>
          <a:ext cx="10201275"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Conclusions:</a:t>
          </a:r>
          <a:r>
            <a:rPr lang="en-US" sz="1200" baseline="0"/>
            <a:t>  Keep in mind, main rectifier stack 3 from Spear 2 suffered a fully shorted stack during the failure of the return bushing in 2016.  We also replaced the filter cap across stack 3 as a precaution.  The other 5 main rectifier stacks and the filter box stacks in #3 were basically ohmed and diode checked at low volts/amps--not checked at HV except during the thru-wall test at 25 KV.  The stage test does not check each stack individually--but, as you can see from the left hand chart, stack 3 shows leakage current well above the 1st two identical stages (26 KV each).  As you can see from the right-most chart, all 6 diode stacks are weak with high leakage compared both to the spare stack (middle chart) and the overall leakages seen for stacks 1 + 2 during the stage to stage hipots.</a:t>
          </a:r>
        </a:p>
        <a:p>
          <a:endParaRPr lang="en-US" sz="1200" baseline="0"/>
        </a:p>
        <a:p>
          <a:r>
            <a:rPr lang="en-US" sz="1200" baseline="0"/>
            <a:t>We have a smoking gun explanation now as to why we see higher leakage current on stack 3 overall and why the leakage current with new stack installed in the #3 main rectifier location in the main tank is much lower now (approx. 2 mA less).  In the future, if we see leakages above 6 mA on any stage (perhaps 4 mA on stage 4), we should replace that stack.  It maybe stack 3 would have functioned normally for a long time to come with higher reverse diode leakage, but it might be best to just change it out.  But that decision is "above my pay grade".</a:t>
          </a:r>
          <a:endParaRPr lang="en-US" sz="1200"/>
        </a:p>
      </xdr:txBody>
    </xdr:sp>
    <xdr:clientData/>
  </xdr:twoCellAnchor>
  <xdr:twoCellAnchor>
    <xdr:from>
      <xdr:col>13</xdr:col>
      <xdr:colOff>295275</xdr:colOff>
      <xdr:row>10</xdr:row>
      <xdr:rowOff>38101</xdr:rowOff>
    </xdr:from>
    <xdr:to>
      <xdr:col>16</xdr:col>
      <xdr:colOff>295275</xdr:colOff>
      <xdr:row>17</xdr:row>
      <xdr:rowOff>57151</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8486775" y="1943101"/>
          <a:ext cx="18288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hipot tests done on spare and #3 main</a:t>
          </a:r>
          <a:r>
            <a:rPr lang="en-US" sz="1100" baseline="0"/>
            <a:t> rectifier stacks performed with 500 ohm current limiting filter resistors removed to isolate filter box diode cards from main rectifier diode stacks.</a:t>
          </a:r>
          <a:endParaRPr lang="en-US" sz="1100"/>
        </a:p>
      </xdr:txBody>
    </xdr:sp>
    <xdr:clientData/>
  </xdr:twoCellAnchor>
  <xdr:twoCellAnchor>
    <xdr:from>
      <xdr:col>1</xdr:col>
      <xdr:colOff>47625</xdr:colOff>
      <xdr:row>21</xdr:row>
      <xdr:rowOff>142876</xdr:rowOff>
    </xdr:from>
    <xdr:to>
      <xdr:col>8</xdr:col>
      <xdr:colOff>352425</xdr:colOff>
      <xdr:row>31</xdr:row>
      <xdr:rowOff>171450</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657225" y="4143376"/>
          <a:ext cx="4572000" cy="1933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Note:  tested filter box</a:t>
          </a:r>
          <a:r>
            <a:rPr lang="en-US" sz="1100" baseline="0">
              <a:solidFill>
                <a:schemeClr val="dk1"/>
              </a:solidFill>
              <a:effectLst/>
              <a:latin typeface="+mn-lt"/>
              <a:ea typeface="+mn-ea"/>
              <a:cs typeface="+mn-cs"/>
            </a:rPr>
            <a:t> diodes @ 10 KV in free air.  Attempted 20 KV on the pos. side of spare box "C" phase:  current climbed and I could smell pretty rapid heating of oil sheen on components.  Tested this side again @ 10 KV and did low volts diode tests again to make sure no devices shorted.  It appears there are probably air gap standoff issues as well with the cards so close together.  The main rectifier stacks are rated @ 57 KVDC, but the standoff of the filter box diodes and RC's is unknown to me.  I felt it would be safest to the filter box components to test at 10 KV.  The comparison of  reverse leakage currents between spare stack filter boxes and #3's leakage currents are similar.  Keep in mind, these  components are OLD and we don't have a tolerance band except on the snubber resistors (5%).</a:t>
          </a:r>
          <a:endParaRPr lang="en-US">
            <a:effectLst/>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123825</xdr:colOff>
      <xdr:row>83</xdr:row>
      <xdr:rowOff>123824</xdr:rowOff>
    </xdr:from>
    <xdr:to>
      <xdr:col>20</xdr:col>
      <xdr:colOff>123825</xdr:colOff>
      <xdr:row>103</xdr:row>
      <xdr:rowOff>57149</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2647950" y="16878299"/>
          <a:ext cx="10220325" cy="393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Conclusions:</a:t>
          </a:r>
          <a:r>
            <a:rPr lang="en-US" sz="2000" baseline="0"/>
            <a:t>  out of 108 devices tested from a total of 18 stacks (6 crowbar, 12 phase),  92 were good, 4 failed, and 12 more were marginal.  Removed the 48 devices with the combination  of lowest leakage and highest internal (untriggered) resistance as measured with a Fluke 289 DMM.  These 48 best devices will be used to make 2 sets of spare crowbar stacks with 44 loose devices on hand for future stack repairs.  There were 4 devices that had acceptable fwd current leakage, but measured below 2.25 meg ohms fwd resistance on the DMM.  These 4 were marked marginal.  They are seen as follows:  S1A- #6, row 52; S1B+ #5, row 78; S2A- #6, row 70; and S1A= #4, row 59.  </a:t>
          </a:r>
        </a:p>
        <a:p>
          <a:endParaRPr lang="en-US" sz="2000" baseline="0"/>
        </a:p>
        <a:p>
          <a:r>
            <a:rPr lang="en-US" sz="2000" baseline="0"/>
            <a:t>In future, will use an analog multimeter to measure fwd resistance across LTTs to remove ambiguity in the resistance measurements due to ranging problems of DMMs with large semiconductor devices.</a:t>
          </a:r>
          <a:endParaRPr lang="en-US" sz="2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161925</xdr:colOff>
      <xdr:row>26</xdr:row>
      <xdr:rowOff>161925</xdr:rowOff>
    </xdr:from>
    <xdr:to>
      <xdr:col>13</xdr:col>
      <xdr:colOff>828675</xdr:colOff>
      <xdr:row>35</xdr:row>
      <xdr:rowOff>9525</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6877050" y="5857875"/>
          <a:ext cx="4905375"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Powerex stated the</a:t>
          </a:r>
          <a:r>
            <a:rPr lang="en-US" sz="1100" b="1" baseline="0"/>
            <a:t> maximum fwd leakage current @ 25 degrees C. (room temp) is 15 mA.  All 15 "outlier" devices (&gt; 20 uA @ 2500 volts @ 25 degrees C.) test  significantly less than 15 mA.  The 6 devices with fwd leakage  current an order of magnitude higher than the other 194 devices were tested at almost full voltage (3700 volts vs. 3800 volt max operating voltage) for 2.5 hours each.  All devices tested significantly lower than 15 mA.  Will retain these 6 "outlier" devices for spares use.  Only one of these devices will be used in any given repaired stack to prevent heat build up across stack.</a:t>
          </a:r>
          <a:endParaRPr lang="en-US" sz="1100" b="1"/>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304800</xdr:colOff>
      <xdr:row>45</xdr:row>
      <xdr:rowOff>142875</xdr:rowOff>
    </xdr:from>
    <xdr:ext cx="184731" cy="264560"/>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2981325" y="8896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85724</xdr:colOff>
      <xdr:row>41</xdr:row>
      <xdr:rowOff>114300</xdr:rowOff>
    </xdr:from>
    <xdr:to>
      <xdr:col>12</xdr:col>
      <xdr:colOff>114300</xdr:colOff>
      <xdr:row>56</xdr:row>
      <xdr:rowOff>28575</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1304924" y="8067675"/>
          <a:ext cx="9391651" cy="280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Conclusions</a:t>
          </a:r>
          <a:r>
            <a:rPr lang="en-US" sz="1200" baseline="0"/>
            <a:t> from testing the 4 crowbar stacks removed from Spear 1 on Sept. 26, 2019:</a:t>
          </a:r>
        </a:p>
        <a:p>
          <a:endParaRPr lang="en-US" sz="1200" baseline="0"/>
        </a:p>
        <a:p>
          <a:r>
            <a:rPr lang="en-US" sz="1200" baseline="0"/>
            <a:t>Stacks 2 + 4 tested good.  Stack 3 (traditionally the usual suspect in stacks that go bad or perform marginally) is marginal.  The top 2 SCRs (#1+2) have high leakage current @ 5 KV.  Cell 1 was  0.28 mA above the normal 1 mA current flow thru the parallel 5 meg ohm 1% resistor.  Cell 2 had the most fwd leakage current @ over 2 mA above the normal 1 mA current flow @ 5 KV.  Stack 1, SCR # 2 was 2.44 mA above the  normal 1 mA current flow thru the parallel resistor.</a:t>
          </a:r>
        </a:p>
        <a:p>
          <a:endParaRPr lang="en-US" sz="1200" baseline="0"/>
        </a:p>
        <a:p>
          <a:r>
            <a:rPr lang="en-US" sz="1200" baseline="0"/>
            <a:t>All 4 stacks were still functional and all 4 triggered @ 25 KV, both single shot and @ 60 hz rate.  Stack 3 would have eventually  suffered cascade failure.</a:t>
          </a:r>
        </a:p>
        <a:p>
          <a:endParaRPr lang="en-US" sz="1200" baseline="0"/>
        </a:p>
        <a:p>
          <a:r>
            <a:rPr lang="en-US" sz="1200" baseline="0"/>
            <a:t>Combined with 2 previously built and tested spare stacks, we have 4 spares on hand.  Will disassemble all 4 stacks and test each SCR with a much better regulated power supply and chart results in comparison with previous measurements listed in this workbook to chart fwd leakage current movement.</a:t>
          </a:r>
          <a:endParaRPr lang="en-US" sz="1200"/>
        </a:p>
      </xdr:txBody>
    </xdr:sp>
    <xdr:clientData/>
  </xdr:twoCellAnchor>
  <xdr:oneCellAnchor>
    <xdr:from>
      <xdr:col>18</xdr:col>
      <xdr:colOff>19050</xdr:colOff>
      <xdr:row>41</xdr:row>
      <xdr:rowOff>123825</xdr:rowOff>
    </xdr:from>
    <xdr:ext cx="7829550" cy="264560"/>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14258925" y="8077200"/>
          <a:ext cx="7829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18</xdr:col>
      <xdr:colOff>0</xdr:colOff>
      <xdr:row>44</xdr:row>
      <xdr:rowOff>57150</xdr:rowOff>
    </xdr:from>
    <xdr:to>
      <xdr:col>26</xdr:col>
      <xdr:colOff>0</xdr:colOff>
      <xdr:row>49</xdr:row>
      <xdr:rowOff>76200</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14239875" y="8610600"/>
          <a:ext cx="7839075"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Data for stacks</a:t>
          </a:r>
          <a:r>
            <a:rPr lang="en-US" sz="1200" baseline="0">
              <a:solidFill>
                <a:schemeClr val="dk1"/>
              </a:solidFill>
              <a:effectLst/>
              <a:latin typeface="+mn-lt"/>
              <a:ea typeface="+mn-ea"/>
              <a:cs typeface="+mn-cs"/>
            </a:rPr>
            <a:t> installed in Spear 1 on Sept. 26, 2019 comes from sheet 11.</a:t>
          </a:r>
          <a:endParaRPr lang="en-US" sz="1200">
            <a:effectLst/>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9525</xdr:colOff>
      <xdr:row>9</xdr:row>
      <xdr:rowOff>142875</xdr:rowOff>
    </xdr:from>
    <xdr:to>
      <xdr:col>9</xdr:col>
      <xdr:colOff>466725</xdr:colOff>
      <xdr:row>12</xdr:row>
      <xdr:rowOff>56007</xdr:rowOff>
    </xdr:to>
    <xdr:sp macro="" textlink="">
      <xdr:nvSpPr>
        <xdr:cNvPr id="15" name="Right Arrow 14">
          <a:extLst>
            <a:ext uri="{FF2B5EF4-FFF2-40B4-BE49-F238E27FC236}">
              <a16:creationId xmlns:a16="http://schemas.microsoft.com/office/drawing/2014/main" id="{00000000-0008-0000-1800-00000F000000}"/>
            </a:ext>
          </a:extLst>
        </xdr:cNvPr>
        <xdr:cNvSpPr/>
      </xdr:nvSpPr>
      <xdr:spPr>
        <a:xfrm>
          <a:off x="11553825" y="1866900"/>
          <a:ext cx="1066800" cy="48463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31</xdr:row>
      <xdr:rowOff>152400</xdr:rowOff>
    </xdr:from>
    <xdr:to>
      <xdr:col>9</xdr:col>
      <xdr:colOff>387858</xdr:colOff>
      <xdr:row>33</xdr:row>
      <xdr:rowOff>38100</xdr:rowOff>
    </xdr:to>
    <xdr:sp macro="" textlink="">
      <xdr:nvSpPr>
        <xdr:cNvPr id="16" name="Right Arrow 15">
          <a:extLst>
            <a:ext uri="{FF2B5EF4-FFF2-40B4-BE49-F238E27FC236}">
              <a16:creationId xmlns:a16="http://schemas.microsoft.com/office/drawing/2014/main" id="{00000000-0008-0000-1800-000010000000}"/>
            </a:ext>
          </a:extLst>
        </xdr:cNvPr>
        <xdr:cNvSpPr/>
      </xdr:nvSpPr>
      <xdr:spPr>
        <a:xfrm>
          <a:off x="11563350" y="60579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53</xdr:row>
      <xdr:rowOff>161925</xdr:rowOff>
    </xdr:from>
    <xdr:to>
      <xdr:col>9</xdr:col>
      <xdr:colOff>406908</xdr:colOff>
      <xdr:row>55</xdr:row>
      <xdr:rowOff>47625</xdr:rowOff>
    </xdr:to>
    <xdr:sp macro="" textlink="">
      <xdr:nvSpPr>
        <xdr:cNvPr id="17" name="Right Arrow 16">
          <a:extLst>
            <a:ext uri="{FF2B5EF4-FFF2-40B4-BE49-F238E27FC236}">
              <a16:creationId xmlns:a16="http://schemas.microsoft.com/office/drawing/2014/main" id="{00000000-0008-0000-1800-000011000000}"/>
            </a:ext>
          </a:extLst>
        </xdr:cNvPr>
        <xdr:cNvSpPr/>
      </xdr:nvSpPr>
      <xdr:spPr>
        <a:xfrm>
          <a:off x="11582400" y="102584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60</xdr:row>
      <xdr:rowOff>152400</xdr:rowOff>
    </xdr:from>
    <xdr:to>
      <xdr:col>9</xdr:col>
      <xdr:colOff>387858</xdr:colOff>
      <xdr:row>62</xdr:row>
      <xdr:rowOff>38100</xdr:rowOff>
    </xdr:to>
    <xdr:sp macro="" textlink="">
      <xdr:nvSpPr>
        <xdr:cNvPr id="18" name="Right Arrow 17">
          <a:extLst>
            <a:ext uri="{FF2B5EF4-FFF2-40B4-BE49-F238E27FC236}">
              <a16:creationId xmlns:a16="http://schemas.microsoft.com/office/drawing/2014/main" id="{00000000-0008-0000-1800-000012000000}"/>
            </a:ext>
          </a:extLst>
        </xdr:cNvPr>
        <xdr:cNvSpPr/>
      </xdr:nvSpPr>
      <xdr:spPr>
        <a:xfrm>
          <a:off x="11563350" y="115824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61</xdr:row>
      <xdr:rowOff>161925</xdr:rowOff>
    </xdr:from>
    <xdr:to>
      <xdr:col>9</xdr:col>
      <xdr:colOff>378333</xdr:colOff>
      <xdr:row>63</xdr:row>
      <xdr:rowOff>47625</xdr:rowOff>
    </xdr:to>
    <xdr:sp macro="" textlink="">
      <xdr:nvSpPr>
        <xdr:cNvPr id="19" name="Right Arrow 18">
          <a:extLst>
            <a:ext uri="{FF2B5EF4-FFF2-40B4-BE49-F238E27FC236}">
              <a16:creationId xmlns:a16="http://schemas.microsoft.com/office/drawing/2014/main" id="{00000000-0008-0000-1800-000013000000}"/>
            </a:ext>
          </a:extLst>
        </xdr:cNvPr>
        <xdr:cNvSpPr/>
      </xdr:nvSpPr>
      <xdr:spPr>
        <a:xfrm>
          <a:off x="11553825" y="118491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28575</xdr:colOff>
      <xdr:row>69</xdr:row>
      <xdr:rowOff>171450</xdr:rowOff>
    </xdr:from>
    <xdr:to>
      <xdr:col>9</xdr:col>
      <xdr:colOff>397383</xdr:colOff>
      <xdr:row>71</xdr:row>
      <xdr:rowOff>57150</xdr:rowOff>
    </xdr:to>
    <xdr:sp macro="" textlink="">
      <xdr:nvSpPr>
        <xdr:cNvPr id="20" name="Right Arrow 19">
          <a:extLst>
            <a:ext uri="{FF2B5EF4-FFF2-40B4-BE49-F238E27FC236}">
              <a16:creationId xmlns:a16="http://schemas.microsoft.com/office/drawing/2014/main" id="{00000000-0008-0000-1800-000014000000}"/>
            </a:ext>
          </a:extLst>
        </xdr:cNvPr>
        <xdr:cNvSpPr/>
      </xdr:nvSpPr>
      <xdr:spPr>
        <a:xfrm>
          <a:off x="11572875" y="1331595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82</xdr:row>
      <xdr:rowOff>161925</xdr:rowOff>
    </xdr:from>
    <xdr:to>
      <xdr:col>9</xdr:col>
      <xdr:colOff>387858</xdr:colOff>
      <xdr:row>84</xdr:row>
      <xdr:rowOff>47625</xdr:rowOff>
    </xdr:to>
    <xdr:sp macro="" textlink="">
      <xdr:nvSpPr>
        <xdr:cNvPr id="21" name="Right Arrow 20">
          <a:extLst>
            <a:ext uri="{FF2B5EF4-FFF2-40B4-BE49-F238E27FC236}">
              <a16:creationId xmlns:a16="http://schemas.microsoft.com/office/drawing/2014/main" id="{00000000-0008-0000-1800-000015000000}"/>
            </a:ext>
          </a:extLst>
        </xdr:cNvPr>
        <xdr:cNvSpPr/>
      </xdr:nvSpPr>
      <xdr:spPr>
        <a:xfrm>
          <a:off x="11563350" y="157829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40</xdr:row>
      <xdr:rowOff>161925</xdr:rowOff>
    </xdr:from>
    <xdr:to>
      <xdr:col>9</xdr:col>
      <xdr:colOff>387858</xdr:colOff>
      <xdr:row>42</xdr:row>
      <xdr:rowOff>47625</xdr:rowOff>
    </xdr:to>
    <xdr:sp macro="" textlink="">
      <xdr:nvSpPr>
        <xdr:cNvPr id="22" name="Right Arrow 21">
          <a:extLst>
            <a:ext uri="{FF2B5EF4-FFF2-40B4-BE49-F238E27FC236}">
              <a16:creationId xmlns:a16="http://schemas.microsoft.com/office/drawing/2014/main" id="{00000000-0008-0000-1800-000016000000}"/>
            </a:ext>
          </a:extLst>
        </xdr:cNvPr>
        <xdr:cNvSpPr/>
      </xdr:nvSpPr>
      <xdr:spPr>
        <a:xfrm>
          <a:off x="11563350" y="77819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95</xdr:row>
      <xdr:rowOff>152400</xdr:rowOff>
    </xdr:from>
    <xdr:to>
      <xdr:col>9</xdr:col>
      <xdr:colOff>378333</xdr:colOff>
      <xdr:row>97</xdr:row>
      <xdr:rowOff>38100</xdr:rowOff>
    </xdr:to>
    <xdr:sp macro="" textlink="">
      <xdr:nvSpPr>
        <xdr:cNvPr id="11" name="Right Arrow 10">
          <a:extLst>
            <a:ext uri="{FF2B5EF4-FFF2-40B4-BE49-F238E27FC236}">
              <a16:creationId xmlns:a16="http://schemas.microsoft.com/office/drawing/2014/main" id="{00000000-0008-0000-1800-00000B000000}"/>
            </a:ext>
          </a:extLst>
        </xdr:cNvPr>
        <xdr:cNvSpPr/>
      </xdr:nvSpPr>
      <xdr:spPr>
        <a:xfrm>
          <a:off x="11553825" y="182499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97</xdr:row>
      <xdr:rowOff>0</xdr:rowOff>
    </xdr:from>
    <xdr:to>
      <xdr:col>9</xdr:col>
      <xdr:colOff>368808</xdr:colOff>
      <xdr:row>98</xdr:row>
      <xdr:rowOff>76200</xdr:rowOff>
    </xdr:to>
    <xdr:sp macro="" textlink="">
      <xdr:nvSpPr>
        <xdr:cNvPr id="12" name="Right Arrow 11">
          <a:extLst>
            <a:ext uri="{FF2B5EF4-FFF2-40B4-BE49-F238E27FC236}">
              <a16:creationId xmlns:a16="http://schemas.microsoft.com/office/drawing/2014/main" id="{00000000-0008-0000-1800-00000C000000}"/>
            </a:ext>
          </a:extLst>
        </xdr:cNvPr>
        <xdr:cNvSpPr/>
      </xdr:nvSpPr>
      <xdr:spPr>
        <a:xfrm>
          <a:off x="11544300" y="184785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98</xdr:row>
      <xdr:rowOff>0</xdr:rowOff>
    </xdr:from>
    <xdr:to>
      <xdr:col>9</xdr:col>
      <xdr:colOff>368808</xdr:colOff>
      <xdr:row>99</xdr:row>
      <xdr:rowOff>76200</xdr:rowOff>
    </xdr:to>
    <xdr:sp macro="" textlink="">
      <xdr:nvSpPr>
        <xdr:cNvPr id="13" name="Right Arrow 12">
          <a:extLst>
            <a:ext uri="{FF2B5EF4-FFF2-40B4-BE49-F238E27FC236}">
              <a16:creationId xmlns:a16="http://schemas.microsoft.com/office/drawing/2014/main" id="{00000000-0008-0000-1800-00000D000000}"/>
            </a:ext>
          </a:extLst>
        </xdr:cNvPr>
        <xdr:cNvSpPr/>
      </xdr:nvSpPr>
      <xdr:spPr>
        <a:xfrm>
          <a:off x="11544300" y="186690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137</xdr:row>
      <xdr:rowOff>142875</xdr:rowOff>
    </xdr:from>
    <xdr:to>
      <xdr:col>9</xdr:col>
      <xdr:colOff>387858</xdr:colOff>
      <xdr:row>139</xdr:row>
      <xdr:rowOff>28575</xdr:rowOff>
    </xdr:to>
    <xdr:sp macro="" textlink="">
      <xdr:nvSpPr>
        <xdr:cNvPr id="14" name="Right Arrow 13">
          <a:extLst>
            <a:ext uri="{FF2B5EF4-FFF2-40B4-BE49-F238E27FC236}">
              <a16:creationId xmlns:a16="http://schemas.microsoft.com/office/drawing/2014/main" id="{00000000-0008-0000-1800-00000E000000}"/>
            </a:ext>
          </a:extLst>
        </xdr:cNvPr>
        <xdr:cNvSpPr/>
      </xdr:nvSpPr>
      <xdr:spPr>
        <a:xfrm>
          <a:off x="11563350" y="2624137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149</xdr:row>
      <xdr:rowOff>152400</xdr:rowOff>
    </xdr:from>
    <xdr:to>
      <xdr:col>9</xdr:col>
      <xdr:colOff>387858</xdr:colOff>
      <xdr:row>151</xdr:row>
      <xdr:rowOff>38100</xdr:rowOff>
    </xdr:to>
    <xdr:sp macro="" textlink="">
      <xdr:nvSpPr>
        <xdr:cNvPr id="23" name="Right Arrow 13">
          <a:extLst>
            <a:ext uri="{FF2B5EF4-FFF2-40B4-BE49-F238E27FC236}">
              <a16:creationId xmlns:a16="http://schemas.microsoft.com/office/drawing/2014/main" id="{95A44BEB-2739-470D-B00D-E16B2E980509}"/>
            </a:ext>
          </a:extLst>
        </xdr:cNvPr>
        <xdr:cNvSpPr/>
      </xdr:nvSpPr>
      <xdr:spPr>
        <a:xfrm>
          <a:off x="11563350" y="285369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150</xdr:row>
      <xdr:rowOff>152400</xdr:rowOff>
    </xdr:from>
    <xdr:to>
      <xdr:col>9</xdr:col>
      <xdr:colOff>387858</xdr:colOff>
      <xdr:row>152</xdr:row>
      <xdr:rowOff>38100</xdr:rowOff>
    </xdr:to>
    <xdr:sp macro="" textlink="">
      <xdr:nvSpPr>
        <xdr:cNvPr id="24" name="Right Arrow 13">
          <a:extLst>
            <a:ext uri="{FF2B5EF4-FFF2-40B4-BE49-F238E27FC236}">
              <a16:creationId xmlns:a16="http://schemas.microsoft.com/office/drawing/2014/main" id="{4625C2AD-51D7-4CFA-AA22-1E9E4DA42A3E}"/>
            </a:ext>
          </a:extLst>
        </xdr:cNvPr>
        <xdr:cNvSpPr/>
      </xdr:nvSpPr>
      <xdr:spPr>
        <a:xfrm>
          <a:off x="11563350" y="287274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156</xdr:row>
      <xdr:rowOff>152400</xdr:rowOff>
    </xdr:from>
    <xdr:to>
      <xdr:col>9</xdr:col>
      <xdr:colOff>387858</xdr:colOff>
      <xdr:row>158</xdr:row>
      <xdr:rowOff>38100</xdr:rowOff>
    </xdr:to>
    <xdr:sp macro="" textlink="">
      <xdr:nvSpPr>
        <xdr:cNvPr id="25" name="Right Arrow 13">
          <a:extLst>
            <a:ext uri="{FF2B5EF4-FFF2-40B4-BE49-F238E27FC236}">
              <a16:creationId xmlns:a16="http://schemas.microsoft.com/office/drawing/2014/main" id="{F4BF0247-68A7-44D3-BC5C-444C50A47756}"/>
            </a:ext>
          </a:extLst>
        </xdr:cNvPr>
        <xdr:cNvSpPr/>
      </xdr:nvSpPr>
      <xdr:spPr>
        <a:xfrm>
          <a:off x="11563350" y="298704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8</xdr:col>
      <xdr:colOff>9525</xdr:colOff>
      <xdr:row>159</xdr:row>
      <xdr:rowOff>152400</xdr:rowOff>
    </xdr:from>
    <xdr:to>
      <xdr:col>9</xdr:col>
      <xdr:colOff>378333</xdr:colOff>
      <xdr:row>161</xdr:row>
      <xdr:rowOff>38100</xdr:rowOff>
    </xdr:to>
    <xdr:sp macro="" textlink="">
      <xdr:nvSpPr>
        <xdr:cNvPr id="26" name="Right Arrow 13">
          <a:extLst>
            <a:ext uri="{FF2B5EF4-FFF2-40B4-BE49-F238E27FC236}">
              <a16:creationId xmlns:a16="http://schemas.microsoft.com/office/drawing/2014/main" id="{B70A46C9-2626-498F-AEFD-77207B3C4468}"/>
            </a:ext>
          </a:extLst>
        </xdr:cNvPr>
        <xdr:cNvSpPr/>
      </xdr:nvSpPr>
      <xdr:spPr>
        <a:xfrm>
          <a:off x="11553825" y="304419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182</xdr:row>
      <xdr:rowOff>152400</xdr:rowOff>
    </xdr:from>
    <xdr:to>
      <xdr:col>9</xdr:col>
      <xdr:colOff>387858</xdr:colOff>
      <xdr:row>184</xdr:row>
      <xdr:rowOff>38100</xdr:rowOff>
    </xdr:to>
    <xdr:sp macro="" textlink="">
      <xdr:nvSpPr>
        <xdr:cNvPr id="27" name="Right Arrow 13">
          <a:extLst>
            <a:ext uri="{FF2B5EF4-FFF2-40B4-BE49-F238E27FC236}">
              <a16:creationId xmlns:a16="http://schemas.microsoft.com/office/drawing/2014/main" id="{1DF64C1B-362E-4A36-A9D6-98356B96E32B}"/>
            </a:ext>
          </a:extLst>
        </xdr:cNvPr>
        <xdr:cNvSpPr/>
      </xdr:nvSpPr>
      <xdr:spPr>
        <a:xfrm>
          <a:off x="11563350" y="348234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187</xdr:row>
      <xdr:rowOff>152400</xdr:rowOff>
    </xdr:from>
    <xdr:to>
      <xdr:col>9</xdr:col>
      <xdr:colOff>378333</xdr:colOff>
      <xdr:row>189</xdr:row>
      <xdr:rowOff>38100</xdr:rowOff>
    </xdr:to>
    <xdr:sp macro="" textlink="">
      <xdr:nvSpPr>
        <xdr:cNvPr id="28" name="Right Arrow 13">
          <a:extLst>
            <a:ext uri="{FF2B5EF4-FFF2-40B4-BE49-F238E27FC236}">
              <a16:creationId xmlns:a16="http://schemas.microsoft.com/office/drawing/2014/main" id="{04F1C210-EAB3-47B2-87E0-C9B9930A2AE6}"/>
            </a:ext>
          </a:extLst>
        </xdr:cNvPr>
        <xdr:cNvSpPr/>
      </xdr:nvSpPr>
      <xdr:spPr>
        <a:xfrm>
          <a:off x="11553825" y="357759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201</xdr:row>
      <xdr:rowOff>152400</xdr:rowOff>
    </xdr:from>
    <xdr:to>
      <xdr:col>9</xdr:col>
      <xdr:colOff>387858</xdr:colOff>
      <xdr:row>203</xdr:row>
      <xdr:rowOff>38100</xdr:rowOff>
    </xdr:to>
    <xdr:sp macro="" textlink="">
      <xdr:nvSpPr>
        <xdr:cNvPr id="29" name="Right Arrow 13">
          <a:extLst>
            <a:ext uri="{FF2B5EF4-FFF2-40B4-BE49-F238E27FC236}">
              <a16:creationId xmlns:a16="http://schemas.microsoft.com/office/drawing/2014/main" id="{F4CB06BE-0480-4215-9872-CB0E3AA736AC}"/>
            </a:ext>
          </a:extLst>
        </xdr:cNvPr>
        <xdr:cNvSpPr/>
      </xdr:nvSpPr>
      <xdr:spPr>
        <a:xfrm>
          <a:off x="11563350" y="3869055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202</xdr:row>
      <xdr:rowOff>161925</xdr:rowOff>
    </xdr:from>
    <xdr:to>
      <xdr:col>9</xdr:col>
      <xdr:colOff>378333</xdr:colOff>
      <xdr:row>204</xdr:row>
      <xdr:rowOff>47625</xdr:rowOff>
    </xdr:to>
    <xdr:sp macro="" textlink="">
      <xdr:nvSpPr>
        <xdr:cNvPr id="30" name="Right Arrow 13">
          <a:extLst>
            <a:ext uri="{FF2B5EF4-FFF2-40B4-BE49-F238E27FC236}">
              <a16:creationId xmlns:a16="http://schemas.microsoft.com/office/drawing/2014/main" id="{C283B61C-3301-454F-8341-C9CF0177ECD4}"/>
            </a:ext>
          </a:extLst>
        </xdr:cNvPr>
        <xdr:cNvSpPr/>
      </xdr:nvSpPr>
      <xdr:spPr>
        <a:xfrm>
          <a:off x="11553825" y="3889057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206</xdr:row>
      <xdr:rowOff>142875</xdr:rowOff>
    </xdr:from>
    <xdr:to>
      <xdr:col>9</xdr:col>
      <xdr:colOff>378333</xdr:colOff>
      <xdr:row>208</xdr:row>
      <xdr:rowOff>28575</xdr:rowOff>
    </xdr:to>
    <xdr:sp macro="" textlink="">
      <xdr:nvSpPr>
        <xdr:cNvPr id="31" name="Right Arrow 13">
          <a:extLst>
            <a:ext uri="{FF2B5EF4-FFF2-40B4-BE49-F238E27FC236}">
              <a16:creationId xmlns:a16="http://schemas.microsoft.com/office/drawing/2014/main" id="{A22D67EB-3BAA-4A8C-A15D-0CF097837B8D}"/>
            </a:ext>
          </a:extLst>
        </xdr:cNvPr>
        <xdr:cNvSpPr/>
      </xdr:nvSpPr>
      <xdr:spPr>
        <a:xfrm>
          <a:off x="11553825" y="396335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209</xdr:row>
      <xdr:rowOff>152400</xdr:rowOff>
    </xdr:from>
    <xdr:to>
      <xdr:col>9</xdr:col>
      <xdr:colOff>387858</xdr:colOff>
      <xdr:row>211</xdr:row>
      <xdr:rowOff>38100</xdr:rowOff>
    </xdr:to>
    <xdr:sp macro="" textlink="">
      <xdr:nvSpPr>
        <xdr:cNvPr id="32" name="Right Arrow 13">
          <a:extLst>
            <a:ext uri="{FF2B5EF4-FFF2-40B4-BE49-F238E27FC236}">
              <a16:creationId xmlns:a16="http://schemas.microsoft.com/office/drawing/2014/main" id="{B48EC74F-3107-43E5-A877-6AAE7338AF53}"/>
            </a:ext>
          </a:extLst>
        </xdr:cNvPr>
        <xdr:cNvSpPr/>
      </xdr:nvSpPr>
      <xdr:spPr>
        <a:xfrm>
          <a:off x="11563350" y="4021455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224</xdr:row>
      <xdr:rowOff>142875</xdr:rowOff>
    </xdr:from>
    <xdr:to>
      <xdr:col>9</xdr:col>
      <xdr:colOff>378333</xdr:colOff>
      <xdr:row>226</xdr:row>
      <xdr:rowOff>28575</xdr:rowOff>
    </xdr:to>
    <xdr:sp macro="" textlink="">
      <xdr:nvSpPr>
        <xdr:cNvPr id="35" name="Right Arrow 13">
          <a:extLst>
            <a:ext uri="{FF2B5EF4-FFF2-40B4-BE49-F238E27FC236}">
              <a16:creationId xmlns:a16="http://schemas.microsoft.com/office/drawing/2014/main" id="{9C3CCB78-AEDA-4A61-9E87-5B4D400C276F}"/>
            </a:ext>
          </a:extLst>
        </xdr:cNvPr>
        <xdr:cNvSpPr/>
      </xdr:nvSpPr>
      <xdr:spPr>
        <a:xfrm>
          <a:off x="11553825" y="431006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225</xdr:row>
      <xdr:rowOff>142875</xdr:rowOff>
    </xdr:from>
    <xdr:to>
      <xdr:col>9</xdr:col>
      <xdr:colOff>378333</xdr:colOff>
      <xdr:row>227</xdr:row>
      <xdr:rowOff>28575</xdr:rowOff>
    </xdr:to>
    <xdr:sp macro="" textlink="">
      <xdr:nvSpPr>
        <xdr:cNvPr id="36" name="Right Arrow 13">
          <a:extLst>
            <a:ext uri="{FF2B5EF4-FFF2-40B4-BE49-F238E27FC236}">
              <a16:creationId xmlns:a16="http://schemas.microsoft.com/office/drawing/2014/main" id="{A91C6A30-F2A5-43B9-9625-3B1CA53DA083}"/>
            </a:ext>
          </a:extLst>
        </xdr:cNvPr>
        <xdr:cNvSpPr/>
      </xdr:nvSpPr>
      <xdr:spPr>
        <a:xfrm>
          <a:off x="11553825" y="432816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240</xdr:row>
      <xdr:rowOff>152400</xdr:rowOff>
    </xdr:from>
    <xdr:to>
      <xdr:col>9</xdr:col>
      <xdr:colOff>368808</xdr:colOff>
      <xdr:row>242</xdr:row>
      <xdr:rowOff>38100</xdr:rowOff>
    </xdr:to>
    <xdr:sp macro="" textlink="">
      <xdr:nvSpPr>
        <xdr:cNvPr id="37" name="Right Arrow 13">
          <a:extLst>
            <a:ext uri="{FF2B5EF4-FFF2-40B4-BE49-F238E27FC236}">
              <a16:creationId xmlns:a16="http://schemas.microsoft.com/office/drawing/2014/main" id="{BAA1759A-F60E-4325-9D02-360E75554B2E}"/>
            </a:ext>
          </a:extLst>
        </xdr:cNvPr>
        <xdr:cNvSpPr/>
      </xdr:nvSpPr>
      <xdr:spPr>
        <a:xfrm>
          <a:off x="11544300" y="461772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241</xdr:row>
      <xdr:rowOff>152400</xdr:rowOff>
    </xdr:from>
    <xdr:to>
      <xdr:col>9</xdr:col>
      <xdr:colOff>368808</xdr:colOff>
      <xdr:row>243</xdr:row>
      <xdr:rowOff>38100</xdr:rowOff>
    </xdr:to>
    <xdr:sp macro="" textlink="">
      <xdr:nvSpPr>
        <xdr:cNvPr id="38" name="Right Arrow 13">
          <a:extLst>
            <a:ext uri="{FF2B5EF4-FFF2-40B4-BE49-F238E27FC236}">
              <a16:creationId xmlns:a16="http://schemas.microsoft.com/office/drawing/2014/main" id="{FE459B47-E920-472E-83EE-C0916056FBD2}"/>
            </a:ext>
          </a:extLst>
        </xdr:cNvPr>
        <xdr:cNvSpPr/>
      </xdr:nvSpPr>
      <xdr:spPr>
        <a:xfrm>
          <a:off x="11544300" y="463677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231</xdr:row>
      <xdr:rowOff>142875</xdr:rowOff>
    </xdr:from>
    <xdr:to>
      <xdr:col>9</xdr:col>
      <xdr:colOff>378333</xdr:colOff>
      <xdr:row>233</xdr:row>
      <xdr:rowOff>28575</xdr:rowOff>
    </xdr:to>
    <xdr:sp macro="" textlink="">
      <xdr:nvSpPr>
        <xdr:cNvPr id="39" name="Right Arrow 13">
          <a:extLst>
            <a:ext uri="{FF2B5EF4-FFF2-40B4-BE49-F238E27FC236}">
              <a16:creationId xmlns:a16="http://schemas.microsoft.com/office/drawing/2014/main" id="{D0CF3936-0776-4BB1-AC00-B21546888AEE}"/>
            </a:ext>
          </a:extLst>
        </xdr:cNvPr>
        <xdr:cNvSpPr/>
      </xdr:nvSpPr>
      <xdr:spPr>
        <a:xfrm>
          <a:off x="11553825" y="4445317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273</xdr:row>
      <xdr:rowOff>152400</xdr:rowOff>
    </xdr:from>
    <xdr:to>
      <xdr:col>9</xdr:col>
      <xdr:colOff>378333</xdr:colOff>
      <xdr:row>275</xdr:row>
      <xdr:rowOff>38100</xdr:rowOff>
    </xdr:to>
    <xdr:sp macro="" textlink="">
      <xdr:nvSpPr>
        <xdr:cNvPr id="42" name="Right Arrow 13">
          <a:extLst>
            <a:ext uri="{FF2B5EF4-FFF2-40B4-BE49-F238E27FC236}">
              <a16:creationId xmlns:a16="http://schemas.microsoft.com/office/drawing/2014/main" id="{CEC0C9DC-9782-430C-8724-823BCFD311F3}"/>
            </a:ext>
          </a:extLst>
        </xdr:cNvPr>
        <xdr:cNvSpPr/>
      </xdr:nvSpPr>
      <xdr:spPr>
        <a:xfrm>
          <a:off x="11553825" y="525018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245</xdr:row>
      <xdr:rowOff>152400</xdr:rowOff>
    </xdr:from>
    <xdr:to>
      <xdr:col>9</xdr:col>
      <xdr:colOff>387858</xdr:colOff>
      <xdr:row>247</xdr:row>
      <xdr:rowOff>38100</xdr:rowOff>
    </xdr:to>
    <xdr:sp macro="" textlink="">
      <xdr:nvSpPr>
        <xdr:cNvPr id="43" name="Right Arrow 13">
          <a:extLst>
            <a:ext uri="{FF2B5EF4-FFF2-40B4-BE49-F238E27FC236}">
              <a16:creationId xmlns:a16="http://schemas.microsoft.com/office/drawing/2014/main" id="{BE209882-8B2D-49E4-BCDD-58D72136E9C0}"/>
            </a:ext>
          </a:extLst>
        </xdr:cNvPr>
        <xdr:cNvSpPr/>
      </xdr:nvSpPr>
      <xdr:spPr>
        <a:xfrm>
          <a:off x="11563350" y="4714875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253</xdr:row>
      <xdr:rowOff>152400</xdr:rowOff>
    </xdr:from>
    <xdr:to>
      <xdr:col>9</xdr:col>
      <xdr:colOff>387858</xdr:colOff>
      <xdr:row>255</xdr:row>
      <xdr:rowOff>38100</xdr:rowOff>
    </xdr:to>
    <xdr:sp macro="" textlink="">
      <xdr:nvSpPr>
        <xdr:cNvPr id="44" name="Right Arrow 13">
          <a:extLst>
            <a:ext uri="{FF2B5EF4-FFF2-40B4-BE49-F238E27FC236}">
              <a16:creationId xmlns:a16="http://schemas.microsoft.com/office/drawing/2014/main" id="{76E7F4B4-4CA3-475D-B5AA-E8E64014E8C8}"/>
            </a:ext>
          </a:extLst>
        </xdr:cNvPr>
        <xdr:cNvSpPr/>
      </xdr:nvSpPr>
      <xdr:spPr>
        <a:xfrm>
          <a:off x="11563350" y="4867275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305</xdr:row>
      <xdr:rowOff>152400</xdr:rowOff>
    </xdr:from>
    <xdr:to>
      <xdr:col>9</xdr:col>
      <xdr:colOff>378333</xdr:colOff>
      <xdr:row>307</xdr:row>
      <xdr:rowOff>38100</xdr:rowOff>
    </xdr:to>
    <xdr:sp macro="" textlink="">
      <xdr:nvSpPr>
        <xdr:cNvPr id="45" name="Right Arrow 13">
          <a:extLst>
            <a:ext uri="{FF2B5EF4-FFF2-40B4-BE49-F238E27FC236}">
              <a16:creationId xmlns:a16="http://schemas.microsoft.com/office/drawing/2014/main" id="{8C4426FA-F0A7-49B0-B12F-1E0EFA6F0DC4}"/>
            </a:ext>
          </a:extLst>
        </xdr:cNvPr>
        <xdr:cNvSpPr/>
      </xdr:nvSpPr>
      <xdr:spPr>
        <a:xfrm>
          <a:off x="11553825" y="586359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333</xdr:row>
      <xdr:rowOff>152400</xdr:rowOff>
    </xdr:from>
    <xdr:to>
      <xdr:col>9</xdr:col>
      <xdr:colOff>368808</xdr:colOff>
      <xdr:row>335</xdr:row>
      <xdr:rowOff>38100</xdr:rowOff>
    </xdr:to>
    <xdr:sp macro="" textlink="">
      <xdr:nvSpPr>
        <xdr:cNvPr id="47" name="Right Arrow 13">
          <a:extLst>
            <a:ext uri="{FF2B5EF4-FFF2-40B4-BE49-F238E27FC236}">
              <a16:creationId xmlns:a16="http://schemas.microsoft.com/office/drawing/2014/main" id="{8094F543-666C-431C-8273-A201715C5CA9}"/>
            </a:ext>
          </a:extLst>
        </xdr:cNvPr>
        <xdr:cNvSpPr/>
      </xdr:nvSpPr>
      <xdr:spPr>
        <a:xfrm>
          <a:off x="11544300" y="640080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335</xdr:row>
      <xdr:rowOff>161925</xdr:rowOff>
    </xdr:from>
    <xdr:to>
      <xdr:col>9</xdr:col>
      <xdr:colOff>387858</xdr:colOff>
      <xdr:row>337</xdr:row>
      <xdr:rowOff>47625</xdr:rowOff>
    </xdr:to>
    <xdr:sp macro="" textlink="">
      <xdr:nvSpPr>
        <xdr:cNvPr id="49" name="Right Arrow 13">
          <a:extLst>
            <a:ext uri="{FF2B5EF4-FFF2-40B4-BE49-F238E27FC236}">
              <a16:creationId xmlns:a16="http://schemas.microsoft.com/office/drawing/2014/main" id="{57C7FDC0-CBD2-43B4-9109-EE0E2D985C7B}"/>
            </a:ext>
          </a:extLst>
        </xdr:cNvPr>
        <xdr:cNvSpPr/>
      </xdr:nvSpPr>
      <xdr:spPr>
        <a:xfrm>
          <a:off x="11563350" y="643985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336</xdr:row>
      <xdr:rowOff>161925</xdr:rowOff>
    </xdr:from>
    <xdr:to>
      <xdr:col>9</xdr:col>
      <xdr:colOff>378333</xdr:colOff>
      <xdr:row>338</xdr:row>
      <xdr:rowOff>47625</xdr:rowOff>
    </xdr:to>
    <xdr:sp macro="" textlink="">
      <xdr:nvSpPr>
        <xdr:cNvPr id="50" name="Right Arrow 13">
          <a:extLst>
            <a:ext uri="{FF2B5EF4-FFF2-40B4-BE49-F238E27FC236}">
              <a16:creationId xmlns:a16="http://schemas.microsoft.com/office/drawing/2014/main" id="{CFE96738-63FC-488F-B332-9244E1DFAE55}"/>
            </a:ext>
          </a:extLst>
        </xdr:cNvPr>
        <xdr:cNvSpPr/>
      </xdr:nvSpPr>
      <xdr:spPr>
        <a:xfrm>
          <a:off x="11553825" y="645890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337</xdr:row>
      <xdr:rowOff>161925</xdr:rowOff>
    </xdr:from>
    <xdr:to>
      <xdr:col>9</xdr:col>
      <xdr:colOff>387858</xdr:colOff>
      <xdr:row>339</xdr:row>
      <xdr:rowOff>47625</xdr:rowOff>
    </xdr:to>
    <xdr:sp macro="" textlink="">
      <xdr:nvSpPr>
        <xdr:cNvPr id="51" name="Right Arrow 13">
          <a:extLst>
            <a:ext uri="{FF2B5EF4-FFF2-40B4-BE49-F238E27FC236}">
              <a16:creationId xmlns:a16="http://schemas.microsoft.com/office/drawing/2014/main" id="{CB32A618-B836-497E-8C59-2756E4CE7B26}"/>
            </a:ext>
          </a:extLst>
        </xdr:cNvPr>
        <xdr:cNvSpPr/>
      </xdr:nvSpPr>
      <xdr:spPr>
        <a:xfrm>
          <a:off x="11563350" y="6477952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349</xdr:row>
      <xdr:rowOff>152400</xdr:rowOff>
    </xdr:from>
    <xdr:to>
      <xdr:col>9</xdr:col>
      <xdr:colOff>387858</xdr:colOff>
      <xdr:row>351</xdr:row>
      <xdr:rowOff>38100</xdr:rowOff>
    </xdr:to>
    <xdr:sp macro="" textlink="">
      <xdr:nvSpPr>
        <xdr:cNvPr id="52" name="Right Arrow 13">
          <a:extLst>
            <a:ext uri="{FF2B5EF4-FFF2-40B4-BE49-F238E27FC236}">
              <a16:creationId xmlns:a16="http://schemas.microsoft.com/office/drawing/2014/main" id="{EAB41365-2CCC-492C-B0A0-5283427FA663}"/>
            </a:ext>
          </a:extLst>
        </xdr:cNvPr>
        <xdr:cNvSpPr/>
      </xdr:nvSpPr>
      <xdr:spPr>
        <a:xfrm>
          <a:off x="11563350" y="6707505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350</xdr:row>
      <xdr:rowOff>161925</xdr:rowOff>
    </xdr:from>
    <xdr:to>
      <xdr:col>9</xdr:col>
      <xdr:colOff>387858</xdr:colOff>
      <xdr:row>352</xdr:row>
      <xdr:rowOff>47625</xdr:rowOff>
    </xdr:to>
    <xdr:sp macro="" textlink="">
      <xdr:nvSpPr>
        <xdr:cNvPr id="53" name="Right Arrow 13">
          <a:extLst>
            <a:ext uri="{FF2B5EF4-FFF2-40B4-BE49-F238E27FC236}">
              <a16:creationId xmlns:a16="http://schemas.microsoft.com/office/drawing/2014/main" id="{E19C9726-963D-45F3-9923-36DB45C2A894}"/>
            </a:ext>
          </a:extLst>
        </xdr:cNvPr>
        <xdr:cNvSpPr/>
      </xdr:nvSpPr>
      <xdr:spPr>
        <a:xfrm>
          <a:off x="11563350" y="67275075"/>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365</xdr:row>
      <xdr:rowOff>152400</xdr:rowOff>
    </xdr:from>
    <xdr:to>
      <xdr:col>9</xdr:col>
      <xdr:colOff>387858</xdr:colOff>
      <xdr:row>367</xdr:row>
      <xdr:rowOff>38100</xdr:rowOff>
    </xdr:to>
    <xdr:sp macro="" textlink="">
      <xdr:nvSpPr>
        <xdr:cNvPr id="54" name="Right Arrow 13">
          <a:extLst>
            <a:ext uri="{FF2B5EF4-FFF2-40B4-BE49-F238E27FC236}">
              <a16:creationId xmlns:a16="http://schemas.microsoft.com/office/drawing/2014/main" id="{80BEF96F-7CAB-4C6E-ADA0-AF6BD1EEA07B}"/>
            </a:ext>
          </a:extLst>
        </xdr:cNvPr>
        <xdr:cNvSpPr/>
      </xdr:nvSpPr>
      <xdr:spPr>
        <a:xfrm>
          <a:off x="11563350" y="701421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377</xdr:row>
      <xdr:rowOff>152400</xdr:rowOff>
    </xdr:from>
    <xdr:to>
      <xdr:col>9</xdr:col>
      <xdr:colOff>387858</xdr:colOff>
      <xdr:row>379</xdr:row>
      <xdr:rowOff>38100</xdr:rowOff>
    </xdr:to>
    <xdr:sp macro="" textlink="">
      <xdr:nvSpPr>
        <xdr:cNvPr id="41" name="Right Arrow 13">
          <a:extLst>
            <a:ext uri="{FF2B5EF4-FFF2-40B4-BE49-F238E27FC236}">
              <a16:creationId xmlns:a16="http://schemas.microsoft.com/office/drawing/2014/main" id="{CF8EF650-146F-4C13-9D2B-1498052D9FAE}"/>
            </a:ext>
          </a:extLst>
        </xdr:cNvPr>
        <xdr:cNvSpPr/>
      </xdr:nvSpPr>
      <xdr:spPr>
        <a:xfrm>
          <a:off x="11563350" y="701421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xdr:colOff>
      <xdr:row>400</xdr:row>
      <xdr:rowOff>152400</xdr:rowOff>
    </xdr:from>
    <xdr:to>
      <xdr:col>9</xdr:col>
      <xdr:colOff>378333</xdr:colOff>
      <xdr:row>402</xdr:row>
      <xdr:rowOff>38100</xdr:rowOff>
    </xdr:to>
    <xdr:sp macro="" textlink="">
      <xdr:nvSpPr>
        <xdr:cNvPr id="48" name="Right Arrow 13">
          <a:extLst>
            <a:ext uri="{FF2B5EF4-FFF2-40B4-BE49-F238E27FC236}">
              <a16:creationId xmlns:a16="http://schemas.microsoft.com/office/drawing/2014/main" id="{D34F9CF3-0180-4760-92DC-015ECB606281}"/>
            </a:ext>
          </a:extLst>
        </xdr:cNvPr>
        <xdr:cNvSpPr/>
      </xdr:nvSpPr>
      <xdr:spPr>
        <a:xfrm>
          <a:off x="11553825" y="76847700"/>
          <a:ext cx="978408"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85725</xdr:colOff>
      <xdr:row>41</xdr:row>
      <xdr:rowOff>9525</xdr:rowOff>
    </xdr:from>
    <xdr:to>
      <xdr:col>8</xdr:col>
      <xdr:colOff>0</xdr:colOff>
      <xdr:row>47</xdr:row>
      <xdr:rowOff>180975</xdr:rowOff>
    </xdr:to>
    <xdr:sp macro="" textlink="">
      <xdr:nvSpPr>
        <xdr:cNvPr id="2" name="TextBox 1">
          <a:extLst>
            <a:ext uri="{FF2B5EF4-FFF2-40B4-BE49-F238E27FC236}">
              <a16:creationId xmlns:a16="http://schemas.microsoft.com/office/drawing/2014/main" id="{00000000-0008-0000-1500-000002000000}"/>
            </a:ext>
          </a:extLst>
        </xdr:cNvPr>
        <xdr:cNvSpPr txBox="1"/>
      </xdr:nvSpPr>
      <xdr:spPr>
        <a:xfrm>
          <a:off x="1200150" y="7820025"/>
          <a:ext cx="9210675" cy="131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stack removed from SPEAR 2 fwd leakage current is an order of magnitude lower than the stack removed from the PEP II supply.  The only difference</a:t>
          </a:r>
          <a:r>
            <a:rPr lang="en-US" sz="1200" baseline="0"/>
            <a:t> is polarity of stack.  Test set up is exactly the same.  Tried several DMMs to measure current on the SPEAR stack and verified the series current thru the stack with hipot analog meter set to X10 scale (about 1.25 reading).  Will test the other 22 phase stacks and see if there is a pattern or did I make a procedural mistake in measurements.  Both stacks have a snubber similar to the snubber ckts found in the phase + crowbar tanks.  Snubber = .030 uF cap + 500 ohm 100 watt resistor.  Discovered the snubber adds approx. 1.2 uA extra leakage.  Don't want to apply volts and operate stack during testing w/o snubber in place. Will see if test set up with negative volts hipotter has a different leakage current for negative vs positive stacks.  Very sure both stacks tested in the fwd conducting direction.  </a:t>
          </a:r>
          <a:endParaRPr lang="en-US" sz="1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76200</xdr:colOff>
      <xdr:row>22</xdr:row>
      <xdr:rowOff>38100</xdr:rowOff>
    </xdr:from>
    <xdr:to>
      <xdr:col>6</xdr:col>
      <xdr:colOff>180975</xdr:colOff>
      <xdr:row>37</xdr:row>
      <xdr:rowOff>133350</xdr:rowOff>
    </xdr:to>
    <xdr:sp macro="" textlink="">
      <xdr:nvSpPr>
        <xdr:cNvPr id="3" name="TextBox 2">
          <a:extLst>
            <a:ext uri="{FF2B5EF4-FFF2-40B4-BE49-F238E27FC236}">
              <a16:creationId xmlns:a16="http://schemas.microsoft.com/office/drawing/2014/main" id="{00000000-0008-0000-1700-000003000000}"/>
            </a:ext>
          </a:extLst>
        </xdr:cNvPr>
        <xdr:cNvSpPr txBox="1"/>
      </xdr:nvSpPr>
      <xdr:spPr>
        <a:xfrm>
          <a:off x="1800225" y="4276725"/>
          <a:ext cx="5095875" cy="295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columns to the right of this text</a:t>
          </a:r>
          <a:r>
            <a:rPr lang="en-US" sz="1400" baseline="0"/>
            <a:t> box show the ohm values of each of the 14 stages of Spear 2 phase control stack S2 C-.  The left column of ohm values  are measured on the stack stage to stage with gate drive  boards removed from the stack.  The right column of ohm values are measured on the stack stage to stage with gate driver boards installed.  </a:t>
          </a:r>
        </a:p>
        <a:p>
          <a:endParaRPr lang="en-US" sz="1400" baseline="0"/>
        </a:p>
        <a:p>
          <a:r>
            <a:rPr lang="en-US" sz="1400" baseline="0"/>
            <a:t>As can clearly be seen, each stage of the parallel (to each stage) gate driver cards add a lot of leakage current in fwd direction to the stack's overall series current measurement.  From now on, all stage to stage ohm measurements will be made with both sets of gate trigger boards removed from  the stacks.  This will give us a truer measurement of  the ohm values of each SCR.</a:t>
          </a:r>
          <a:endParaRPr lang="en-US" sz="14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400050</xdr:colOff>
      <xdr:row>34</xdr:row>
      <xdr:rowOff>19050</xdr:rowOff>
    </xdr:from>
    <xdr:to>
      <xdr:col>9</xdr:col>
      <xdr:colOff>28575</xdr:colOff>
      <xdr:row>39</xdr:row>
      <xdr:rowOff>171450</xdr:rowOff>
    </xdr:to>
    <xdr:sp macro="" textlink="">
      <xdr:nvSpPr>
        <xdr:cNvPr id="2" name="TextBox 1">
          <a:extLst>
            <a:ext uri="{FF2B5EF4-FFF2-40B4-BE49-F238E27FC236}">
              <a16:creationId xmlns:a16="http://schemas.microsoft.com/office/drawing/2014/main" id="{00000000-0008-0000-1600-000002000000}"/>
            </a:ext>
          </a:extLst>
        </xdr:cNvPr>
        <xdr:cNvSpPr txBox="1"/>
      </xdr:nvSpPr>
      <xdr:spPr>
        <a:xfrm>
          <a:off x="1619250" y="6505575"/>
          <a:ext cx="774382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Notes</a:t>
          </a:r>
          <a:r>
            <a:rPr lang="en-US" sz="1100"/>
            <a:t>:  failed components on gate drive boards were</a:t>
          </a:r>
          <a:r>
            <a:rPr lang="en-US" sz="1100" baseline="0"/>
            <a:t> visually seen, not checked electrically.  Shorted or near-shorted SCRs were verified electrically with HV probe and measured as fwd voltage drop across the stage with gate drive boards attached.  The differences in the self-firing (over-volts) tests are due to whether or not a stack had 14 stages or 13 stages.  4 of the stacks had 14 stages; remaining 8 have 13 stages.  Also, if a stack had a shorted SCR, the self-firing voltage decreases by a proportional amount.</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400050</xdr:colOff>
      <xdr:row>34</xdr:row>
      <xdr:rowOff>19050</xdr:rowOff>
    </xdr:from>
    <xdr:to>
      <xdr:col>9</xdr:col>
      <xdr:colOff>28575</xdr:colOff>
      <xdr:row>39</xdr:row>
      <xdr:rowOff>171450</xdr:rowOff>
    </xdr:to>
    <xdr:sp macro="" textlink="">
      <xdr:nvSpPr>
        <xdr:cNvPr id="2" name="TextBox 1">
          <a:extLst>
            <a:ext uri="{FF2B5EF4-FFF2-40B4-BE49-F238E27FC236}">
              <a16:creationId xmlns:a16="http://schemas.microsoft.com/office/drawing/2014/main" id="{666E96CF-B058-4F1D-A178-3B45D6E978EA}"/>
            </a:ext>
          </a:extLst>
        </xdr:cNvPr>
        <xdr:cNvSpPr txBox="1"/>
      </xdr:nvSpPr>
      <xdr:spPr>
        <a:xfrm>
          <a:off x="1619250" y="6505575"/>
          <a:ext cx="939165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Notes</a:t>
          </a:r>
          <a:r>
            <a:rPr lang="en-US" sz="1100"/>
            <a:t>: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76200</xdr:colOff>
      <xdr:row>199</xdr:row>
      <xdr:rowOff>133350</xdr:rowOff>
    </xdr:from>
    <xdr:to>
      <xdr:col>10</xdr:col>
      <xdr:colOff>1371600</xdr:colOff>
      <xdr:row>203</xdr:row>
      <xdr:rowOff>47625</xdr:rowOff>
    </xdr:to>
    <xdr:sp macro="" textlink="">
      <xdr:nvSpPr>
        <xdr:cNvPr id="2" name="TextBox 1">
          <a:extLst>
            <a:ext uri="{FF2B5EF4-FFF2-40B4-BE49-F238E27FC236}">
              <a16:creationId xmlns:a16="http://schemas.microsoft.com/office/drawing/2014/main" id="{603D9F5A-698B-0B9A-7F08-18E6D2970F29}"/>
            </a:ext>
          </a:extLst>
        </xdr:cNvPr>
        <xdr:cNvSpPr txBox="1"/>
      </xdr:nvSpPr>
      <xdr:spPr>
        <a:xfrm>
          <a:off x="1457325" y="38166675"/>
          <a:ext cx="1090612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Repair totals:  Replaced a total of twenty</a:t>
          </a:r>
          <a:r>
            <a:rPr lang="en-US" sz="1600" b="1" baseline="0"/>
            <a:t> nine 2500 volt MOVs.  Replaced 6 SCRs.  Replaced 83 Z40 (4 KV) blocking diodes on gate drive boards with Z50 (5KV) diodes.</a:t>
          </a:r>
          <a:endParaRPr lang="en-US" sz="1600" b="1"/>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76200</xdr:colOff>
      <xdr:row>210</xdr:row>
      <xdr:rowOff>133350</xdr:rowOff>
    </xdr:from>
    <xdr:to>
      <xdr:col>11</xdr:col>
      <xdr:colOff>1371600</xdr:colOff>
      <xdr:row>214</xdr:row>
      <xdr:rowOff>47625</xdr:rowOff>
    </xdr:to>
    <xdr:sp macro="" textlink="">
      <xdr:nvSpPr>
        <xdr:cNvPr id="2" name="TextBox 1">
          <a:extLst>
            <a:ext uri="{FF2B5EF4-FFF2-40B4-BE49-F238E27FC236}">
              <a16:creationId xmlns:a16="http://schemas.microsoft.com/office/drawing/2014/main" id="{5919824B-8683-4064-9757-5CDDE79D0524}"/>
            </a:ext>
          </a:extLst>
        </xdr:cNvPr>
        <xdr:cNvSpPr txBox="1"/>
      </xdr:nvSpPr>
      <xdr:spPr>
        <a:xfrm>
          <a:off x="1457325" y="38166675"/>
          <a:ext cx="1090612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Repair totals:  Replaced a total of twenty</a:t>
          </a:r>
          <a:r>
            <a:rPr lang="en-US" sz="1600" b="1" baseline="0"/>
            <a:t> nine 2500 volt MOVs.  Replaced 6 SCRs.  Replaced 83 Z40 (4 KV) blocking diodes on gate drive boards with Z50 (5KV) diodes.</a:t>
          </a:r>
          <a:endParaRPr lang="en-US" sz="1600" b="1"/>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windowProtection="1" topLeftCell="I6" workbookViewId="0">
      <selection activeCell="A20" sqref="A20"/>
    </sheetView>
  </sheetViews>
  <sheetFormatPr defaultRowHeight="15" x14ac:dyDescent="0.25"/>
  <cols>
    <col min="1" max="1" width="31.5703125" customWidth="1"/>
    <col min="2" max="2" width="11" customWidth="1"/>
    <col min="3" max="3" width="13.85546875" customWidth="1"/>
    <col min="4" max="4" width="11.28515625" style="1" customWidth="1"/>
  </cols>
  <sheetData>
    <row r="1" spans="1:12" ht="30" x14ac:dyDescent="0.25">
      <c r="A1" s="2" t="s">
        <v>0</v>
      </c>
      <c r="B1" s="1"/>
      <c r="C1" s="7" t="s">
        <v>27</v>
      </c>
      <c r="E1" s="6"/>
      <c r="F1" s="6"/>
      <c r="G1" s="6"/>
      <c r="H1" s="6"/>
      <c r="I1" s="6"/>
      <c r="J1" s="6"/>
      <c r="K1" s="1"/>
      <c r="L1" s="1"/>
    </row>
    <row r="2" spans="1:12" ht="15.75" x14ac:dyDescent="0.25">
      <c r="A2" s="2"/>
      <c r="B2" s="1"/>
      <c r="C2" s="3"/>
      <c r="E2" s="6"/>
      <c r="F2" s="6"/>
      <c r="G2" s="6"/>
      <c r="H2" s="6"/>
      <c r="I2" s="6"/>
      <c r="J2" s="6"/>
      <c r="K2" s="1"/>
      <c r="L2" s="1"/>
    </row>
    <row r="3" spans="1:12" x14ac:dyDescent="0.25">
      <c r="A3" s="6" t="s">
        <v>26</v>
      </c>
      <c r="B3" s="6"/>
      <c r="C3" s="6"/>
      <c r="E3" s="1"/>
      <c r="F3" s="1"/>
      <c r="G3" s="1"/>
      <c r="H3" s="1"/>
      <c r="I3" s="1"/>
      <c r="J3" s="1"/>
      <c r="K3" s="1"/>
      <c r="L3" s="1"/>
    </row>
    <row r="4" spans="1:12" ht="15.75" thickBot="1" x14ac:dyDescent="0.3">
      <c r="A4" s="6"/>
      <c r="B4" s="6"/>
      <c r="C4" s="6"/>
      <c r="E4" s="1"/>
      <c r="F4" s="1"/>
      <c r="G4" s="1"/>
      <c r="H4" s="1"/>
      <c r="I4" s="1"/>
      <c r="J4" s="1"/>
      <c r="K4" s="1"/>
      <c r="L4" s="1"/>
    </row>
    <row r="5" spans="1:12" x14ac:dyDescent="0.25">
      <c r="A5" s="11" t="s">
        <v>9</v>
      </c>
      <c r="B5" s="1" t="s">
        <v>5</v>
      </c>
      <c r="C5" s="3" t="s">
        <v>7</v>
      </c>
      <c r="D5" s="4" t="s">
        <v>13</v>
      </c>
      <c r="E5" s="1" t="s">
        <v>16</v>
      </c>
      <c r="F5" s="1"/>
      <c r="G5" s="1"/>
      <c r="H5" s="1"/>
      <c r="I5" s="1"/>
      <c r="J5" s="1"/>
      <c r="K5" s="1"/>
      <c r="L5" s="1"/>
    </row>
    <row r="6" spans="1:12" ht="15.75" thickBot="1" x14ac:dyDescent="0.3">
      <c r="A6" s="12" t="s">
        <v>10</v>
      </c>
      <c r="B6" s="1" t="s">
        <v>6</v>
      </c>
      <c r="C6" s="3" t="s">
        <v>8</v>
      </c>
      <c r="D6" s="1" t="s">
        <v>14</v>
      </c>
      <c r="E6" s="1" t="s">
        <v>17</v>
      </c>
      <c r="F6" s="1"/>
      <c r="G6" s="1"/>
      <c r="H6" s="1"/>
      <c r="I6" s="1"/>
      <c r="J6" s="1"/>
      <c r="K6" s="1"/>
      <c r="L6" s="1"/>
    </row>
    <row r="7" spans="1:12" x14ac:dyDescent="0.25">
      <c r="A7" s="1"/>
      <c r="B7" s="1"/>
      <c r="C7" s="3" t="s">
        <v>19</v>
      </c>
      <c r="D7" s="1" t="s">
        <v>15</v>
      </c>
      <c r="E7" s="1" t="s">
        <v>15</v>
      </c>
      <c r="F7" s="1"/>
      <c r="G7" s="1"/>
      <c r="H7" s="1"/>
      <c r="I7" s="1"/>
      <c r="J7" s="1"/>
      <c r="K7" s="1"/>
      <c r="L7" s="1"/>
    </row>
    <row r="8" spans="1:12" x14ac:dyDescent="0.25">
      <c r="A8" s="1"/>
      <c r="B8" s="1"/>
      <c r="C8" s="3"/>
      <c r="E8" s="1"/>
      <c r="F8" s="1"/>
      <c r="G8" s="1"/>
      <c r="H8" s="1"/>
      <c r="I8" s="1"/>
      <c r="J8" s="1"/>
      <c r="K8" s="1"/>
      <c r="L8" s="1"/>
    </row>
    <row r="9" spans="1:12" x14ac:dyDescent="0.25">
      <c r="A9" s="1" t="s">
        <v>1</v>
      </c>
      <c r="B9" s="9" t="s">
        <v>25</v>
      </c>
      <c r="C9" s="4" t="s">
        <v>24</v>
      </c>
      <c r="D9" s="4" t="s">
        <v>22</v>
      </c>
      <c r="E9" s="4" t="s">
        <v>18</v>
      </c>
      <c r="F9" s="1"/>
      <c r="G9" s="1"/>
      <c r="H9" s="1"/>
      <c r="I9" s="1"/>
      <c r="J9" s="1"/>
      <c r="K9" s="1"/>
      <c r="L9" s="1"/>
    </row>
    <row r="10" spans="1:12" x14ac:dyDescent="0.25">
      <c r="A10" s="1"/>
      <c r="B10" s="1"/>
      <c r="C10" s="4"/>
      <c r="D10" s="4"/>
      <c r="E10" s="4"/>
      <c r="F10" s="1"/>
      <c r="G10" s="1"/>
      <c r="H10" s="1"/>
      <c r="I10" s="1"/>
      <c r="J10" s="1"/>
      <c r="K10" s="1"/>
      <c r="L10" s="1"/>
    </row>
    <row r="11" spans="1:12" x14ac:dyDescent="0.25">
      <c r="A11" s="1" t="s">
        <v>2</v>
      </c>
      <c r="B11" s="8">
        <v>0.86199999999999999</v>
      </c>
      <c r="C11" s="1" t="s">
        <v>12</v>
      </c>
      <c r="D11" s="1" t="s">
        <v>21</v>
      </c>
      <c r="E11" s="1" t="s">
        <v>18</v>
      </c>
      <c r="F11" s="1"/>
      <c r="G11" s="1"/>
      <c r="H11" s="1"/>
      <c r="I11" s="1"/>
      <c r="J11" s="1"/>
      <c r="K11" s="1"/>
      <c r="L11" s="1"/>
    </row>
    <row r="12" spans="1:12" x14ac:dyDescent="0.25">
      <c r="A12" s="1"/>
      <c r="B12" s="1"/>
      <c r="C12" s="1"/>
      <c r="E12" s="1"/>
      <c r="F12" s="1"/>
      <c r="G12" s="1"/>
      <c r="H12" s="1"/>
      <c r="I12" s="1"/>
      <c r="J12" s="1"/>
      <c r="K12" s="1"/>
      <c r="L12" s="1"/>
    </row>
    <row r="13" spans="1:12" x14ac:dyDescent="0.25">
      <c r="A13" s="1" t="s">
        <v>3</v>
      </c>
      <c r="B13" s="8">
        <v>0.88800000000000001</v>
      </c>
      <c r="C13" s="1" t="s">
        <v>31</v>
      </c>
      <c r="D13" s="1" t="s">
        <v>28</v>
      </c>
      <c r="E13" s="1" t="s">
        <v>18</v>
      </c>
      <c r="F13" s="1"/>
      <c r="G13" s="1"/>
      <c r="H13" s="1"/>
      <c r="I13" s="1"/>
      <c r="J13" s="1"/>
      <c r="K13" s="1"/>
      <c r="L13" s="1"/>
    </row>
    <row r="14" spans="1:12" x14ac:dyDescent="0.25">
      <c r="A14" s="1"/>
      <c r="B14" s="1"/>
      <c r="C14" s="1"/>
      <c r="E14" s="1"/>
      <c r="F14" s="1"/>
      <c r="G14" s="1"/>
      <c r="H14" s="1"/>
      <c r="I14" s="1"/>
      <c r="J14" s="1"/>
      <c r="K14" s="1"/>
      <c r="L14" s="1"/>
    </row>
    <row r="15" spans="1:12" x14ac:dyDescent="0.25">
      <c r="A15" s="1" t="s">
        <v>4</v>
      </c>
      <c r="B15" s="5" t="s">
        <v>29</v>
      </c>
      <c r="C15" s="1" t="s">
        <v>20</v>
      </c>
      <c r="D15" s="1" t="s">
        <v>23</v>
      </c>
      <c r="E15" s="1" t="s">
        <v>18</v>
      </c>
      <c r="F15" s="1"/>
      <c r="G15" s="1"/>
      <c r="H15" s="1"/>
      <c r="I15" s="1"/>
      <c r="J15" s="1"/>
      <c r="K15" s="1"/>
      <c r="L15" s="1"/>
    </row>
    <row r="16" spans="1:12" x14ac:dyDescent="0.25">
      <c r="A16" s="1"/>
      <c r="B16" s="1"/>
      <c r="C16" s="1"/>
      <c r="E16" s="1"/>
      <c r="F16" s="1"/>
      <c r="G16" s="1"/>
      <c r="H16" s="1"/>
      <c r="I16" s="1"/>
      <c r="J16" s="1"/>
      <c r="K16" s="1"/>
      <c r="L16" s="1"/>
    </row>
    <row r="17" spans="1:12" ht="30" x14ac:dyDescent="0.25">
      <c r="A17" s="4" t="s">
        <v>11</v>
      </c>
      <c r="B17" s="4"/>
      <c r="C17" s="1"/>
      <c r="E17" s="1"/>
      <c r="F17" s="1"/>
      <c r="G17" s="1"/>
      <c r="H17" s="1"/>
      <c r="I17" s="1"/>
      <c r="J17" s="1"/>
      <c r="K17" s="1"/>
      <c r="L17" s="1"/>
    </row>
    <row r="18" spans="1:12" x14ac:dyDescent="0.25">
      <c r="A18" s="1"/>
      <c r="B18" s="1"/>
      <c r="C18" s="1"/>
      <c r="E18" s="1"/>
      <c r="F18" s="1"/>
      <c r="G18" s="1"/>
      <c r="H18" s="1"/>
      <c r="I18" s="1"/>
      <c r="J18" s="1"/>
      <c r="K18" s="1"/>
      <c r="L18" s="1"/>
    </row>
    <row r="19" spans="1:12" ht="15.75" thickBot="1" x14ac:dyDescent="0.3">
      <c r="A19" s="1"/>
      <c r="B19" s="1"/>
      <c r="C19" s="1"/>
      <c r="E19" s="1"/>
      <c r="F19" s="1"/>
      <c r="G19" s="1"/>
      <c r="H19" s="1"/>
      <c r="I19" s="1"/>
      <c r="J19" s="1"/>
      <c r="K19" s="1"/>
      <c r="L19" s="1"/>
    </row>
    <row r="20" spans="1:12" ht="135.75" thickBot="1" x14ac:dyDescent="0.3">
      <c r="A20" s="10" t="s">
        <v>30</v>
      </c>
      <c r="B20" s="1"/>
      <c r="C20" s="1"/>
      <c r="E20" s="1"/>
      <c r="F20" s="1"/>
      <c r="G20" s="1"/>
      <c r="H20" s="1"/>
      <c r="I20" s="1"/>
      <c r="J20" s="1"/>
      <c r="K20" s="1"/>
      <c r="L20" s="1"/>
    </row>
    <row r="21" spans="1:12" x14ac:dyDescent="0.25">
      <c r="A21" s="1"/>
      <c r="B21" s="1"/>
      <c r="C21" s="1"/>
      <c r="E21" s="1"/>
      <c r="F21" s="1"/>
      <c r="G21" s="1"/>
      <c r="H21" s="1"/>
      <c r="I21" s="1"/>
      <c r="J21" s="1"/>
      <c r="K21" s="1"/>
      <c r="L21" s="1"/>
    </row>
    <row r="22" spans="1:12" x14ac:dyDescent="0.25">
      <c r="A22" s="1"/>
      <c r="B22" s="1"/>
      <c r="C22" s="1"/>
      <c r="E22" s="1"/>
      <c r="F22" s="1"/>
      <c r="G22" s="1"/>
      <c r="H22" s="1"/>
      <c r="I22" s="1"/>
      <c r="J22" s="1"/>
      <c r="K22" s="1"/>
      <c r="L22" s="1"/>
    </row>
    <row r="23" spans="1:12" x14ac:dyDescent="0.25">
      <c r="A23" s="1"/>
      <c r="B23" s="1"/>
      <c r="C23" s="1"/>
      <c r="E23" s="1"/>
      <c r="F23" s="1"/>
      <c r="G23" s="1"/>
      <c r="H23" s="1"/>
      <c r="I23" s="1"/>
      <c r="J23" s="1"/>
      <c r="K23" s="1"/>
      <c r="L23" s="1"/>
    </row>
    <row r="24" spans="1:12" x14ac:dyDescent="0.25">
      <c r="A24" s="1"/>
      <c r="B24" s="1"/>
      <c r="C24" s="1"/>
      <c r="E24" s="1"/>
      <c r="F24" s="1"/>
      <c r="G24" s="1"/>
      <c r="H24" s="1"/>
      <c r="I24" s="1"/>
      <c r="J24" s="1"/>
      <c r="K24" s="1"/>
      <c r="L24" s="1"/>
    </row>
    <row r="25" spans="1:12" x14ac:dyDescent="0.25">
      <c r="A25" s="1"/>
      <c r="B25" s="1"/>
      <c r="C25" s="1"/>
      <c r="E25" s="1"/>
      <c r="F25" s="1"/>
      <c r="G25" s="1"/>
      <c r="H25" s="1"/>
      <c r="I25" s="1"/>
      <c r="J25" s="1"/>
      <c r="K25" s="1"/>
      <c r="L25" s="1"/>
    </row>
    <row r="26" spans="1:12" x14ac:dyDescent="0.25">
      <c r="A26" s="1"/>
      <c r="B26" s="1"/>
      <c r="C26" s="1"/>
      <c r="E26" s="1"/>
      <c r="F26" s="1"/>
      <c r="G26" s="1"/>
      <c r="H26" s="1"/>
      <c r="I26" s="1"/>
      <c r="J26" s="1"/>
      <c r="K26" s="1"/>
      <c r="L26" s="1"/>
    </row>
    <row r="27" spans="1:12" x14ac:dyDescent="0.25">
      <c r="A27" s="1"/>
      <c r="B27" s="1"/>
      <c r="C27" s="1"/>
      <c r="E27" s="1"/>
      <c r="F27" s="1"/>
      <c r="G27" s="1"/>
      <c r="H27" s="1"/>
      <c r="I27" s="1"/>
      <c r="J27" s="1"/>
      <c r="K27" s="1"/>
      <c r="L27" s="1"/>
    </row>
    <row r="28" spans="1:12" x14ac:dyDescent="0.25">
      <c r="A28" s="1"/>
      <c r="B28" s="1"/>
      <c r="C28" s="1"/>
      <c r="E28" s="1"/>
      <c r="F28" s="1"/>
      <c r="G28" s="1"/>
      <c r="H28" s="1"/>
      <c r="I28" s="1"/>
      <c r="J28" s="1"/>
      <c r="K28" s="1"/>
      <c r="L28" s="1"/>
    </row>
    <row r="29" spans="1:12" x14ac:dyDescent="0.25">
      <c r="A29" s="1"/>
      <c r="B29" s="1"/>
      <c r="C29" s="1"/>
      <c r="E29" s="1"/>
      <c r="F29" s="1"/>
      <c r="G29" s="1"/>
      <c r="H29" s="1"/>
      <c r="I29" s="1"/>
      <c r="J29" s="1"/>
      <c r="K29" s="1"/>
      <c r="L29" s="1"/>
    </row>
    <row r="30" spans="1:12" x14ac:dyDescent="0.25">
      <c r="A30" s="1"/>
      <c r="B30" s="1"/>
      <c r="C30" s="1"/>
      <c r="E30" s="1"/>
      <c r="F30" s="1"/>
      <c r="G30" s="1"/>
      <c r="H30" s="1"/>
      <c r="I30" s="1"/>
      <c r="J30" s="1"/>
      <c r="K30" s="1"/>
      <c r="L30" s="1"/>
    </row>
    <row r="31" spans="1:12" x14ac:dyDescent="0.25">
      <c r="A31" s="1"/>
      <c r="B31" s="1"/>
      <c r="C31" s="1"/>
      <c r="E31" s="1"/>
      <c r="F31" s="1"/>
      <c r="G31" s="1"/>
      <c r="H31" s="1"/>
      <c r="I31" s="1"/>
      <c r="J31" s="1"/>
      <c r="K31" s="1"/>
      <c r="L31" s="1"/>
    </row>
    <row r="32" spans="1:12" x14ac:dyDescent="0.25">
      <c r="A32" s="1"/>
      <c r="B32" s="1"/>
      <c r="C32" s="1"/>
      <c r="E32" s="1"/>
      <c r="F32" s="1"/>
      <c r="G32" s="1"/>
      <c r="H32" s="1"/>
      <c r="I32" s="1"/>
      <c r="J32" s="1"/>
      <c r="K32" s="1"/>
      <c r="L32" s="1"/>
    </row>
    <row r="33" spans="1:12" x14ac:dyDescent="0.25">
      <c r="A33" s="1"/>
      <c r="B33" s="1"/>
      <c r="C33" s="1"/>
      <c r="E33" s="1"/>
      <c r="F33" s="1"/>
      <c r="G33" s="1"/>
      <c r="H33" s="1"/>
      <c r="I33" s="1"/>
      <c r="J33" s="1"/>
      <c r="K33" s="1"/>
      <c r="L33" s="1"/>
    </row>
    <row r="34" spans="1:12" x14ac:dyDescent="0.25">
      <c r="A34" s="1"/>
      <c r="B34" s="1"/>
      <c r="C34" s="1"/>
      <c r="E34" s="1"/>
      <c r="F34" s="1"/>
      <c r="G34" s="1"/>
      <c r="H34" s="1"/>
      <c r="I34" s="1"/>
      <c r="J34" s="1"/>
      <c r="K34" s="1"/>
      <c r="L34" s="1"/>
    </row>
    <row r="35" spans="1:12" x14ac:dyDescent="0.25">
      <c r="A35" s="1"/>
      <c r="B35" s="1"/>
      <c r="C35" s="1"/>
      <c r="E35" s="1"/>
      <c r="F35" s="1"/>
      <c r="G35" s="1"/>
      <c r="H35" s="1"/>
      <c r="I35" s="1"/>
      <c r="J35" s="1"/>
      <c r="K35" s="1"/>
      <c r="L35" s="1"/>
    </row>
    <row r="36" spans="1:12" x14ac:dyDescent="0.25">
      <c r="A36" s="1"/>
      <c r="B36" s="1"/>
      <c r="C36" s="1"/>
      <c r="E36" s="1"/>
      <c r="F36" s="1"/>
      <c r="G36" s="1"/>
      <c r="H36" s="1"/>
      <c r="I36" s="1"/>
      <c r="J36" s="1"/>
      <c r="K36" s="1"/>
      <c r="L36" s="1"/>
    </row>
    <row r="37" spans="1:12" x14ac:dyDescent="0.25">
      <c r="A37" s="1"/>
      <c r="B37" s="1"/>
      <c r="C37" s="1"/>
      <c r="E37" s="1"/>
      <c r="F37" s="1"/>
      <c r="G37" s="1"/>
      <c r="H37" s="1"/>
      <c r="I37" s="1"/>
      <c r="J37" s="1"/>
      <c r="K37" s="1"/>
      <c r="L37" s="1"/>
    </row>
    <row r="38" spans="1:12" x14ac:dyDescent="0.25">
      <c r="A38" s="1"/>
      <c r="B38" s="1"/>
      <c r="C38" s="1"/>
      <c r="E38" s="1"/>
      <c r="F38" s="1"/>
      <c r="G38" s="1"/>
      <c r="H38" s="1"/>
      <c r="I38" s="1"/>
      <c r="J38" s="1"/>
      <c r="K38" s="1"/>
      <c r="L38" s="1"/>
    </row>
    <row r="39" spans="1:12" x14ac:dyDescent="0.25">
      <c r="A39" s="1"/>
      <c r="B39" s="1"/>
      <c r="C39" s="1"/>
      <c r="E39" s="1"/>
      <c r="F39" s="1"/>
      <c r="G39" s="1"/>
      <c r="H39" s="1"/>
      <c r="I39" s="1"/>
      <c r="J39" s="1"/>
      <c r="K39" s="1"/>
      <c r="L39" s="1"/>
    </row>
    <row r="40" spans="1:12" x14ac:dyDescent="0.25">
      <c r="A40" s="1"/>
      <c r="B40" s="1"/>
      <c r="C40" s="1"/>
      <c r="E40" s="1"/>
      <c r="F40" s="1"/>
      <c r="G40" s="1"/>
      <c r="H40" s="1"/>
      <c r="I40" s="1"/>
      <c r="J40" s="1"/>
      <c r="K40" s="1"/>
      <c r="L40" s="1"/>
    </row>
    <row r="41" spans="1:12" x14ac:dyDescent="0.25">
      <c r="A41" s="1"/>
      <c r="B41" s="1"/>
      <c r="C41" s="1"/>
      <c r="E41" s="1"/>
      <c r="F41" s="1"/>
      <c r="G41" s="1"/>
      <c r="H41" s="1"/>
      <c r="I41" s="1"/>
      <c r="J41" s="1"/>
      <c r="K41" s="1"/>
      <c r="L41" s="1"/>
    </row>
    <row r="42" spans="1:12" x14ac:dyDescent="0.25">
      <c r="A42" s="1"/>
      <c r="B42" s="1"/>
      <c r="C42" s="1"/>
      <c r="E42" s="1"/>
      <c r="F42" s="1"/>
      <c r="G42" s="1"/>
      <c r="H42" s="1"/>
      <c r="I42" s="1"/>
      <c r="J42" s="1"/>
      <c r="K42" s="1"/>
      <c r="L42" s="1"/>
    </row>
    <row r="43" spans="1:12" x14ac:dyDescent="0.25">
      <c r="A43" s="1"/>
      <c r="B43" s="1"/>
      <c r="C43" s="1"/>
      <c r="E43" s="1"/>
      <c r="F43" s="1"/>
      <c r="G43" s="1"/>
      <c r="H43" s="1"/>
      <c r="I43" s="1"/>
      <c r="J43" s="1"/>
      <c r="K43" s="1"/>
      <c r="L43" s="1"/>
    </row>
    <row r="44" spans="1:12" x14ac:dyDescent="0.25">
      <c r="A44" s="1"/>
      <c r="B44" s="1"/>
      <c r="C44" s="1"/>
      <c r="E44" s="1"/>
      <c r="F44" s="1"/>
      <c r="G44" s="1"/>
      <c r="H44" s="1"/>
      <c r="I44" s="1"/>
      <c r="J44" s="1"/>
      <c r="K44" s="1"/>
      <c r="L44" s="1"/>
    </row>
    <row r="45" spans="1:12" x14ac:dyDescent="0.25">
      <c r="A45" s="1"/>
      <c r="B45" s="1"/>
      <c r="C45" s="1"/>
      <c r="E45" s="1"/>
      <c r="F45" s="1"/>
      <c r="G45" s="1"/>
      <c r="H45" s="1"/>
      <c r="I45" s="1"/>
      <c r="J45" s="1"/>
      <c r="K45" s="1"/>
      <c r="L45" s="1"/>
    </row>
    <row r="46" spans="1:12" x14ac:dyDescent="0.25">
      <c r="A46" s="1"/>
      <c r="B46" s="1"/>
      <c r="C46" s="1"/>
      <c r="E46" s="1"/>
      <c r="F46" s="1"/>
      <c r="G46" s="1"/>
      <c r="H46" s="1"/>
      <c r="I46" s="1"/>
      <c r="J46" s="1"/>
      <c r="K46" s="1"/>
      <c r="L46" s="1"/>
    </row>
    <row r="47" spans="1:12" x14ac:dyDescent="0.25">
      <c r="A47" s="1"/>
      <c r="B47" s="1"/>
      <c r="C47" s="1"/>
      <c r="E47" s="1"/>
      <c r="F47" s="1"/>
      <c r="G47" s="1"/>
      <c r="H47" s="1"/>
      <c r="I47" s="1"/>
      <c r="J47" s="1"/>
      <c r="K47" s="1"/>
      <c r="L47" s="1"/>
    </row>
    <row r="48" spans="1:12" x14ac:dyDescent="0.25">
      <c r="A48" s="1"/>
      <c r="B48" s="1"/>
      <c r="C48" s="1"/>
      <c r="E48" s="1"/>
      <c r="F48" s="1"/>
      <c r="G48" s="1"/>
      <c r="H48" s="1"/>
      <c r="I48" s="1"/>
      <c r="J48" s="1"/>
      <c r="K48" s="1"/>
      <c r="L48" s="1"/>
    </row>
    <row r="49" spans="1:12" x14ac:dyDescent="0.25">
      <c r="A49" s="1"/>
      <c r="B49" s="1"/>
      <c r="C49" s="1"/>
      <c r="E49" s="1"/>
      <c r="F49" s="1"/>
      <c r="G49" s="1"/>
      <c r="H49" s="1"/>
      <c r="I49" s="1"/>
      <c r="J49" s="1"/>
      <c r="K49" s="1"/>
      <c r="L49" s="1"/>
    </row>
    <row r="50" spans="1:12" x14ac:dyDescent="0.25">
      <c r="A50" s="1"/>
      <c r="B50" s="1"/>
      <c r="C50" s="1"/>
      <c r="E50" s="1"/>
      <c r="F50" s="1"/>
      <c r="G50" s="1"/>
      <c r="H50" s="1"/>
      <c r="I50" s="1"/>
      <c r="J50" s="1"/>
      <c r="K50" s="1"/>
      <c r="L50" s="1"/>
    </row>
    <row r="51" spans="1:12" x14ac:dyDescent="0.25">
      <c r="A51" s="1"/>
      <c r="B51" s="1"/>
      <c r="C51" s="1"/>
      <c r="E51" s="1"/>
      <c r="F51" s="1"/>
      <c r="G51" s="1"/>
      <c r="H51" s="1"/>
      <c r="I51" s="1"/>
      <c r="J51" s="1"/>
      <c r="K51" s="1"/>
      <c r="L51" s="1"/>
    </row>
    <row r="52" spans="1:12" x14ac:dyDescent="0.25">
      <c r="A52" s="1"/>
      <c r="B52" s="1"/>
      <c r="C52" s="1"/>
      <c r="E52" s="1"/>
      <c r="F52" s="1"/>
      <c r="G52" s="1"/>
      <c r="H52" s="1"/>
      <c r="I52" s="1"/>
      <c r="J52" s="1"/>
      <c r="K52" s="1"/>
      <c r="L52" s="1"/>
    </row>
    <row r="53" spans="1:12" x14ac:dyDescent="0.25">
      <c r="A53" s="1"/>
      <c r="B53" s="1"/>
      <c r="C53" s="1"/>
      <c r="E53" s="1"/>
      <c r="F53" s="1"/>
      <c r="G53" s="1"/>
      <c r="H53" s="1"/>
      <c r="I53" s="1"/>
      <c r="J53" s="1"/>
      <c r="K53" s="1"/>
      <c r="L53" s="1"/>
    </row>
    <row r="54" spans="1:12" x14ac:dyDescent="0.25">
      <c r="A54" s="1"/>
      <c r="B54" s="1"/>
      <c r="C54" s="1"/>
      <c r="E54" s="1"/>
      <c r="F54" s="1"/>
      <c r="G54" s="1"/>
      <c r="H54" s="1"/>
      <c r="I54" s="1"/>
      <c r="J54" s="1"/>
      <c r="K54" s="1"/>
      <c r="L54" s="1"/>
    </row>
    <row r="55" spans="1:12" x14ac:dyDescent="0.25">
      <c r="A55" s="1"/>
      <c r="B55" s="1"/>
      <c r="C55" s="1"/>
      <c r="E55" s="1"/>
      <c r="F55" s="1"/>
      <c r="G55" s="1"/>
      <c r="H55" s="1"/>
      <c r="I55" s="1"/>
      <c r="J55" s="1"/>
      <c r="K55" s="1"/>
      <c r="L55" s="1"/>
    </row>
    <row r="56" spans="1:12" x14ac:dyDescent="0.25">
      <c r="A56" s="1"/>
      <c r="B56" s="1"/>
      <c r="C56" s="1"/>
      <c r="E56" s="1"/>
      <c r="F56" s="1"/>
      <c r="G56" s="1"/>
      <c r="H56" s="1"/>
      <c r="I56" s="1"/>
      <c r="J56" s="1"/>
      <c r="K56" s="1"/>
      <c r="L56" s="1"/>
    </row>
    <row r="57" spans="1:12" x14ac:dyDescent="0.25">
      <c r="A57" s="1"/>
      <c r="B57" s="1"/>
      <c r="C57" s="1"/>
      <c r="E57" s="1"/>
      <c r="F57" s="1"/>
      <c r="G57" s="1"/>
      <c r="H57" s="1"/>
      <c r="I57" s="1"/>
      <c r="J57" s="1"/>
      <c r="K57" s="1"/>
      <c r="L57" s="1"/>
    </row>
    <row r="58" spans="1:12" x14ac:dyDescent="0.25">
      <c r="A58" s="1"/>
      <c r="B58" s="1"/>
      <c r="C58" s="1"/>
      <c r="E58" s="1"/>
      <c r="F58" s="1"/>
      <c r="G58" s="1"/>
      <c r="H58" s="1"/>
      <c r="I58" s="1"/>
      <c r="J58" s="1"/>
      <c r="K58" s="1"/>
      <c r="L58" s="1"/>
    </row>
    <row r="59" spans="1:12" x14ac:dyDescent="0.25">
      <c r="A59" s="1"/>
      <c r="B59" s="1"/>
      <c r="C59" s="1"/>
      <c r="E59" s="1"/>
      <c r="F59" s="1"/>
      <c r="G59" s="1"/>
      <c r="H59" s="1"/>
      <c r="I59" s="1"/>
      <c r="J59" s="1"/>
      <c r="K59" s="1"/>
      <c r="L59" s="1"/>
    </row>
    <row r="60" spans="1:12" x14ac:dyDescent="0.25">
      <c r="A60" s="1"/>
      <c r="B60" s="1"/>
      <c r="C60" s="1"/>
      <c r="E60" s="1"/>
      <c r="F60" s="1"/>
      <c r="G60" s="1"/>
      <c r="H60" s="1"/>
      <c r="I60" s="1"/>
      <c r="J60" s="1"/>
      <c r="K60" s="1"/>
      <c r="L60" s="1"/>
    </row>
    <row r="61" spans="1:12" x14ac:dyDescent="0.25">
      <c r="A61" s="1"/>
      <c r="B61" s="1"/>
      <c r="C61" s="1"/>
      <c r="E61" s="1"/>
      <c r="F61" s="1"/>
      <c r="G61" s="1"/>
      <c r="H61" s="1"/>
      <c r="I61" s="1"/>
      <c r="J61" s="1"/>
      <c r="K61" s="1"/>
      <c r="L61" s="1"/>
    </row>
    <row r="62" spans="1:12" x14ac:dyDescent="0.25">
      <c r="A62" s="1"/>
      <c r="B62" s="1"/>
      <c r="C62" s="1"/>
      <c r="E62" s="1"/>
      <c r="F62" s="1"/>
      <c r="G62" s="1"/>
      <c r="H62" s="1"/>
      <c r="I62" s="1"/>
      <c r="J62" s="1"/>
      <c r="K62" s="1"/>
      <c r="L62" s="1"/>
    </row>
    <row r="63" spans="1:12" x14ac:dyDescent="0.25">
      <c r="A63" s="1"/>
      <c r="B63" s="1"/>
      <c r="C63" s="1"/>
      <c r="E63" s="1"/>
      <c r="F63" s="1"/>
      <c r="G63" s="1"/>
      <c r="H63" s="1"/>
      <c r="I63" s="1"/>
      <c r="J63" s="1"/>
      <c r="K63" s="1"/>
      <c r="L63" s="1"/>
    </row>
    <row r="64" spans="1:12" x14ac:dyDescent="0.25">
      <c r="A64" s="1"/>
      <c r="B64" s="1"/>
      <c r="C64" s="1"/>
      <c r="E64" s="1"/>
      <c r="F64" s="1"/>
      <c r="G64" s="1"/>
      <c r="H64" s="1"/>
      <c r="I64" s="1"/>
      <c r="J64" s="1"/>
      <c r="K64" s="1"/>
      <c r="L64" s="1"/>
    </row>
    <row r="65" spans="1:12" x14ac:dyDescent="0.25">
      <c r="A65" s="1"/>
      <c r="B65" s="1"/>
      <c r="C65" s="1"/>
      <c r="E65" s="1"/>
      <c r="F65" s="1"/>
      <c r="G65" s="1"/>
      <c r="H65" s="1"/>
      <c r="I65" s="1"/>
      <c r="J65" s="1"/>
      <c r="K65" s="1"/>
      <c r="L65" s="1"/>
    </row>
    <row r="66" spans="1:12" x14ac:dyDescent="0.25">
      <c r="A66" s="1"/>
      <c r="B66" s="1"/>
      <c r="C66" s="1"/>
      <c r="E66" s="1"/>
      <c r="F66" s="1"/>
      <c r="G66" s="1"/>
      <c r="H66" s="1"/>
      <c r="I66" s="1"/>
      <c r="J66" s="1"/>
      <c r="K66" s="1"/>
      <c r="L66" s="1"/>
    </row>
    <row r="67" spans="1:12" x14ac:dyDescent="0.25">
      <c r="A67" s="1"/>
      <c r="B67" s="1"/>
      <c r="C67" s="1"/>
      <c r="E67" s="1"/>
      <c r="F67" s="1"/>
      <c r="G67" s="1"/>
      <c r="H67" s="1"/>
      <c r="I67" s="1"/>
      <c r="J67" s="1"/>
      <c r="K67" s="1"/>
      <c r="L67" s="1"/>
    </row>
    <row r="68" spans="1:12" x14ac:dyDescent="0.25">
      <c r="A68" s="1"/>
      <c r="B68" s="1"/>
      <c r="C68" s="1"/>
      <c r="E68" s="1"/>
      <c r="F68" s="1"/>
      <c r="G68" s="1"/>
      <c r="H68" s="1"/>
      <c r="I68" s="1"/>
      <c r="J68" s="1"/>
      <c r="K68" s="1"/>
      <c r="L68" s="1"/>
    </row>
    <row r="69" spans="1:12" x14ac:dyDescent="0.25">
      <c r="A69" s="1"/>
      <c r="B69" s="1"/>
      <c r="C69" s="1"/>
      <c r="E69" s="1"/>
      <c r="F69" s="1"/>
      <c r="G69" s="1"/>
      <c r="H69" s="1"/>
      <c r="I69" s="1"/>
      <c r="J69" s="1"/>
      <c r="K69" s="1"/>
      <c r="L69" s="1"/>
    </row>
    <row r="70" spans="1:12" x14ac:dyDescent="0.25">
      <c r="A70" s="1"/>
      <c r="B70" s="1"/>
      <c r="C70" s="1"/>
      <c r="E70" s="1"/>
      <c r="F70" s="1"/>
      <c r="G70" s="1"/>
      <c r="H70" s="1"/>
      <c r="I70" s="1"/>
      <c r="J70" s="1"/>
      <c r="K70" s="1"/>
      <c r="L70" s="1"/>
    </row>
    <row r="71" spans="1:12" x14ac:dyDescent="0.25">
      <c r="A71" s="1"/>
      <c r="B71" s="1"/>
      <c r="C71" s="1"/>
      <c r="E71" s="1"/>
      <c r="F71" s="1"/>
      <c r="G71" s="1"/>
      <c r="H71" s="1"/>
      <c r="I71" s="1"/>
      <c r="J71" s="1"/>
      <c r="K71" s="1"/>
      <c r="L71" s="1"/>
    </row>
    <row r="72" spans="1:12" x14ac:dyDescent="0.25">
      <c r="A72" s="1"/>
      <c r="B72" s="1"/>
      <c r="C72" s="1"/>
      <c r="E72" s="1"/>
      <c r="F72" s="1"/>
      <c r="G72" s="1"/>
      <c r="H72" s="1"/>
      <c r="I72" s="1"/>
      <c r="J72" s="1"/>
      <c r="K72" s="1"/>
      <c r="L72" s="1"/>
    </row>
    <row r="73" spans="1:12" x14ac:dyDescent="0.25">
      <c r="A73" s="1"/>
      <c r="B73" s="1"/>
      <c r="C73" s="1"/>
      <c r="E73" s="1"/>
      <c r="F73" s="1"/>
      <c r="G73" s="1"/>
      <c r="H73" s="1"/>
      <c r="I73" s="1"/>
      <c r="J73" s="1"/>
      <c r="K73" s="1"/>
      <c r="L73" s="1"/>
    </row>
    <row r="74" spans="1:12" x14ac:dyDescent="0.25">
      <c r="A74" s="1"/>
      <c r="B74" s="1"/>
      <c r="C74" s="1"/>
      <c r="E74" s="1"/>
      <c r="F74" s="1"/>
      <c r="G74" s="1"/>
      <c r="H74" s="1"/>
      <c r="I74" s="1"/>
      <c r="J74" s="1"/>
      <c r="K74" s="1"/>
      <c r="L74" s="1"/>
    </row>
    <row r="75" spans="1:12" x14ac:dyDescent="0.25">
      <c r="A75" s="1"/>
      <c r="B75" s="1"/>
      <c r="C75" s="1"/>
      <c r="E75" s="1"/>
      <c r="F75" s="1"/>
      <c r="G75" s="1"/>
      <c r="H75" s="1"/>
      <c r="I75" s="1"/>
      <c r="J75" s="1"/>
      <c r="K75" s="1"/>
      <c r="L75" s="1"/>
    </row>
    <row r="76" spans="1:12" x14ac:dyDescent="0.25">
      <c r="A76" s="1"/>
      <c r="B76" s="1"/>
      <c r="C76" s="1"/>
      <c r="E76" s="1"/>
      <c r="F76" s="1"/>
      <c r="G76" s="1"/>
      <c r="H76" s="1"/>
      <c r="I76" s="1"/>
      <c r="J76" s="1"/>
      <c r="K76" s="1"/>
      <c r="L76" s="1"/>
    </row>
    <row r="77" spans="1:12" x14ac:dyDescent="0.25">
      <c r="A77" s="1"/>
      <c r="B77" s="1"/>
      <c r="C77" s="1"/>
      <c r="E77" s="1"/>
      <c r="F77" s="1"/>
      <c r="G77" s="1"/>
      <c r="H77" s="1"/>
      <c r="I77" s="1"/>
      <c r="J77" s="1"/>
      <c r="K77" s="1"/>
      <c r="L77" s="1"/>
    </row>
    <row r="78" spans="1:12" x14ac:dyDescent="0.25">
      <c r="A78" s="1"/>
      <c r="B78" s="1"/>
      <c r="C78" s="1"/>
      <c r="E78" s="1"/>
      <c r="F78" s="1"/>
      <c r="G78" s="1"/>
      <c r="H78" s="1"/>
      <c r="I78" s="1"/>
      <c r="J78" s="1"/>
      <c r="K78" s="1"/>
      <c r="L78" s="1"/>
    </row>
    <row r="79" spans="1:12" x14ac:dyDescent="0.25">
      <c r="A79" s="1"/>
      <c r="B79" s="1"/>
      <c r="C79" s="1"/>
      <c r="E79" s="1"/>
      <c r="F79" s="1"/>
      <c r="G79" s="1"/>
      <c r="H79" s="1"/>
      <c r="I79" s="1"/>
      <c r="J79" s="1"/>
      <c r="K79" s="1"/>
      <c r="L79" s="1"/>
    </row>
    <row r="80" spans="1:12" x14ac:dyDescent="0.25">
      <c r="A80" s="1"/>
      <c r="B80" s="1"/>
      <c r="C80" s="1"/>
      <c r="E80" s="1"/>
      <c r="F80" s="1"/>
      <c r="G80" s="1"/>
      <c r="H80" s="1"/>
      <c r="I80" s="1"/>
      <c r="J80" s="1"/>
      <c r="K80" s="1"/>
      <c r="L80" s="1"/>
    </row>
    <row r="81" spans="1:12" x14ac:dyDescent="0.25">
      <c r="A81" s="1"/>
      <c r="B81" s="1"/>
      <c r="C81" s="1"/>
      <c r="E81" s="1"/>
      <c r="F81" s="1"/>
      <c r="G81" s="1"/>
      <c r="H81" s="1"/>
      <c r="I81" s="1"/>
      <c r="J81" s="1"/>
      <c r="K81" s="1"/>
      <c r="L81" s="1"/>
    </row>
    <row r="82" spans="1:12" x14ac:dyDescent="0.25">
      <c r="A82" s="1"/>
      <c r="B82" s="1"/>
      <c r="C82" s="1"/>
      <c r="E82" s="1"/>
      <c r="F82" s="1"/>
      <c r="G82" s="1"/>
      <c r="H82" s="1"/>
      <c r="I82" s="1"/>
      <c r="J82" s="1"/>
      <c r="K82" s="1"/>
      <c r="L82" s="1"/>
    </row>
    <row r="83" spans="1:12" x14ac:dyDescent="0.25">
      <c r="A83" s="1"/>
      <c r="B83" s="1"/>
      <c r="C83" s="1"/>
      <c r="E83" s="1"/>
      <c r="F83" s="1"/>
      <c r="G83" s="1"/>
      <c r="H83" s="1"/>
      <c r="I83" s="1"/>
      <c r="J83" s="1"/>
      <c r="K83" s="1"/>
      <c r="L83" s="1"/>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indowProtection="1" workbookViewId="0">
      <selection activeCell="A18" sqref="A18"/>
    </sheetView>
  </sheetViews>
  <sheetFormatPr defaultRowHeight="15" x14ac:dyDescent="0.25"/>
  <cols>
    <col min="1" max="1" width="34.85546875" customWidth="1"/>
    <col min="2" max="3" width="11.5703125" customWidth="1"/>
    <col min="4" max="4" width="17.28515625" customWidth="1"/>
    <col min="5" max="5" width="11.7109375" customWidth="1"/>
  </cols>
  <sheetData>
    <row r="1" spans="1:6" ht="30" x14ac:dyDescent="0.25">
      <c r="A1" s="2" t="s">
        <v>0</v>
      </c>
      <c r="B1" s="1"/>
      <c r="C1" s="7" t="s">
        <v>37</v>
      </c>
      <c r="D1" s="1"/>
      <c r="E1" s="6"/>
      <c r="F1" s="6"/>
    </row>
    <row r="2" spans="1:6" ht="15.75" x14ac:dyDescent="0.25">
      <c r="A2" s="2"/>
      <c r="B2" s="1"/>
      <c r="C2" s="3"/>
      <c r="D2" s="1"/>
      <c r="E2" s="6"/>
      <c r="F2" s="6"/>
    </row>
    <row r="3" spans="1:6" x14ac:dyDescent="0.25">
      <c r="A3" s="6" t="s">
        <v>38</v>
      </c>
      <c r="B3" s="6"/>
      <c r="C3" s="6"/>
      <c r="D3" s="1"/>
      <c r="E3" s="1"/>
      <c r="F3" s="1"/>
    </row>
    <row r="4" spans="1:6" x14ac:dyDescent="0.25">
      <c r="A4" s="6"/>
      <c r="B4" s="6"/>
      <c r="C4" s="6"/>
      <c r="D4" s="1"/>
      <c r="E4" s="1"/>
      <c r="F4" s="1"/>
    </row>
    <row r="5" spans="1:6" x14ac:dyDescent="0.25">
      <c r="A5" s="13" t="s">
        <v>9</v>
      </c>
      <c r="B5" s="1" t="s">
        <v>5</v>
      </c>
      <c r="C5" s="3"/>
      <c r="D5" s="4" t="s">
        <v>13</v>
      </c>
      <c r="E5" s="1" t="s">
        <v>16</v>
      </c>
      <c r="F5" s="1"/>
    </row>
    <row r="6" spans="1:6" x14ac:dyDescent="0.25">
      <c r="A6" s="14" t="s">
        <v>10</v>
      </c>
      <c r="B6" s="1" t="s">
        <v>6</v>
      </c>
      <c r="C6" s="3"/>
      <c r="D6" s="1" t="s">
        <v>14</v>
      </c>
      <c r="E6" s="1" t="s">
        <v>17</v>
      </c>
      <c r="F6" s="1"/>
    </row>
    <row r="7" spans="1:6" x14ac:dyDescent="0.25">
      <c r="A7" s="1"/>
      <c r="B7" s="1"/>
      <c r="C7" s="3"/>
      <c r="D7" s="1" t="s">
        <v>15</v>
      </c>
      <c r="E7" s="1" t="s">
        <v>15</v>
      </c>
      <c r="F7" s="1"/>
    </row>
    <row r="8" spans="1:6" x14ac:dyDescent="0.25">
      <c r="A8" s="1"/>
      <c r="B8" s="1"/>
      <c r="C8" s="3"/>
      <c r="D8" s="1"/>
      <c r="E8" s="1"/>
      <c r="F8" s="1"/>
    </row>
    <row r="9" spans="1:6" x14ac:dyDescent="0.25">
      <c r="A9" s="1" t="s">
        <v>1</v>
      </c>
      <c r="B9" s="8">
        <v>0.85699999999999998</v>
      </c>
      <c r="C9" s="15" t="s">
        <v>35</v>
      </c>
      <c r="D9" s="16" t="s">
        <v>32</v>
      </c>
      <c r="E9" s="4" t="s">
        <v>18</v>
      </c>
      <c r="F9" s="1"/>
    </row>
    <row r="10" spans="1:6" x14ac:dyDescent="0.25">
      <c r="A10" s="1"/>
      <c r="B10" s="1"/>
      <c r="C10" s="4"/>
      <c r="D10" s="4"/>
      <c r="E10" s="4"/>
      <c r="F10" s="1"/>
    </row>
    <row r="11" spans="1:6" x14ac:dyDescent="0.25">
      <c r="A11" s="1" t="s">
        <v>2</v>
      </c>
      <c r="B11" s="9">
        <v>0.89100000000000001</v>
      </c>
      <c r="C11" s="1"/>
      <c r="D11" s="1" t="s">
        <v>33</v>
      </c>
      <c r="E11" s="1" t="s">
        <v>18</v>
      </c>
      <c r="F11" s="1"/>
    </row>
    <row r="12" spans="1:6" x14ac:dyDescent="0.25">
      <c r="A12" s="1"/>
      <c r="B12" s="1"/>
      <c r="C12" s="1"/>
      <c r="D12" s="1"/>
      <c r="E12" s="1"/>
      <c r="F12" s="1"/>
    </row>
    <row r="13" spans="1:6" x14ac:dyDescent="0.25">
      <c r="A13" s="1" t="s">
        <v>3</v>
      </c>
      <c r="B13" s="8">
        <v>0.86099999999999999</v>
      </c>
      <c r="C13" s="1"/>
      <c r="D13" s="1" t="s">
        <v>34</v>
      </c>
      <c r="E13" s="1" t="s">
        <v>18</v>
      </c>
      <c r="F13" s="1"/>
    </row>
    <row r="14" spans="1:6" x14ac:dyDescent="0.25">
      <c r="A14" s="1"/>
      <c r="B14" s="1"/>
      <c r="C14" s="1"/>
      <c r="D14" s="1"/>
      <c r="F14" s="1"/>
    </row>
    <row r="15" spans="1:6" x14ac:dyDescent="0.25">
      <c r="A15" s="1" t="s">
        <v>4</v>
      </c>
      <c r="B15" s="8">
        <v>0.88700000000000001</v>
      </c>
      <c r="C15" s="1"/>
      <c r="D15" s="1" t="s">
        <v>36</v>
      </c>
      <c r="E15" s="1" t="s">
        <v>18</v>
      </c>
      <c r="F15" s="1"/>
    </row>
    <row r="16" spans="1:6" x14ac:dyDescent="0.25">
      <c r="A16" s="1"/>
      <c r="B16" s="1"/>
      <c r="C16" s="1"/>
      <c r="D16" s="1"/>
      <c r="E16" s="1"/>
      <c r="F16" s="1"/>
    </row>
    <row r="17" spans="1:6" ht="15.75" thickBot="1" x14ac:dyDescent="0.3">
      <c r="A17" s="1"/>
      <c r="B17" s="1"/>
      <c r="C17" s="1"/>
      <c r="D17" s="1"/>
      <c r="E17" s="1"/>
      <c r="F17" s="1"/>
    </row>
    <row r="18" spans="1:6" ht="401.25" customHeight="1" thickBot="1" x14ac:dyDescent="0.3">
      <c r="A18" s="17"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3"/>
  <sheetViews>
    <sheetView windowProtection="1" topLeftCell="A39" workbookViewId="0">
      <selection activeCell="E22" sqref="E22"/>
    </sheetView>
  </sheetViews>
  <sheetFormatPr defaultRowHeight="15" x14ac:dyDescent="0.25"/>
  <cols>
    <col min="3" max="3" width="11.28515625" customWidth="1"/>
    <col min="4" max="4" width="12.42578125" customWidth="1"/>
    <col min="5" max="5" width="11.42578125" customWidth="1"/>
    <col min="6" max="6" width="10.7109375" style="18" customWidth="1"/>
    <col min="7" max="7" width="12.42578125" customWidth="1"/>
    <col min="8" max="8" width="10.28515625" customWidth="1"/>
    <col min="12" max="12" width="10.28515625" customWidth="1"/>
    <col min="13" max="13" width="10.7109375" customWidth="1"/>
    <col min="14" max="14" width="12" customWidth="1"/>
    <col min="15" max="15" width="11.42578125" customWidth="1"/>
    <col min="16" max="16" width="10.85546875" customWidth="1"/>
    <col min="17" max="17" width="12.28515625" customWidth="1"/>
  </cols>
  <sheetData>
    <row r="1" spans="1:19" x14ac:dyDescent="0.25">
      <c r="A1" s="19" t="s">
        <v>40</v>
      </c>
      <c r="B1" s="19"/>
      <c r="C1" s="19"/>
      <c r="D1" s="19"/>
      <c r="E1" s="19"/>
      <c r="F1" s="22">
        <v>43320</v>
      </c>
      <c r="K1" s="19" t="s">
        <v>40</v>
      </c>
      <c r="L1" s="19"/>
      <c r="M1" s="19"/>
      <c r="N1" s="19"/>
      <c r="O1" s="19"/>
      <c r="P1" s="22">
        <v>43327</v>
      </c>
    </row>
    <row r="2" spans="1:19" x14ac:dyDescent="0.25">
      <c r="P2" s="18"/>
    </row>
    <row r="3" spans="1:19" x14ac:dyDescent="0.25">
      <c r="A3" s="19" t="s">
        <v>50</v>
      </c>
      <c r="B3" s="19"/>
      <c r="C3" s="19"/>
      <c r="D3" s="19"/>
      <c r="E3" s="19"/>
      <c r="F3" s="20"/>
      <c r="K3" s="19" t="s">
        <v>107</v>
      </c>
      <c r="L3" s="19"/>
      <c r="M3" s="19"/>
      <c r="N3" s="19"/>
      <c r="O3" s="19"/>
      <c r="P3" s="20"/>
    </row>
    <row r="5" spans="1:19" x14ac:dyDescent="0.25">
      <c r="A5" s="18"/>
      <c r="B5" s="18"/>
      <c r="C5" s="18"/>
      <c r="D5" s="18"/>
      <c r="E5" s="18"/>
      <c r="G5" s="18"/>
    </row>
    <row r="6" spans="1:19" x14ac:dyDescent="0.25">
      <c r="A6" s="20" t="s">
        <v>41</v>
      </c>
      <c r="B6" s="24" t="s">
        <v>42</v>
      </c>
      <c r="C6" s="24" t="s">
        <v>51</v>
      </c>
      <c r="D6" s="24" t="s">
        <v>43</v>
      </c>
      <c r="E6" s="24" t="s">
        <v>44</v>
      </c>
      <c r="F6" s="24" t="s">
        <v>45</v>
      </c>
      <c r="G6" s="24" t="s">
        <v>46</v>
      </c>
      <c r="H6" s="24" t="s">
        <v>54</v>
      </c>
      <c r="K6" s="20" t="s">
        <v>41</v>
      </c>
      <c r="L6" s="24" t="s">
        <v>42</v>
      </c>
      <c r="M6" s="24" t="s">
        <v>51</v>
      </c>
      <c r="N6" s="24" t="s">
        <v>43</v>
      </c>
      <c r="O6" s="24" t="s">
        <v>44</v>
      </c>
      <c r="P6" s="24" t="s">
        <v>45</v>
      </c>
      <c r="Q6" s="24" t="s">
        <v>46</v>
      </c>
      <c r="R6" s="24" t="s">
        <v>54</v>
      </c>
    </row>
    <row r="7" spans="1:19" x14ac:dyDescent="0.25">
      <c r="B7" s="25"/>
      <c r="C7" s="25"/>
      <c r="D7" s="25"/>
      <c r="E7" s="25"/>
      <c r="F7" s="26"/>
      <c r="G7" s="25"/>
      <c r="H7" s="25"/>
      <c r="L7" s="25"/>
      <c r="M7" s="25"/>
      <c r="N7" s="25"/>
      <c r="O7" s="25"/>
      <c r="P7" s="26"/>
      <c r="Q7" s="25"/>
      <c r="R7" s="25"/>
    </row>
    <row r="8" spans="1:19" ht="15.75" x14ac:dyDescent="0.25">
      <c r="A8" s="21"/>
      <c r="B8" s="23">
        <v>1</v>
      </c>
      <c r="C8" s="23">
        <v>2436</v>
      </c>
      <c r="D8" s="23">
        <v>10.1</v>
      </c>
      <c r="E8" s="23">
        <v>17.7</v>
      </c>
      <c r="F8" s="23" t="s">
        <v>52</v>
      </c>
      <c r="G8" s="23" t="s">
        <v>58</v>
      </c>
      <c r="H8" s="23" t="s">
        <v>57</v>
      </c>
      <c r="K8" s="21"/>
      <c r="L8" s="23">
        <v>1</v>
      </c>
      <c r="M8" s="23">
        <v>2326</v>
      </c>
      <c r="N8" s="23" t="s">
        <v>108</v>
      </c>
      <c r="O8" s="23" t="s">
        <v>111</v>
      </c>
      <c r="P8" s="23" t="s">
        <v>52</v>
      </c>
      <c r="Q8" s="23">
        <v>7.35</v>
      </c>
      <c r="R8" s="27" t="s">
        <v>55</v>
      </c>
      <c r="S8" s="18"/>
    </row>
    <row r="9" spans="1:19" ht="15.75" x14ac:dyDescent="0.25">
      <c r="A9" s="21"/>
      <c r="B9" s="23">
        <v>2</v>
      </c>
      <c r="C9" s="23">
        <v>2364</v>
      </c>
      <c r="D9" s="23">
        <v>28.8</v>
      </c>
      <c r="E9" s="23">
        <v>49.2</v>
      </c>
      <c r="F9" s="23" t="s">
        <v>52</v>
      </c>
      <c r="G9" s="23" t="s">
        <v>56</v>
      </c>
      <c r="H9" s="23" t="s">
        <v>57</v>
      </c>
      <c r="K9" s="21"/>
      <c r="L9" s="23">
        <v>2</v>
      </c>
      <c r="M9" s="23">
        <v>2322</v>
      </c>
      <c r="N9" s="23">
        <v>34.6</v>
      </c>
      <c r="O9" s="23">
        <v>71</v>
      </c>
      <c r="P9" s="23" t="s">
        <v>52</v>
      </c>
      <c r="Q9" s="23">
        <v>7.8</v>
      </c>
      <c r="R9" s="23" t="s">
        <v>57</v>
      </c>
      <c r="S9" s="18"/>
    </row>
    <row r="10" spans="1:19" ht="15.75" x14ac:dyDescent="0.25">
      <c r="A10" s="21"/>
      <c r="B10" s="23">
        <v>3</v>
      </c>
      <c r="C10" s="23">
        <v>2362</v>
      </c>
      <c r="D10" s="23">
        <v>23.4</v>
      </c>
      <c r="E10" s="23">
        <v>64.2</v>
      </c>
      <c r="F10" s="23" t="s">
        <v>52</v>
      </c>
      <c r="G10" s="27" t="s">
        <v>53</v>
      </c>
      <c r="H10" s="27" t="s">
        <v>55</v>
      </c>
      <c r="K10" s="21"/>
      <c r="L10" s="23">
        <v>3</v>
      </c>
      <c r="M10" s="23">
        <v>2319</v>
      </c>
      <c r="N10" s="23">
        <v>20.5</v>
      </c>
      <c r="O10" s="23">
        <v>43</v>
      </c>
      <c r="P10" s="23" t="s">
        <v>52</v>
      </c>
      <c r="Q10" s="27" t="s">
        <v>65</v>
      </c>
      <c r="R10" s="27" t="s">
        <v>55</v>
      </c>
      <c r="S10" s="18"/>
    </row>
    <row r="11" spans="1:19" ht="15.75" x14ac:dyDescent="0.25">
      <c r="A11" s="21"/>
      <c r="B11" s="23">
        <v>4</v>
      </c>
      <c r="C11" s="23">
        <v>2357</v>
      </c>
      <c r="D11" s="23">
        <v>25.5</v>
      </c>
      <c r="E11" s="23">
        <v>42.4</v>
      </c>
      <c r="F11" s="23" t="s">
        <v>52</v>
      </c>
      <c r="G11" s="23" t="s">
        <v>56</v>
      </c>
      <c r="H11" s="23" t="s">
        <v>57</v>
      </c>
      <c r="K11" s="21"/>
      <c r="L11" s="23">
        <v>4</v>
      </c>
      <c r="M11" s="23">
        <v>2428</v>
      </c>
      <c r="N11" s="23" t="s">
        <v>109</v>
      </c>
      <c r="O11" s="23" t="s">
        <v>112</v>
      </c>
      <c r="P11" s="23" t="s">
        <v>52</v>
      </c>
      <c r="Q11" s="23">
        <v>7.8</v>
      </c>
      <c r="R11" s="27" t="s">
        <v>55</v>
      </c>
      <c r="S11" s="18"/>
    </row>
    <row r="12" spans="1:19" ht="15.75" x14ac:dyDescent="0.25">
      <c r="A12" s="21"/>
      <c r="B12" s="23">
        <v>5</v>
      </c>
      <c r="C12" s="23">
        <v>2361</v>
      </c>
      <c r="D12" s="23">
        <v>11.6</v>
      </c>
      <c r="E12" s="23">
        <v>21.5</v>
      </c>
      <c r="F12" s="23" t="s">
        <v>52</v>
      </c>
      <c r="G12" s="23" t="s">
        <v>59</v>
      </c>
      <c r="H12" s="23" t="s">
        <v>57</v>
      </c>
      <c r="K12" s="21"/>
      <c r="L12" s="23">
        <v>5</v>
      </c>
      <c r="M12" s="23">
        <v>2429</v>
      </c>
      <c r="N12" s="23" t="s">
        <v>110</v>
      </c>
      <c r="O12" s="23" t="s">
        <v>113</v>
      </c>
      <c r="P12" s="23" t="s">
        <v>52</v>
      </c>
      <c r="Q12" s="23">
        <v>7.4</v>
      </c>
      <c r="R12" s="27" t="s">
        <v>55</v>
      </c>
      <c r="S12" s="18"/>
    </row>
    <row r="13" spans="1:19" ht="15.75" x14ac:dyDescent="0.25">
      <c r="A13" s="21"/>
      <c r="B13" s="23">
        <v>6</v>
      </c>
      <c r="C13" s="23">
        <v>5636</v>
      </c>
      <c r="D13" s="23" t="s">
        <v>61</v>
      </c>
      <c r="E13" s="23" t="s">
        <v>62</v>
      </c>
      <c r="F13" s="23" t="s">
        <v>52</v>
      </c>
      <c r="G13" s="23" t="s">
        <v>60</v>
      </c>
      <c r="H13" s="27" t="s">
        <v>55</v>
      </c>
      <c r="K13" s="21"/>
      <c r="L13" s="23">
        <v>6</v>
      </c>
      <c r="M13" s="23">
        <v>2350</v>
      </c>
      <c r="N13" s="23">
        <v>9.3000000000000007</v>
      </c>
      <c r="O13" s="23">
        <v>24.7</v>
      </c>
      <c r="P13" s="23" t="s">
        <v>52</v>
      </c>
      <c r="Q13" s="23">
        <v>7.5</v>
      </c>
      <c r="R13" s="26" t="s">
        <v>57</v>
      </c>
      <c r="S13" s="18"/>
    </row>
    <row r="14" spans="1:19" ht="15.75" x14ac:dyDescent="0.25">
      <c r="A14" s="21"/>
      <c r="B14" s="21"/>
      <c r="C14" s="21"/>
      <c r="D14" s="21"/>
      <c r="E14" s="21"/>
      <c r="F14" s="21"/>
      <c r="G14" s="21"/>
      <c r="H14" s="21"/>
      <c r="K14" s="21"/>
      <c r="L14" s="21"/>
      <c r="M14" s="21"/>
      <c r="N14" s="21"/>
      <c r="O14" s="21"/>
      <c r="P14" s="21"/>
      <c r="Q14" s="21"/>
      <c r="R14" s="21"/>
      <c r="S14" s="18"/>
    </row>
    <row r="15" spans="1:19" x14ac:dyDescent="0.25">
      <c r="A15" s="20" t="s">
        <v>47</v>
      </c>
      <c r="B15" s="24" t="s">
        <v>42</v>
      </c>
      <c r="C15" s="24" t="s">
        <v>51</v>
      </c>
      <c r="D15" s="24" t="s">
        <v>43</v>
      </c>
      <c r="E15" s="24" t="s">
        <v>44</v>
      </c>
      <c r="F15" s="24" t="s">
        <v>45</v>
      </c>
      <c r="G15" s="24" t="s">
        <v>46</v>
      </c>
      <c r="H15" s="24" t="s">
        <v>54</v>
      </c>
      <c r="K15" s="20" t="s">
        <v>47</v>
      </c>
      <c r="L15" s="24" t="s">
        <v>42</v>
      </c>
      <c r="M15" s="24" t="s">
        <v>51</v>
      </c>
      <c r="N15" s="24" t="s">
        <v>43</v>
      </c>
      <c r="O15" s="24" t="s">
        <v>44</v>
      </c>
      <c r="P15" s="24" t="s">
        <v>45</v>
      </c>
      <c r="Q15" s="24" t="s">
        <v>46</v>
      </c>
      <c r="R15" s="24" t="s">
        <v>54</v>
      </c>
      <c r="S15" s="18"/>
    </row>
    <row r="16" spans="1:19" x14ac:dyDescent="0.25">
      <c r="B16" s="25"/>
      <c r="C16" s="25"/>
      <c r="D16" s="25"/>
      <c r="E16" s="25"/>
      <c r="F16" s="26"/>
      <c r="G16" s="25"/>
      <c r="H16" s="25"/>
      <c r="L16" s="25"/>
      <c r="M16" s="25"/>
      <c r="N16" s="25"/>
      <c r="O16" s="25"/>
      <c r="P16" s="26"/>
      <c r="Q16" s="26"/>
      <c r="R16" s="26"/>
      <c r="S16" s="18"/>
    </row>
    <row r="17" spans="1:19" ht="15.75" x14ac:dyDescent="0.25">
      <c r="A17" s="21"/>
      <c r="B17" s="23">
        <v>1</v>
      </c>
      <c r="C17" s="23">
        <v>6219</v>
      </c>
      <c r="D17" s="23">
        <v>51</v>
      </c>
      <c r="E17" s="23">
        <v>416</v>
      </c>
      <c r="F17" s="23" t="s">
        <v>52</v>
      </c>
      <c r="G17" s="27" t="s">
        <v>65</v>
      </c>
      <c r="H17" s="27" t="s">
        <v>55</v>
      </c>
      <c r="K17" s="21"/>
      <c r="L17" s="23">
        <v>1</v>
      </c>
      <c r="M17" s="23">
        <v>3174</v>
      </c>
      <c r="N17" s="23">
        <v>24.6</v>
      </c>
      <c r="O17" s="23">
        <v>39.700000000000003</v>
      </c>
      <c r="P17" s="23" t="s">
        <v>52</v>
      </c>
      <c r="Q17" s="26">
        <v>7</v>
      </c>
      <c r="R17" s="26" t="s">
        <v>57</v>
      </c>
      <c r="S17" s="18"/>
    </row>
    <row r="18" spans="1:19" ht="15.75" x14ac:dyDescent="0.25">
      <c r="A18" s="21"/>
      <c r="B18" s="23">
        <v>2</v>
      </c>
      <c r="C18" s="23">
        <v>6272</v>
      </c>
      <c r="D18" s="23" t="s">
        <v>66</v>
      </c>
      <c r="E18" s="23" t="s">
        <v>67</v>
      </c>
      <c r="F18" s="23" t="s">
        <v>52</v>
      </c>
      <c r="G18" s="23" t="s">
        <v>68</v>
      </c>
      <c r="H18" s="27" t="s">
        <v>55</v>
      </c>
      <c r="K18" s="21"/>
      <c r="L18" s="23">
        <v>2</v>
      </c>
      <c r="M18" s="23">
        <v>6230</v>
      </c>
      <c r="N18" s="23" t="s">
        <v>114</v>
      </c>
      <c r="O18" s="23" t="s">
        <v>117</v>
      </c>
      <c r="P18" s="23" t="s">
        <v>52</v>
      </c>
      <c r="Q18" s="23">
        <v>7.8</v>
      </c>
      <c r="R18" s="27" t="s">
        <v>55</v>
      </c>
      <c r="S18" s="18"/>
    </row>
    <row r="19" spans="1:19" ht="15.75" x14ac:dyDescent="0.25">
      <c r="A19" s="21"/>
      <c r="B19" s="23">
        <v>3</v>
      </c>
      <c r="C19" s="23">
        <v>6114</v>
      </c>
      <c r="D19" s="23" t="s">
        <v>69</v>
      </c>
      <c r="E19" s="23" t="s">
        <v>70</v>
      </c>
      <c r="F19" s="23" t="s">
        <v>52</v>
      </c>
      <c r="G19" s="23">
        <v>7.75</v>
      </c>
      <c r="H19" s="27" t="s">
        <v>55</v>
      </c>
      <c r="K19" s="21"/>
      <c r="L19" s="23">
        <v>3</v>
      </c>
      <c r="M19" s="23">
        <v>6239</v>
      </c>
      <c r="N19" s="23">
        <v>11.3</v>
      </c>
      <c r="O19" s="23">
        <v>26.7</v>
      </c>
      <c r="P19" s="23" t="s">
        <v>52</v>
      </c>
      <c r="Q19" s="23">
        <v>7.7</v>
      </c>
      <c r="R19" s="26" t="s">
        <v>57</v>
      </c>
      <c r="S19" s="18"/>
    </row>
    <row r="20" spans="1:19" ht="15.75" x14ac:dyDescent="0.25">
      <c r="A20" s="21"/>
      <c r="B20" s="23">
        <v>4</v>
      </c>
      <c r="C20" s="23">
        <v>6217</v>
      </c>
      <c r="D20" s="23">
        <v>41.8</v>
      </c>
      <c r="E20" s="23">
        <v>181</v>
      </c>
      <c r="F20" s="23" t="s">
        <v>52</v>
      </c>
      <c r="G20" s="23">
        <v>7.8</v>
      </c>
      <c r="H20" s="23" t="s">
        <v>57</v>
      </c>
      <c r="K20" s="21"/>
      <c r="L20" s="23">
        <v>4</v>
      </c>
      <c r="M20" s="23">
        <v>5000</v>
      </c>
      <c r="N20" s="23">
        <v>29.9</v>
      </c>
      <c r="O20" s="23">
        <v>97.7</v>
      </c>
      <c r="P20" s="23" t="s">
        <v>52</v>
      </c>
      <c r="Q20" s="23">
        <v>7.5</v>
      </c>
      <c r="R20" s="26" t="s">
        <v>57</v>
      </c>
      <c r="S20" s="18"/>
    </row>
    <row r="21" spans="1:19" ht="15.75" x14ac:dyDescent="0.25">
      <c r="A21" s="21"/>
      <c r="B21" s="23">
        <v>5</v>
      </c>
      <c r="C21" s="23">
        <v>6171</v>
      </c>
      <c r="D21" s="23">
        <v>26.4</v>
      </c>
      <c r="E21" s="23">
        <v>61.8</v>
      </c>
      <c r="F21" s="23" t="s">
        <v>52</v>
      </c>
      <c r="G21" s="23">
        <v>7.8250000000000002</v>
      </c>
      <c r="H21" s="23" t="s">
        <v>57</v>
      </c>
      <c r="K21" s="21"/>
      <c r="L21" s="23">
        <v>5</v>
      </c>
      <c r="M21" s="23">
        <v>6235</v>
      </c>
      <c r="N21" s="23">
        <v>18</v>
      </c>
      <c r="O21" s="23">
        <v>32.299999999999997</v>
      </c>
      <c r="P21" s="23" t="s">
        <v>52</v>
      </c>
      <c r="Q21" s="23">
        <v>7.8</v>
      </c>
      <c r="R21" s="26" t="s">
        <v>57</v>
      </c>
      <c r="S21" s="18"/>
    </row>
    <row r="22" spans="1:19" ht="15.75" x14ac:dyDescent="0.25">
      <c r="A22" s="21"/>
      <c r="B22" s="23">
        <v>6</v>
      </c>
      <c r="C22" s="23">
        <v>6227</v>
      </c>
      <c r="D22" s="23">
        <v>11.8</v>
      </c>
      <c r="E22" s="23">
        <v>28.8</v>
      </c>
      <c r="F22" s="23" t="s">
        <v>52</v>
      </c>
      <c r="G22" s="23">
        <v>7.85</v>
      </c>
      <c r="H22" s="23" t="s">
        <v>57</v>
      </c>
      <c r="K22" s="21"/>
      <c r="L22" s="23">
        <v>6</v>
      </c>
      <c r="M22" s="23">
        <v>6228</v>
      </c>
      <c r="N22" s="23">
        <v>21.9</v>
      </c>
      <c r="O22" s="23">
        <v>46.2</v>
      </c>
      <c r="P22" s="23" t="s">
        <v>52</v>
      </c>
      <c r="Q22" s="23">
        <v>7.8</v>
      </c>
      <c r="R22" s="26" t="s">
        <v>57</v>
      </c>
      <c r="S22" s="18"/>
    </row>
    <row r="23" spans="1:19" ht="15.75" x14ac:dyDescent="0.25">
      <c r="A23" s="21"/>
      <c r="B23" s="21"/>
      <c r="C23" s="21"/>
      <c r="D23" s="21"/>
      <c r="E23" s="21"/>
      <c r="F23" s="21"/>
      <c r="G23" s="21"/>
      <c r="H23" s="21"/>
      <c r="K23" s="21"/>
      <c r="L23" s="21"/>
      <c r="M23" s="21"/>
      <c r="N23" s="21"/>
      <c r="O23" s="21"/>
      <c r="P23" s="21"/>
      <c r="Q23" s="21"/>
      <c r="R23" s="21"/>
      <c r="S23" s="18"/>
    </row>
    <row r="24" spans="1:19" x14ac:dyDescent="0.25">
      <c r="A24" s="20" t="s">
        <v>48</v>
      </c>
      <c r="B24" s="24" t="s">
        <v>42</v>
      </c>
      <c r="C24" s="24" t="s">
        <v>51</v>
      </c>
      <c r="D24" s="24" t="s">
        <v>43</v>
      </c>
      <c r="E24" s="24" t="s">
        <v>44</v>
      </c>
      <c r="F24" s="24" t="s">
        <v>45</v>
      </c>
      <c r="G24" s="24" t="s">
        <v>46</v>
      </c>
      <c r="H24" s="24" t="s">
        <v>54</v>
      </c>
      <c r="K24" s="20" t="s">
        <v>48</v>
      </c>
      <c r="L24" s="24" t="s">
        <v>42</v>
      </c>
      <c r="M24" s="24" t="s">
        <v>51</v>
      </c>
      <c r="N24" s="24" t="s">
        <v>43</v>
      </c>
      <c r="O24" s="24" t="s">
        <v>44</v>
      </c>
      <c r="P24" s="24" t="s">
        <v>45</v>
      </c>
      <c r="Q24" s="24" t="s">
        <v>46</v>
      </c>
      <c r="R24" s="24" t="s">
        <v>54</v>
      </c>
      <c r="S24" s="18"/>
    </row>
    <row r="25" spans="1:19" x14ac:dyDescent="0.25">
      <c r="B25" s="25"/>
      <c r="C25" s="25"/>
      <c r="D25" s="25"/>
      <c r="E25" s="25"/>
      <c r="F25" s="26"/>
      <c r="G25" s="25"/>
      <c r="H25" s="25"/>
      <c r="L25" s="25"/>
      <c r="M25" s="25"/>
      <c r="N25" s="25"/>
      <c r="O25" s="25"/>
      <c r="P25" s="26"/>
      <c r="Q25" s="26"/>
      <c r="R25" s="26"/>
      <c r="S25" s="18"/>
    </row>
    <row r="26" spans="1:19" ht="15.75" x14ac:dyDescent="0.25">
      <c r="A26" s="21"/>
      <c r="B26" s="23">
        <v>1</v>
      </c>
      <c r="C26" s="23">
        <v>6285</v>
      </c>
      <c r="D26" s="23">
        <v>97</v>
      </c>
      <c r="E26" s="23">
        <v>195</v>
      </c>
      <c r="F26" s="23" t="s">
        <v>52</v>
      </c>
      <c r="G26" s="23">
        <v>7.75</v>
      </c>
      <c r="H26" s="23" t="s">
        <v>57</v>
      </c>
      <c r="K26" s="21"/>
      <c r="L26" s="23">
        <v>1</v>
      </c>
      <c r="M26" s="23">
        <v>6000</v>
      </c>
      <c r="N26" s="23" t="s">
        <v>115</v>
      </c>
      <c r="O26" s="23" t="s">
        <v>118</v>
      </c>
      <c r="P26" s="23" t="s">
        <v>52</v>
      </c>
      <c r="Q26" s="23">
        <v>7.7</v>
      </c>
      <c r="R26" s="27" t="s">
        <v>55</v>
      </c>
      <c r="S26" s="18"/>
    </row>
    <row r="27" spans="1:19" ht="15.75" x14ac:dyDescent="0.25">
      <c r="A27" s="21"/>
      <c r="B27" s="23">
        <v>2</v>
      </c>
      <c r="C27" s="23">
        <v>6222</v>
      </c>
      <c r="D27" s="23" t="s">
        <v>71</v>
      </c>
      <c r="E27" s="23" t="s">
        <v>72</v>
      </c>
      <c r="F27" s="23" t="s">
        <v>52</v>
      </c>
      <c r="G27" s="23">
        <v>7.8</v>
      </c>
      <c r="H27" s="27" t="s">
        <v>55</v>
      </c>
      <c r="K27" s="21"/>
      <c r="L27" s="23">
        <v>2</v>
      </c>
      <c r="M27" s="23">
        <v>6461</v>
      </c>
      <c r="N27" s="23">
        <v>15</v>
      </c>
      <c r="O27" s="23">
        <v>58.5</v>
      </c>
      <c r="P27" s="23" t="s">
        <v>52</v>
      </c>
      <c r="Q27" s="23">
        <v>7.6</v>
      </c>
      <c r="R27" s="26" t="s">
        <v>57</v>
      </c>
      <c r="S27" s="18"/>
    </row>
    <row r="28" spans="1:19" ht="15.75" x14ac:dyDescent="0.25">
      <c r="A28" s="21"/>
      <c r="B28" s="23">
        <v>3</v>
      </c>
      <c r="C28" s="23">
        <v>6284</v>
      </c>
      <c r="D28" s="23">
        <v>10.5</v>
      </c>
      <c r="E28" s="23">
        <v>31.7</v>
      </c>
      <c r="F28" s="23" t="s">
        <v>52</v>
      </c>
      <c r="G28" s="23">
        <v>7.75</v>
      </c>
      <c r="H28" s="23" t="s">
        <v>57</v>
      </c>
      <c r="K28" s="21"/>
      <c r="L28" s="23">
        <v>3</v>
      </c>
      <c r="M28" s="23">
        <v>6001</v>
      </c>
      <c r="N28" s="23">
        <v>88.7</v>
      </c>
      <c r="O28" s="23" t="s">
        <v>119</v>
      </c>
      <c r="P28" s="23" t="s">
        <v>52</v>
      </c>
      <c r="Q28" s="23">
        <v>7.7</v>
      </c>
      <c r="R28" s="27" t="s">
        <v>55</v>
      </c>
      <c r="S28" s="18"/>
    </row>
    <row r="29" spans="1:19" ht="15.75" x14ac:dyDescent="0.25">
      <c r="A29" s="21"/>
      <c r="B29" s="23">
        <v>4</v>
      </c>
      <c r="C29" s="23">
        <v>6287</v>
      </c>
      <c r="D29" s="23">
        <v>13.2</v>
      </c>
      <c r="E29" s="23">
        <v>34.5</v>
      </c>
      <c r="F29" s="23" t="s">
        <v>52</v>
      </c>
      <c r="G29" s="23">
        <v>7.68</v>
      </c>
      <c r="H29" s="23" t="s">
        <v>57</v>
      </c>
      <c r="K29" s="21"/>
      <c r="L29" s="23">
        <v>4</v>
      </c>
      <c r="M29" s="23">
        <v>6002</v>
      </c>
      <c r="N29" s="23">
        <v>16.100000000000001</v>
      </c>
      <c r="O29" s="23">
        <v>72.599999999999994</v>
      </c>
      <c r="P29" s="23" t="s">
        <v>52</v>
      </c>
      <c r="Q29" s="23">
        <v>7.4</v>
      </c>
      <c r="R29" s="26" t="s">
        <v>57</v>
      </c>
      <c r="S29" s="18"/>
    </row>
    <row r="30" spans="1:19" ht="15.75" x14ac:dyDescent="0.25">
      <c r="A30" s="21"/>
      <c r="B30" s="23">
        <v>5</v>
      </c>
      <c r="C30" s="23">
        <v>6286</v>
      </c>
      <c r="D30" s="23">
        <v>29.2</v>
      </c>
      <c r="E30" s="23">
        <v>162</v>
      </c>
      <c r="F30" s="23" t="s">
        <v>52</v>
      </c>
      <c r="G30" s="23">
        <v>7.8</v>
      </c>
      <c r="H30" s="23" t="s">
        <v>57</v>
      </c>
      <c r="K30" s="21"/>
      <c r="L30" s="23">
        <v>5</v>
      </c>
      <c r="M30" s="23">
        <v>3292</v>
      </c>
      <c r="N30" s="23">
        <v>32</v>
      </c>
      <c r="O30" s="23">
        <v>79.5</v>
      </c>
      <c r="P30" s="23" t="s">
        <v>52</v>
      </c>
      <c r="Q30" s="23">
        <v>7.8</v>
      </c>
      <c r="R30" s="26" t="s">
        <v>57</v>
      </c>
      <c r="S30" s="18"/>
    </row>
    <row r="31" spans="1:19" ht="15.75" x14ac:dyDescent="0.25">
      <c r="A31" s="21"/>
      <c r="B31" s="23">
        <v>6</v>
      </c>
      <c r="C31" s="23">
        <v>6220</v>
      </c>
      <c r="D31" s="23">
        <v>15.7</v>
      </c>
      <c r="E31" s="23">
        <v>31.5</v>
      </c>
      <c r="F31" s="23" t="s">
        <v>52</v>
      </c>
      <c r="G31" s="23">
        <v>7.8</v>
      </c>
      <c r="H31" s="23" t="s">
        <v>57</v>
      </c>
      <c r="K31" s="21"/>
      <c r="L31" s="23">
        <v>6</v>
      </c>
      <c r="M31" s="23">
        <v>6003</v>
      </c>
      <c r="N31" s="23" t="s">
        <v>116</v>
      </c>
      <c r="O31" s="23" t="s">
        <v>120</v>
      </c>
      <c r="P31" s="23" t="s">
        <v>52</v>
      </c>
      <c r="Q31" s="23">
        <v>7.5</v>
      </c>
      <c r="R31" s="27" t="s">
        <v>55</v>
      </c>
      <c r="S31" s="18"/>
    </row>
    <row r="32" spans="1:19" ht="15.75" x14ac:dyDescent="0.25">
      <c r="A32" s="21"/>
      <c r="B32" s="21"/>
      <c r="C32" s="21"/>
      <c r="D32" s="21"/>
      <c r="E32" s="21"/>
      <c r="F32" s="21"/>
      <c r="G32" s="21"/>
      <c r="H32" s="21"/>
      <c r="K32" s="21"/>
      <c r="L32" s="21"/>
      <c r="M32" s="21"/>
      <c r="N32" s="21"/>
      <c r="O32" s="21"/>
      <c r="P32" s="21"/>
      <c r="Q32" s="21"/>
      <c r="R32" s="21"/>
      <c r="S32" s="18"/>
    </row>
    <row r="33" spans="1:20" x14ac:dyDescent="0.25">
      <c r="A33" s="20" t="s">
        <v>49</v>
      </c>
      <c r="B33" s="24" t="s">
        <v>42</v>
      </c>
      <c r="C33" s="24" t="s">
        <v>51</v>
      </c>
      <c r="D33" s="24" t="s">
        <v>43</v>
      </c>
      <c r="E33" s="24" t="s">
        <v>44</v>
      </c>
      <c r="F33" s="24" t="s">
        <v>45</v>
      </c>
      <c r="G33" s="24" t="s">
        <v>46</v>
      </c>
      <c r="H33" s="24" t="s">
        <v>54</v>
      </c>
      <c r="K33" s="20" t="s">
        <v>49</v>
      </c>
      <c r="L33" s="24" t="s">
        <v>42</v>
      </c>
      <c r="M33" s="24" t="s">
        <v>51</v>
      </c>
      <c r="N33" s="24" t="s">
        <v>43</v>
      </c>
      <c r="O33" s="24" t="s">
        <v>44</v>
      </c>
      <c r="P33" s="24" t="s">
        <v>45</v>
      </c>
      <c r="Q33" s="24" t="s">
        <v>46</v>
      </c>
      <c r="R33" s="24" t="s">
        <v>54</v>
      </c>
      <c r="S33" s="18"/>
    </row>
    <row r="34" spans="1:20" x14ac:dyDescent="0.25">
      <c r="B34" s="25"/>
      <c r="C34" s="25"/>
      <c r="D34" s="25"/>
      <c r="E34" s="25"/>
      <c r="F34" s="26"/>
      <c r="G34" s="25"/>
      <c r="H34" s="25"/>
      <c r="L34" s="25"/>
      <c r="M34" s="25"/>
      <c r="N34" s="25"/>
      <c r="O34" s="25"/>
      <c r="P34" s="26"/>
      <c r="Q34" s="26"/>
      <c r="R34" s="26"/>
      <c r="S34" s="18"/>
    </row>
    <row r="35" spans="1:20" ht="15.75" x14ac:dyDescent="0.25">
      <c r="A35" s="21"/>
      <c r="B35" s="23">
        <v>1</v>
      </c>
      <c r="C35" s="23">
        <v>6260</v>
      </c>
      <c r="D35" s="23">
        <v>18.399999999999999</v>
      </c>
      <c r="E35" s="23">
        <v>45</v>
      </c>
      <c r="F35" s="23" t="s">
        <v>52</v>
      </c>
      <c r="G35" s="23">
        <v>7.75</v>
      </c>
      <c r="H35" s="23" t="s">
        <v>57</v>
      </c>
      <c r="K35" s="21"/>
      <c r="L35" s="23">
        <v>1</v>
      </c>
      <c r="M35" s="23">
        <v>2731</v>
      </c>
      <c r="N35" s="23">
        <v>18.5</v>
      </c>
      <c r="O35" s="23">
        <v>62.6</v>
      </c>
      <c r="P35" s="23" t="s">
        <v>52</v>
      </c>
      <c r="Q35" s="23">
        <v>7.2</v>
      </c>
      <c r="R35" s="26" t="s">
        <v>57</v>
      </c>
      <c r="S35" s="18"/>
    </row>
    <row r="36" spans="1:20" ht="15.75" x14ac:dyDescent="0.25">
      <c r="A36" s="21"/>
      <c r="B36" s="23">
        <v>2</v>
      </c>
      <c r="C36" s="23">
        <v>6264</v>
      </c>
      <c r="D36" s="23" t="s">
        <v>73</v>
      </c>
      <c r="E36" s="23" t="s">
        <v>74</v>
      </c>
      <c r="F36" s="23" t="s">
        <v>52</v>
      </c>
      <c r="G36" s="23">
        <v>7.72</v>
      </c>
      <c r="H36" s="27" t="s">
        <v>55</v>
      </c>
      <c r="K36" s="21"/>
      <c r="L36" s="23">
        <v>2</v>
      </c>
      <c r="M36" s="23">
        <v>3502</v>
      </c>
      <c r="N36" s="23">
        <v>22.9</v>
      </c>
      <c r="O36" s="23">
        <v>35.799999999999997</v>
      </c>
      <c r="P36" s="23" t="s">
        <v>52</v>
      </c>
      <c r="Q36" s="23">
        <v>7.2</v>
      </c>
      <c r="R36" s="26" t="s">
        <v>57</v>
      </c>
      <c r="S36" s="18"/>
    </row>
    <row r="37" spans="1:20" ht="15.75" x14ac:dyDescent="0.25">
      <c r="A37" s="21"/>
      <c r="B37" s="23">
        <v>3</v>
      </c>
      <c r="C37" s="23">
        <v>6263</v>
      </c>
      <c r="D37" s="23">
        <v>26.9</v>
      </c>
      <c r="E37" s="23">
        <v>45.2</v>
      </c>
      <c r="F37" s="23" t="s">
        <v>52</v>
      </c>
      <c r="G37" s="23">
        <v>7.7</v>
      </c>
      <c r="H37" s="23" t="s">
        <v>57</v>
      </c>
      <c r="K37" s="21"/>
      <c r="L37" s="23">
        <v>3</v>
      </c>
      <c r="M37" s="23">
        <v>3356</v>
      </c>
      <c r="N37" s="23">
        <v>22.5</v>
      </c>
      <c r="O37" s="23">
        <v>38.799999999999997</v>
      </c>
      <c r="P37" s="23" t="s">
        <v>52</v>
      </c>
      <c r="Q37" s="23">
        <v>7.6</v>
      </c>
      <c r="R37" s="26" t="s">
        <v>57</v>
      </c>
      <c r="S37" s="18"/>
    </row>
    <row r="38" spans="1:20" ht="15.75" x14ac:dyDescent="0.25">
      <c r="A38" s="21"/>
      <c r="B38" s="23">
        <v>4</v>
      </c>
      <c r="C38" s="23">
        <v>6262</v>
      </c>
      <c r="D38" s="23" t="s">
        <v>75</v>
      </c>
      <c r="E38" s="23" t="s">
        <v>76</v>
      </c>
      <c r="F38" s="23" t="s">
        <v>52</v>
      </c>
      <c r="G38" s="23">
        <v>7.7</v>
      </c>
      <c r="H38" s="27" t="s">
        <v>55</v>
      </c>
      <c r="K38" s="21"/>
      <c r="L38" s="23">
        <v>4</v>
      </c>
      <c r="M38" s="23">
        <v>2874</v>
      </c>
      <c r="N38" s="23">
        <v>20.399999999999999</v>
      </c>
      <c r="O38" s="23">
        <v>51</v>
      </c>
      <c r="P38" s="23" t="s">
        <v>52</v>
      </c>
      <c r="Q38" s="23">
        <v>7</v>
      </c>
      <c r="R38" s="26" t="s">
        <v>57</v>
      </c>
      <c r="S38" s="18"/>
    </row>
    <row r="39" spans="1:20" ht="15.75" x14ac:dyDescent="0.25">
      <c r="A39" s="21"/>
      <c r="B39" s="23">
        <v>5</v>
      </c>
      <c r="C39" s="23">
        <v>6294</v>
      </c>
      <c r="D39" s="23">
        <v>29.3</v>
      </c>
      <c r="E39" s="23">
        <v>162</v>
      </c>
      <c r="F39" s="23" t="s">
        <v>52</v>
      </c>
      <c r="G39" s="23" t="s">
        <v>65</v>
      </c>
      <c r="H39" s="27" t="s">
        <v>55</v>
      </c>
      <c r="K39" s="21"/>
      <c r="L39" s="23">
        <v>5</v>
      </c>
      <c r="M39" s="23">
        <v>2969</v>
      </c>
      <c r="N39" s="23" t="s">
        <v>125</v>
      </c>
      <c r="O39" s="23" t="s">
        <v>124</v>
      </c>
      <c r="P39" s="23" t="s">
        <v>52</v>
      </c>
      <c r="Q39" s="23">
        <v>7.7</v>
      </c>
      <c r="R39" s="27" t="s">
        <v>55</v>
      </c>
      <c r="S39" s="18"/>
    </row>
    <row r="40" spans="1:20" ht="15.75" x14ac:dyDescent="0.25">
      <c r="A40" s="21"/>
      <c r="B40" s="23">
        <v>6</v>
      </c>
      <c r="C40" s="23">
        <v>3501</v>
      </c>
      <c r="D40" s="23">
        <v>15.7</v>
      </c>
      <c r="E40" s="23">
        <v>31.5</v>
      </c>
      <c r="F40" s="23" t="s">
        <v>52</v>
      </c>
      <c r="G40" s="23" t="s">
        <v>65</v>
      </c>
      <c r="H40" s="27" t="s">
        <v>55</v>
      </c>
      <c r="K40" s="21"/>
      <c r="L40" s="23">
        <v>6</v>
      </c>
      <c r="M40" s="23">
        <v>2928</v>
      </c>
      <c r="N40" s="23">
        <v>27.8</v>
      </c>
      <c r="O40" s="23">
        <v>43.8</v>
      </c>
      <c r="P40" s="23" t="s">
        <v>52</v>
      </c>
      <c r="Q40" s="23">
        <v>7.6</v>
      </c>
      <c r="R40" s="26" t="s">
        <v>57</v>
      </c>
      <c r="S40" s="18"/>
    </row>
    <row r="41" spans="1:20" x14ac:dyDescent="0.25">
      <c r="P41" s="18"/>
    </row>
    <row r="42" spans="1:20" x14ac:dyDescent="0.25">
      <c r="P42" s="18"/>
    </row>
    <row r="43" spans="1:20" x14ac:dyDescent="0.25">
      <c r="A43" t="s">
        <v>63</v>
      </c>
      <c r="K43" t="s">
        <v>63</v>
      </c>
      <c r="P43" s="18"/>
    </row>
    <row r="44" spans="1:20" x14ac:dyDescent="0.25">
      <c r="A44" t="s">
        <v>64</v>
      </c>
      <c r="K44" t="s">
        <v>64</v>
      </c>
      <c r="P44" s="18"/>
    </row>
    <row r="45" spans="1:20" ht="15.75" thickBot="1" x14ac:dyDescent="0.3"/>
    <row r="46" spans="1:20" x14ac:dyDescent="0.25">
      <c r="A46" s="35"/>
      <c r="B46" s="36"/>
      <c r="C46" s="36"/>
      <c r="D46" s="36"/>
      <c r="E46" s="36" t="s">
        <v>77</v>
      </c>
      <c r="F46" s="28"/>
      <c r="G46" s="36"/>
      <c r="H46" s="36"/>
      <c r="I46" s="37"/>
      <c r="L46" s="35"/>
      <c r="M46" s="36"/>
      <c r="N46" s="36"/>
      <c r="O46" s="36"/>
      <c r="P46" s="36" t="s">
        <v>77</v>
      </c>
      <c r="Q46" s="28"/>
      <c r="R46" s="36"/>
      <c r="S46" s="36"/>
      <c r="T46" s="37"/>
    </row>
    <row r="47" spans="1:20" x14ac:dyDescent="0.25">
      <c r="A47" s="29"/>
      <c r="I47" s="30"/>
      <c r="L47" s="29"/>
      <c r="Q47" s="18"/>
      <c r="T47" s="30"/>
    </row>
    <row r="48" spans="1:20" x14ac:dyDescent="0.25">
      <c r="A48" s="29" t="s">
        <v>78</v>
      </c>
      <c r="I48" s="30"/>
      <c r="L48" s="29" t="s">
        <v>121</v>
      </c>
      <c r="Q48" s="18"/>
      <c r="T48" s="30"/>
    </row>
    <row r="49" spans="1:20" x14ac:dyDescent="0.25">
      <c r="A49" s="29" t="s">
        <v>79</v>
      </c>
      <c r="I49" s="30"/>
      <c r="L49" s="29" t="s">
        <v>122</v>
      </c>
      <c r="Q49" s="18"/>
      <c r="T49" s="30"/>
    </row>
    <row r="50" spans="1:20" x14ac:dyDescent="0.25">
      <c r="A50" s="29"/>
      <c r="I50" s="30"/>
      <c r="L50" s="29" t="s">
        <v>123</v>
      </c>
      <c r="Q50" s="18"/>
      <c r="T50" s="30"/>
    </row>
    <row r="51" spans="1:20" x14ac:dyDescent="0.25">
      <c r="A51" s="29" t="s">
        <v>80</v>
      </c>
      <c r="I51" s="30"/>
      <c r="L51" s="29"/>
      <c r="Q51" s="18"/>
      <c r="T51" s="30"/>
    </row>
    <row r="52" spans="1:20" x14ac:dyDescent="0.25">
      <c r="A52" s="29"/>
      <c r="I52" s="30"/>
      <c r="L52" s="29" t="s">
        <v>126</v>
      </c>
      <c r="Q52" s="18"/>
      <c r="T52" s="30"/>
    </row>
    <row r="53" spans="1:20" x14ac:dyDescent="0.25">
      <c r="A53" s="29" t="s">
        <v>81</v>
      </c>
      <c r="I53" s="30"/>
      <c r="L53" s="29"/>
      <c r="Q53" s="18"/>
      <c r="T53" s="30"/>
    </row>
    <row r="54" spans="1:20" x14ac:dyDescent="0.25">
      <c r="A54" s="29" t="s">
        <v>82</v>
      </c>
      <c r="I54" s="30"/>
      <c r="L54" s="29" t="s">
        <v>127</v>
      </c>
      <c r="Q54" s="18"/>
      <c r="T54" s="30"/>
    </row>
    <row r="55" spans="1:20" x14ac:dyDescent="0.25">
      <c r="A55" s="29" t="s">
        <v>83</v>
      </c>
      <c r="I55" s="30"/>
      <c r="L55" s="29" t="s">
        <v>128</v>
      </c>
      <c r="Q55" s="18"/>
      <c r="T55" s="30"/>
    </row>
    <row r="56" spans="1:20" x14ac:dyDescent="0.25">
      <c r="A56" s="29" t="s">
        <v>84</v>
      </c>
      <c r="I56" s="30"/>
      <c r="L56" s="29" t="s">
        <v>129</v>
      </c>
      <c r="Q56" s="18"/>
      <c r="T56" s="30"/>
    </row>
    <row r="57" spans="1:20" x14ac:dyDescent="0.25">
      <c r="A57" s="29" t="s">
        <v>85</v>
      </c>
      <c r="I57" s="30"/>
      <c r="L57" s="29"/>
      <c r="Q57" s="18"/>
      <c r="T57" s="30"/>
    </row>
    <row r="58" spans="1:20" x14ac:dyDescent="0.25">
      <c r="A58" s="29" t="s">
        <v>86</v>
      </c>
      <c r="I58" s="30"/>
      <c r="L58" s="29"/>
      <c r="Q58" s="18"/>
      <c r="T58" s="30"/>
    </row>
    <row r="59" spans="1:20" x14ac:dyDescent="0.25">
      <c r="A59" s="29"/>
      <c r="I59" s="30"/>
      <c r="L59" s="29"/>
      <c r="Q59" s="18"/>
      <c r="T59" s="30"/>
    </row>
    <row r="60" spans="1:20" x14ac:dyDescent="0.25">
      <c r="A60" s="29"/>
      <c r="I60" s="30"/>
      <c r="L60" s="29"/>
      <c r="Q60" s="18"/>
      <c r="T60" s="30"/>
    </row>
    <row r="61" spans="1:20" x14ac:dyDescent="0.25">
      <c r="A61" s="29"/>
      <c r="I61" s="30"/>
      <c r="L61" s="29"/>
      <c r="Q61" s="18"/>
      <c r="T61" s="30"/>
    </row>
    <row r="62" spans="1:20" x14ac:dyDescent="0.25">
      <c r="A62" s="29"/>
      <c r="I62" s="30"/>
      <c r="L62" s="29"/>
      <c r="Q62" s="18"/>
      <c r="T62" s="30"/>
    </row>
    <row r="63" spans="1:20" ht="15.75" thickBot="1" x14ac:dyDescent="0.3">
      <c r="A63" s="31"/>
      <c r="B63" s="32"/>
      <c r="C63" s="32"/>
      <c r="D63" s="32"/>
      <c r="E63" s="32"/>
      <c r="F63" s="33"/>
      <c r="G63" s="32"/>
      <c r="H63" s="32"/>
      <c r="I63" s="34"/>
      <c r="L63" s="31"/>
      <c r="M63" s="32"/>
      <c r="N63" s="32"/>
      <c r="O63" s="32"/>
      <c r="P63" s="32"/>
      <c r="Q63" s="33"/>
      <c r="R63" s="32"/>
      <c r="S63" s="32"/>
      <c r="T63" s="34"/>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
  <sheetViews>
    <sheetView windowProtection="1" workbookViewId="0">
      <selection activeCell="B11" sqref="B11"/>
    </sheetView>
  </sheetViews>
  <sheetFormatPr defaultRowHeight="15" x14ac:dyDescent="0.25"/>
  <cols>
    <col min="3" max="4" width="13.140625" customWidth="1"/>
    <col min="5" max="5" width="12.28515625" customWidth="1"/>
    <col min="6" max="6" width="12.140625" customWidth="1"/>
    <col min="7" max="7" width="11.140625" customWidth="1"/>
  </cols>
  <sheetData>
    <row r="1" spans="1:7" ht="18.75" x14ac:dyDescent="0.3">
      <c r="A1" s="39" t="s">
        <v>87</v>
      </c>
      <c r="B1" s="39"/>
      <c r="C1" s="39"/>
      <c r="D1" s="39"/>
      <c r="E1" s="39"/>
    </row>
    <row r="2" spans="1:7" ht="18.75" x14ac:dyDescent="0.3">
      <c r="A2" s="39"/>
      <c r="B2" s="39"/>
      <c r="C2" s="39"/>
      <c r="D2" s="39"/>
      <c r="E2" s="39"/>
    </row>
    <row r="3" spans="1:7" ht="18.75" x14ac:dyDescent="0.3">
      <c r="A3" s="39"/>
      <c r="B3" s="39"/>
      <c r="C3" s="39"/>
      <c r="D3" s="40">
        <v>43323</v>
      </c>
      <c r="E3" s="39"/>
    </row>
    <row r="5" spans="1:7" ht="15.75" x14ac:dyDescent="0.25">
      <c r="A5" s="38" t="s">
        <v>88</v>
      </c>
      <c r="B5" s="38" t="s">
        <v>89</v>
      </c>
      <c r="C5" s="38" t="s">
        <v>43</v>
      </c>
      <c r="D5" s="38" t="s">
        <v>90</v>
      </c>
      <c r="E5" s="38" t="s">
        <v>91</v>
      </c>
      <c r="F5" s="38" t="s">
        <v>92</v>
      </c>
      <c r="G5" s="38" t="s">
        <v>93</v>
      </c>
    </row>
    <row r="6" spans="1:7" x14ac:dyDescent="0.25">
      <c r="A6" s="25"/>
      <c r="B6" s="25"/>
      <c r="C6" s="25"/>
      <c r="D6" s="25"/>
      <c r="E6" s="25"/>
      <c r="F6" s="25"/>
      <c r="G6" s="25"/>
    </row>
    <row r="7" spans="1:7" x14ac:dyDescent="0.25">
      <c r="A7" s="26">
        <v>1</v>
      </c>
      <c r="B7" s="26">
        <v>5654</v>
      </c>
      <c r="C7" s="26" t="s">
        <v>95</v>
      </c>
      <c r="D7" s="26" t="s">
        <v>96</v>
      </c>
      <c r="E7" s="26" t="s">
        <v>18</v>
      </c>
      <c r="F7" s="26" t="s">
        <v>94</v>
      </c>
      <c r="G7" s="27" t="s">
        <v>97</v>
      </c>
    </row>
    <row r="8" spans="1:7" x14ac:dyDescent="0.25">
      <c r="A8" s="26">
        <v>2</v>
      </c>
      <c r="B8" s="26">
        <v>5640</v>
      </c>
      <c r="C8" s="26">
        <v>11.6</v>
      </c>
      <c r="D8" s="26">
        <v>40.200000000000003</v>
      </c>
      <c r="E8" s="26" t="s">
        <v>18</v>
      </c>
      <c r="F8" s="26">
        <v>7.75</v>
      </c>
      <c r="G8" s="26" t="s">
        <v>52</v>
      </c>
    </row>
    <row r="9" spans="1:7" x14ac:dyDescent="0.25">
      <c r="A9" s="26">
        <v>3</v>
      </c>
      <c r="B9" s="26">
        <v>2363</v>
      </c>
      <c r="C9" s="26">
        <v>23.3</v>
      </c>
      <c r="D9" s="26">
        <v>37.799999999999997</v>
      </c>
      <c r="E9" s="26" t="s">
        <v>18</v>
      </c>
      <c r="F9" s="26">
        <v>7.1</v>
      </c>
      <c r="G9" s="26" t="s">
        <v>52</v>
      </c>
    </row>
    <row r="10" spans="1:7" x14ac:dyDescent="0.25">
      <c r="A10" s="26">
        <v>4</v>
      </c>
      <c r="B10" s="26">
        <v>6224</v>
      </c>
      <c r="C10" s="26">
        <v>13.8</v>
      </c>
      <c r="D10" s="26">
        <v>30.1</v>
      </c>
      <c r="E10" s="26" t="s">
        <v>18</v>
      </c>
      <c r="F10" s="26">
        <v>7.7949999999999999</v>
      </c>
      <c r="G10" s="26" t="s">
        <v>52</v>
      </c>
    </row>
    <row r="11" spans="1:7" x14ac:dyDescent="0.25">
      <c r="A11" s="26">
        <v>5</v>
      </c>
      <c r="B11" s="26">
        <v>3359</v>
      </c>
      <c r="C11" s="26">
        <v>10.6</v>
      </c>
      <c r="D11" s="26">
        <v>17.5</v>
      </c>
      <c r="E11" s="26" t="s">
        <v>18</v>
      </c>
      <c r="F11" s="26">
        <v>7.05</v>
      </c>
      <c r="G11" s="26" t="s">
        <v>52</v>
      </c>
    </row>
    <row r="12" spans="1:7" x14ac:dyDescent="0.25">
      <c r="A12" s="26">
        <v>6</v>
      </c>
      <c r="B12" s="26">
        <v>3381</v>
      </c>
      <c r="C12" s="26" t="s">
        <v>98</v>
      </c>
      <c r="D12" s="26" t="s">
        <v>99</v>
      </c>
      <c r="E12" s="26" t="s">
        <v>18</v>
      </c>
      <c r="F12" s="26">
        <v>6.95</v>
      </c>
      <c r="G12" s="41" t="s">
        <v>100</v>
      </c>
    </row>
    <row r="13" spans="1:7" x14ac:dyDescent="0.25">
      <c r="A13" s="26">
        <v>7</v>
      </c>
      <c r="B13" s="26">
        <v>3175</v>
      </c>
      <c r="C13" s="26">
        <v>9.8000000000000007</v>
      </c>
      <c r="D13" s="26">
        <v>16.600000000000001</v>
      </c>
      <c r="E13" s="26" t="s">
        <v>18</v>
      </c>
      <c r="F13" s="26">
        <v>7</v>
      </c>
      <c r="G13" s="26" t="s">
        <v>52</v>
      </c>
    </row>
    <row r="14" spans="1:7" x14ac:dyDescent="0.25">
      <c r="A14" s="26">
        <v>8</v>
      </c>
      <c r="B14" s="26">
        <v>2998</v>
      </c>
      <c r="C14" s="26" t="s">
        <v>102</v>
      </c>
      <c r="D14" s="26" t="s">
        <v>101</v>
      </c>
      <c r="E14" s="26" t="s">
        <v>18</v>
      </c>
      <c r="F14" s="26">
        <v>7.1</v>
      </c>
      <c r="G14" s="41" t="s">
        <v>100</v>
      </c>
    </row>
    <row r="15" spans="1:7" x14ac:dyDescent="0.25">
      <c r="A15" s="26">
        <v>9</v>
      </c>
      <c r="B15" s="26">
        <v>6279</v>
      </c>
      <c r="C15" s="26">
        <v>10.7</v>
      </c>
      <c r="D15" s="26">
        <v>20.5</v>
      </c>
      <c r="E15" s="26" t="s">
        <v>18</v>
      </c>
      <c r="F15" s="26">
        <v>7.8</v>
      </c>
      <c r="G15" s="26" t="s">
        <v>52</v>
      </c>
    </row>
    <row r="16" spans="1:7" x14ac:dyDescent="0.25">
      <c r="A16" s="26">
        <v>10</v>
      </c>
      <c r="B16" s="26">
        <v>2360</v>
      </c>
      <c r="C16" s="26">
        <v>8.6999999999999993</v>
      </c>
      <c r="D16" s="26">
        <v>16.2</v>
      </c>
      <c r="E16" s="26" t="s">
        <v>18</v>
      </c>
      <c r="F16" s="26">
        <v>7</v>
      </c>
      <c r="G16" s="26" t="s">
        <v>52</v>
      </c>
    </row>
    <row r="17" spans="1:7" x14ac:dyDescent="0.25">
      <c r="A17" s="26">
        <v>11</v>
      </c>
      <c r="B17" s="26">
        <v>3186</v>
      </c>
      <c r="C17" s="26">
        <v>25.2</v>
      </c>
      <c r="D17" s="26">
        <v>47.2</v>
      </c>
      <c r="E17" s="26" t="s">
        <v>18</v>
      </c>
      <c r="F17" s="26">
        <v>7</v>
      </c>
      <c r="G17" s="26" t="s">
        <v>52</v>
      </c>
    </row>
    <row r="18" spans="1:7" x14ac:dyDescent="0.25">
      <c r="A18" s="26">
        <v>12</v>
      </c>
      <c r="B18" s="26">
        <v>3360</v>
      </c>
      <c r="C18" s="26">
        <v>4.5</v>
      </c>
      <c r="D18" s="26">
        <v>9.5</v>
      </c>
      <c r="E18" s="26" t="s">
        <v>18</v>
      </c>
      <c r="F18" s="26">
        <v>7</v>
      </c>
      <c r="G18" s="26" t="s">
        <v>52</v>
      </c>
    </row>
    <row r="19" spans="1:7" x14ac:dyDescent="0.25">
      <c r="A19" s="26">
        <v>13</v>
      </c>
      <c r="B19" s="26">
        <v>3219</v>
      </c>
      <c r="C19" s="26" t="s">
        <v>104</v>
      </c>
      <c r="D19" s="26" t="s">
        <v>103</v>
      </c>
      <c r="E19" s="26" t="s">
        <v>18</v>
      </c>
      <c r="F19" s="26">
        <v>7.4</v>
      </c>
      <c r="G19" s="41" t="s">
        <v>100</v>
      </c>
    </row>
    <row r="20" spans="1:7" x14ac:dyDescent="0.25">
      <c r="A20" s="26">
        <v>14</v>
      </c>
      <c r="B20" s="26">
        <v>3172</v>
      </c>
      <c r="C20" s="26" t="s">
        <v>106</v>
      </c>
      <c r="D20" s="26" t="s">
        <v>105</v>
      </c>
      <c r="E20" s="26" t="s">
        <v>18</v>
      </c>
      <c r="F20" s="26">
        <v>7.2</v>
      </c>
      <c r="G20" s="41" t="s">
        <v>100</v>
      </c>
    </row>
    <row r="21" spans="1:7" x14ac:dyDescent="0.25">
      <c r="A21" s="26">
        <v>15</v>
      </c>
      <c r="B21" s="26">
        <v>5653</v>
      </c>
      <c r="C21" s="26">
        <v>6.2</v>
      </c>
      <c r="D21" s="26">
        <v>15</v>
      </c>
      <c r="E21" s="26" t="s">
        <v>18</v>
      </c>
      <c r="F21" s="26">
        <v>7.45</v>
      </c>
      <c r="G21" s="26" t="s">
        <v>52</v>
      </c>
    </row>
    <row r="22" spans="1:7" x14ac:dyDescent="0.25">
      <c r="A22" s="26">
        <v>16</v>
      </c>
      <c r="B22" s="26">
        <v>6234</v>
      </c>
      <c r="C22" s="26">
        <v>11.1</v>
      </c>
      <c r="D22" s="26">
        <v>24.4</v>
      </c>
      <c r="E22" s="26" t="s">
        <v>18</v>
      </c>
      <c r="F22" s="26">
        <v>7.8</v>
      </c>
      <c r="G22" s="26" t="s">
        <v>52</v>
      </c>
    </row>
    <row r="23" spans="1:7" x14ac:dyDescent="0.25">
      <c r="A23" s="26">
        <v>17</v>
      </c>
      <c r="B23" s="26">
        <v>6239</v>
      </c>
      <c r="C23" s="26">
        <v>9.5</v>
      </c>
      <c r="D23" s="26">
        <v>18.8</v>
      </c>
      <c r="E23" s="26" t="s">
        <v>18</v>
      </c>
      <c r="F23" s="26">
        <v>7.6</v>
      </c>
      <c r="G23" s="26" t="s">
        <v>52</v>
      </c>
    </row>
    <row r="24" spans="1:7" x14ac:dyDescent="0.25">
      <c r="A24" s="26">
        <v>18</v>
      </c>
      <c r="B24" s="26">
        <v>6244</v>
      </c>
      <c r="C24" s="26">
        <v>6.7</v>
      </c>
      <c r="D24" s="26">
        <v>19.600000000000001</v>
      </c>
      <c r="E24" s="26" t="s">
        <v>18</v>
      </c>
      <c r="F24" s="26">
        <v>7.6</v>
      </c>
      <c r="G24" s="26" t="s">
        <v>52</v>
      </c>
    </row>
    <row r="25" spans="1:7" x14ac:dyDescent="0.25">
      <c r="A25" s="26">
        <v>19</v>
      </c>
      <c r="B25" s="26"/>
      <c r="C25" s="26"/>
      <c r="D25" s="26"/>
      <c r="E25" s="26"/>
      <c r="F25" s="26"/>
      <c r="G25" s="26"/>
    </row>
    <row r="26" spans="1:7" x14ac:dyDescent="0.25">
      <c r="A26" s="26">
        <v>20</v>
      </c>
      <c r="B26" s="26"/>
      <c r="C26" s="26"/>
      <c r="D26" s="26"/>
      <c r="E26" s="26"/>
      <c r="F26" s="26"/>
      <c r="G26" s="26"/>
    </row>
    <row r="27" spans="1:7" x14ac:dyDescent="0.25">
      <c r="A27" s="26">
        <v>21</v>
      </c>
      <c r="B27" s="26"/>
      <c r="C27" s="26"/>
      <c r="D27" s="26"/>
      <c r="E27" s="26"/>
      <c r="F27" s="26"/>
      <c r="G27" s="26"/>
    </row>
    <row r="28" spans="1:7" x14ac:dyDescent="0.25">
      <c r="A28" s="26">
        <v>22</v>
      </c>
      <c r="B28" s="26"/>
      <c r="C28" s="26"/>
      <c r="D28" s="26"/>
      <c r="E28" s="26"/>
      <c r="F28" s="26"/>
      <c r="G28" s="26"/>
    </row>
    <row r="29" spans="1:7" x14ac:dyDescent="0.25">
      <c r="A29" s="26">
        <v>23</v>
      </c>
      <c r="B29" s="26"/>
      <c r="C29" s="26"/>
      <c r="D29" s="26"/>
      <c r="E29" s="26"/>
      <c r="F29" s="26"/>
      <c r="G29" s="26"/>
    </row>
    <row r="30" spans="1:7" x14ac:dyDescent="0.25">
      <c r="A30" s="26">
        <v>24</v>
      </c>
      <c r="B30" s="26"/>
      <c r="C30" s="26"/>
      <c r="D30" s="26"/>
      <c r="E30" s="26"/>
      <c r="F30" s="26"/>
      <c r="G30" s="26"/>
    </row>
    <row r="31" spans="1:7" x14ac:dyDescent="0.25">
      <c r="A31" s="26">
        <v>25</v>
      </c>
      <c r="B31" s="26"/>
      <c r="C31" s="26"/>
      <c r="D31" s="26"/>
      <c r="E31" s="26"/>
      <c r="F31" s="26"/>
      <c r="G31" s="26"/>
    </row>
    <row r="32" spans="1:7" x14ac:dyDescent="0.25">
      <c r="A32" s="26">
        <v>26</v>
      </c>
      <c r="B32" s="26"/>
      <c r="C32" s="26"/>
      <c r="D32" s="26"/>
      <c r="E32" s="26"/>
      <c r="F32" s="26"/>
      <c r="G32" s="26"/>
    </row>
    <row r="33" spans="1:7" x14ac:dyDescent="0.25">
      <c r="A33" s="26">
        <v>27</v>
      </c>
      <c r="B33" s="26"/>
      <c r="C33" s="26"/>
      <c r="D33" s="26"/>
      <c r="E33" s="26"/>
      <c r="F33" s="26"/>
      <c r="G33" s="26"/>
    </row>
    <row r="34" spans="1:7" x14ac:dyDescent="0.25">
      <c r="A34" s="26">
        <v>28</v>
      </c>
      <c r="B34" s="26"/>
      <c r="C34" s="26"/>
      <c r="D34" s="26"/>
      <c r="E34" s="26"/>
      <c r="F34" s="26"/>
      <c r="G34" s="26"/>
    </row>
    <row r="35" spans="1:7" x14ac:dyDescent="0.25">
      <c r="A35" s="26">
        <v>29</v>
      </c>
      <c r="B35" s="26"/>
      <c r="C35" s="26"/>
      <c r="D35" s="26"/>
      <c r="E35" s="26"/>
      <c r="F35" s="26"/>
      <c r="G35" s="26"/>
    </row>
    <row r="36" spans="1:7" x14ac:dyDescent="0.25">
      <c r="A36" s="26">
        <v>30</v>
      </c>
      <c r="B36" s="26"/>
      <c r="C36" s="26"/>
      <c r="D36" s="26"/>
      <c r="E36" s="26"/>
      <c r="F36" s="26"/>
      <c r="G36" s="26"/>
    </row>
    <row r="37" spans="1:7" x14ac:dyDescent="0.25">
      <c r="A37" s="26">
        <v>31</v>
      </c>
      <c r="B37" s="26"/>
      <c r="C37" s="26"/>
      <c r="D37" s="26"/>
      <c r="E37" s="26"/>
      <c r="F37" s="26"/>
      <c r="G37" s="26"/>
    </row>
    <row r="38" spans="1:7" x14ac:dyDescent="0.25">
      <c r="A38" s="26">
        <v>32</v>
      </c>
      <c r="B38" s="26"/>
      <c r="C38" s="26"/>
      <c r="D38" s="26"/>
      <c r="E38" s="26"/>
      <c r="F38" s="26"/>
      <c r="G38" s="26"/>
    </row>
    <row r="39" spans="1:7" x14ac:dyDescent="0.25">
      <c r="A39" s="26">
        <v>33</v>
      </c>
      <c r="B39" s="26"/>
      <c r="C39" s="26"/>
      <c r="D39" s="26"/>
      <c r="E39" s="26"/>
      <c r="F39" s="26"/>
      <c r="G39" s="26"/>
    </row>
    <row r="40" spans="1:7" x14ac:dyDescent="0.25">
      <c r="A40" s="26">
        <v>34</v>
      </c>
      <c r="B40" s="26"/>
      <c r="C40" s="26"/>
      <c r="D40" s="26"/>
      <c r="E40" s="26"/>
      <c r="F40" s="26"/>
      <c r="G40" s="26"/>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34"/>
  <sheetViews>
    <sheetView windowProtection="1" workbookViewId="0">
      <selection activeCell="B6" sqref="B6"/>
    </sheetView>
  </sheetViews>
  <sheetFormatPr defaultRowHeight="15" x14ac:dyDescent="0.25"/>
  <cols>
    <col min="3" max="3" width="24.85546875" customWidth="1"/>
    <col min="4" max="4" width="19.28515625" customWidth="1"/>
    <col min="5" max="5" width="15" customWidth="1"/>
    <col min="7" max="7" width="9.140625" style="18"/>
    <col min="8" max="8" width="9.140625" style="6"/>
  </cols>
  <sheetData>
    <row r="2" spans="1:12" ht="23.25" x14ac:dyDescent="0.35">
      <c r="A2" s="42" t="s">
        <v>130</v>
      </c>
    </row>
    <row r="4" spans="1:12" x14ac:dyDescent="0.25">
      <c r="A4" s="20" t="s">
        <v>41</v>
      </c>
      <c r="B4" s="20" t="s">
        <v>133</v>
      </c>
      <c r="C4" s="20" t="s">
        <v>131</v>
      </c>
      <c r="D4" s="20" t="s">
        <v>132</v>
      </c>
      <c r="E4" s="20" t="s">
        <v>15</v>
      </c>
      <c r="G4" s="20" t="s">
        <v>169</v>
      </c>
      <c r="I4" s="18"/>
      <c r="J4" s="18"/>
      <c r="K4" s="18"/>
      <c r="L4" s="18"/>
    </row>
    <row r="5" spans="1:12" x14ac:dyDescent="0.25">
      <c r="A5" s="18" t="s">
        <v>134</v>
      </c>
      <c r="B5" s="18">
        <v>6239</v>
      </c>
      <c r="C5" s="18"/>
      <c r="D5" s="18"/>
      <c r="E5" s="18"/>
      <c r="I5" s="18"/>
      <c r="J5" s="18"/>
      <c r="K5" s="18"/>
      <c r="L5" s="18"/>
    </row>
    <row r="6" spans="1:12" x14ac:dyDescent="0.25">
      <c r="A6" s="18" t="s">
        <v>135</v>
      </c>
      <c r="B6" s="26">
        <v>3359</v>
      </c>
      <c r="C6" s="18"/>
      <c r="D6" s="18"/>
      <c r="E6" s="18"/>
      <c r="F6" s="18"/>
      <c r="I6" s="18"/>
      <c r="J6" s="18"/>
      <c r="L6" s="18"/>
    </row>
    <row r="7" spans="1:12" x14ac:dyDescent="0.25">
      <c r="A7" s="18" t="s">
        <v>136</v>
      </c>
      <c r="B7" s="18">
        <v>6461</v>
      </c>
      <c r="C7" s="18" t="s">
        <v>170</v>
      </c>
      <c r="D7" s="18" t="s">
        <v>18</v>
      </c>
      <c r="E7" s="18" t="s">
        <v>18</v>
      </c>
      <c r="F7" s="18"/>
      <c r="G7" s="18">
        <v>0.85</v>
      </c>
      <c r="I7" s="18"/>
      <c r="J7" s="18"/>
      <c r="K7" s="18"/>
      <c r="L7" s="18"/>
    </row>
    <row r="8" spans="1:12" x14ac:dyDescent="0.25">
      <c r="A8" s="18" t="s">
        <v>137</v>
      </c>
      <c r="B8" s="18">
        <v>6279</v>
      </c>
      <c r="C8" s="18"/>
      <c r="D8" s="18"/>
      <c r="E8" s="18"/>
      <c r="F8" s="18"/>
      <c r="I8" s="18"/>
      <c r="J8" s="18"/>
      <c r="L8" s="18"/>
    </row>
    <row r="9" spans="1:12" x14ac:dyDescent="0.25">
      <c r="A9" s="18" t="s">
        <v>138</v>
      </c>
      <c r="B9" s="18">
        <v>3175</v>
      </c>
      <c r="C9" s="18"/>
      <c r="D9" s="18"/>
      <c r="E9" s="18"/>
      <c r="F9" s="18"/>
      <c r="I9" s="18"/>
      <c r="J9" s="18"/>
      <c r="L9" s="18"/>
    </row>
    <row r="10" spans="1:12" x14ac:dyDescent="0.25">
      <c r="A10" s="18" t="s">
        <v>139</v>
      </c>
      <c r="B10" s="18">
        <v>2350</v>
      </c>
      <c r="C10" s="18"/>
      <c r="D10" s="18"/>
      <c r="E10" s="18"/>
      <c r="I10" s="18"/>
      <c r="J10" s="18"/>
      <c r="K10" s="18"/>
      <c r="L10" s="18"/>
    </row>
    <row r="11" spans="1:12" x14ac:dyDescent="0.25">
      <c r="A11" s="18"/>
      <c r="B11" s="18"/>
      <c r="C11" s="18"/>
      <c r="D11" s="18"/>
      <c r="E11" s="18"/>
      <c r="I11" s="18"/>
      <c r="J11" s="18"/>
      <c r="K11" s="18"/>
      <c r="L11" s="18"/>
    </row>
    <row r="12" spans="1:12" x14ac:dyDescent="0.25">
      <c r="A12" s="20" t="s">
        <v>47</v>
      </c>
      <c r="B12" s="18"/>
      <c r="C12" s="18"/>
      <c r="D12" s="18"/>
      <c r="E12" s="18"/>
    </row>
    <row r="13" spans="1:12" x14ac:dyDescent="0.25">
      <c r="A13" s="18" t="s">
        <v>134</v>
      </c>
      <c r="B13" s="18">
        <v>2360</v>
      </c>
      <c r="C13" s="18"/>
      <c r="D13" s="18"/>
      <c r="E13" s="18"/>
    </row>
    <row r="14" spans="1:12" x14ac:dyDescent="0.25">
      <c r="A14" s="18" t="s">
        <v>135</v>
      </c>
      <c r="B14" s="18">
        <v>2322</v>
      </c>
      <c r="C14" s="18"/>
      <c r="D14" s="18"/>
      <c r="E14" s="18"/>
    </row>
    <row r="15" spans="1:12" x14ac:dyDescent="0.25">
      <c r="A15" s="18" t="s">
        <v>136</v>
      </c>
      <c r="B15" s="18">
        <v>3502</v>
      </c>
      <c r="C15" s="18" t="s">
        <v>140</v>
      </c>
      <c r="D15" s="18" t="s">
        <v>18</v>
      </c>
      <c r="E15" s="18" t="s">
        <v>18</v>
      </c>
    </row>
    <row r="16" spans="1:12" x14ac:dyDescent="0.25">
      <c r="A16" s="18" t="s">
        <v>137</v>
      </c>
      <c r="B16" s="18">
        <v>2731</v>
      </c>
      <c r="C16" s="18"/>
      <c r="D16" s="18"/>
      <c r="E16" s="18"/>
    </row>
    <row r="17" spans="1:12" x14ac:dyDescent="0.25">
      <c r="A17" s="18" t="s">
        <v>138</v>
      </c>
      <c r="B17" s="18">
        <v>3186</v>
      </c>
      <c r="C17" s="18"/>
      <c r="D17" s="18"/>
      <c r="E17" s="18"/>
    </row>
    <row r="18" spans="1:12" x14ac:dyDescent="0.25">
      <c r="A18" s="18" t="s">
        <v>139</v>
      </c>
      <c r="B18" s="18">
        <v>5653</v>
      </c>
      <c r="C18" s="18"/>
      <c r="D18" s="18"/>
      <c r="E18" s="18"/>
    </row>
    <row r="19" spans="1:12" x14ac:dyDescent="0.25">
      <c r="A19" s="18"/>
      <c r="B19" s="18"/>
      <c r="C19" s="18"/>
      <c r="D19" s="18"/>
      <c r="E19" s="18"/>
    </row>
    <row r="20" spans="1:12" x14ac:dyDescent="0.25">
      <c r="A20" s="20" t="s">
        <v>48</v>
      </c>
      <c r="B20" s="18"/>
      <c r="C20" s="18"/>
      <c r="D20" s="18"/>
      <c r="E20" s="18"/>
    </row>
    <row r="21" spans="1:12" x14ac:dyDescent="0.25">
      <c r="A21" s="18" t="s">
        <v>134</v>
      </c>
      <c r="B21" s="18">
        <v>6239</v>
      </c>
      <c r="C21" s="18"/>
      <c r="D21" s="18"/>
      <c r="E21" s="18"/>
    </row>
    <row r="22" spans="1:12" x14ac:dyDescent="0.25">
      <c r="A22" s="18" t="s">
        <v>135</v>
      </c>
      <c r="B22" s="18">
        <v>2361</v>
      </c>
      <c r="C22" s="18"/>
      <c r="D22" s="18"/>
      <c r="E22" s="18"/>
    </row>
    <row r="23" spans="1:12" x14ac:dyDescent="0.25">
      <c r="A23" s="18" t="s">
        <v>136</v>
      </c>
      <c r="B23" s="18">
        <v>2874</v>
      </c>
      <c r="C23" s="18" t="s">
        <v>171</v>
      </c>
      <c r="D23" s="18" t="s">
        <v>18</v>
      </c>
      <c r="E23" s="18" t="s">
        <v>18</v>
      </c>
      <c r="G23" s="18">
        <v>0.86799999999999999</v>
      </c>
      <c r="I23" s="18"/>
      <c r="J23" s="18"/>
      <c r="K23" s="18"/>
      <c r="L23" s="18"/>
    </row>
    <row r="24" spans="1:12" x14ac:dyDescent="0.25">
      <c r="A24" s="18" t="s">
        <v>137</v>
      </c>
      <c r="B24" s="18">
        <v>3292</v>
      </c>
      <c r="C24" s="18"/>
      <c r="D24" s="18"/>
      <c r="E24" s="18"/>
    </row>
    <row r="25" spans="1:12" x14ac:dyDescent="0.25">
      <c r="A25" s="18" t="s">
        <v>138</v>
      </c>
      <c r="B25" s="26">
        <v>2436</v>
      </c>
      <c r="C25" s="18"/>
      <c r="D25" s="18"/>
      <c r="E25" s="18"/>
    </row>
    <row r="26" spans="1:12" x14ac:dyDescent="0.25">
      <c r="A26" s="18" t="s">
        <v>139</v>
      </c>
      <c r="B26" s="18">
        <v>6244</v>
      </c>
      <c r="C26" s="18"/>
      <c r="D26" s="18"/>
      <c r="E26" s="18"/>
    </row>
    <row r="27" spans="1:12" x14ac:dyDescent="0.25">
      <c r="A27" s="18"/>
      <c r="B27" s="18"/>
      <c r="C27" s="18"/>
      <c r="D27" s="18"/>
      <c r="E27" s="18"/>
    </row>
    <row r="28" spans="1:12" x14ac:dyDescent="0.25">
      <c r="A28" s="20" t="s">
        <v>49</v>
      </c>
      <c r="B28" s="18"/>
      <c r="C28" s="18"/>
      <c r="D28" s="18"/>
      <c r="E28" s="18"/>
    </row>
    <row r="29" spans="1:12" x14ac:dyDescent="0.25">
      <c r="A29" s="18" t="s">
        <v>134</v>
      </c>
      <c r="B29" s="18">
        <v>6234</v>
      </c>
      <c r="C29" s="18"/>
      <c r="D29" s="18"/>
      <c r="E29" s="18"/>
    </row>
    <row r="30" spans="1:12" x14ac:dyDescent="0.25">
      <c r="A30" s="18" t="s">
        <v>135</v>
      </c>
      <c r="B30" s="18">
        <v>3356</v>
      </c>
    </row>
    <row r="31" spans="1:12" x14ac:dyDescent="0.25">
      <c r="A31" s="18" t="s">
        <v>136</v>
      </c>
      <c r="B31" s="18">
        <v>5000</v>
      </c>
      <c r="C31" s="18" t="s">
        <v>141</v>
      </c>
      <c r="D31" s="18" t="s">
        <v>18</v>
      </c>
      <c r="E31" s="18" t="s">
        <v>18</v>
      </c>
    </row>
    <row r="32" spans="1:12" x14ac:dyDescent="0.25">
      <c r="A32" s="18" t="s">
        <v>137</v>
      </c>
      <c r="B32" s="18">
        <v>6220</v>
      </c>
    </row>
    <row r="33" spans="1:2" x14ac:dyDescent="0.25">
      <c r="A33" s="18" t="s">
        <v>138</v>
      </c>
      <c r="B33" s="18">
        <v>6284</v>
      </c>
    </row>
    <row r="34" spans="1:2" x14ac:dyDescent="0.25">
      <c r="A34" s="18" t="s">
        <v>139</v>
      </c>
      <c r="B34" s="18">
        <v>3360</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6"/>
  <sheetViews>
    <sheetView windowProtection="1" workbookViewId="0">
      <selection activeCell="L8" sqref="L8"/>
    </sheetView>
  </sheetViews>
  <sheetFormatPr defaultRowHeight="15" x14ac:dyDescent="0.25"/>
  <cols>
    <col min="2" max="2" width="12" customWidth="1"/>
    <col min="5" max="5" width="9.85546875" customWidth="1"/>
    <col min="6" max="7" width="11.5703125" customWidth="1"/>
    <col min="12" max="12" width="12" customWidth="1"/>
    <col min="15" max="15" width="9.85546875" customWidth="1"/>
    <col min="16" max="16" width="10.28515625" customWidth="1"/>
    <col min="17" max="17" width="12" customWidth="1"/>
  </cols>
  <sheetData>
    <row r="1" spans="1:26" ht="15.75" x14ac:dyDescent="0.25">
      <c r="A1" s="44" t="s">
        <v>142</v>
      </c>
      <c r="B1" s="44"/>
      <c r="C1" s="44"/>
      <c r="D1" s="44"/>
      <c r="E1" s="44"/>
      <c r="F1" s="43">
        <v>43333</v>
      </c>
      <c r="K1" s="44" t="s">
        <v>142</v>
      </c>
      <c r="L1" s="44"/>
      <c r="M1" s="44"/>
      <c r="N1" s="44"/>
      <c r="O1" s="44"/>
      <c r="P1" s="43">
        <v>43333</v>
      </c>
    </row>
    <row r="2" spans="1:26" x14ac:dyDescent="0.25">
      <c r="A2" s="18"/>
      <c r="B2" s="18"/>
      <c r="C2" s="18"/>
      <c r="D2" s="18"/>
      <c r="E2" s="18"/>
      <c r="F2" s="18" t="s">
        <v>164</v>
      </c>
      <c r="G2" s="18"/>
      <c r="H2" s="18"/>
      <c r="I2" s="18"/>
      <c r="J2" s="18"/>
      <c r="K2" s="18"/>
      <c r="L2" s="18"/>
      <c r="M2" s="18"/>
      <c r="N2" s="18"/>
      <c r="O2" s="18"/>
      <c r="P2" s="18" t="s">
        <v>164</v>
      </c>
      <c r="Q2" s="18"/>
      <c r="R2" s="18"/>
      <c r="S2" s="18"/>
      <c r="T2" s="18"/>
      <c r="U2" s="18"/>
      <c r="V2" s="18"/>
      <c r="W2" s="18"/>
      <c r="X2" s="18"/>
      <c r="Y2" s="18"/>
      <c r="Z2" s="18"/>
    </row>
    <row r="3" spans="1:26" ht="29.25" customHeight="1" x14ac:dyDescent="0.25">
      <c r="A3" s="16" t="s">
        <v>143</v>
      </c>
      <c r="B3" s="18"/>
      <c r="C3" s="20" t="s">
        <v>144</v>
      </c>
      <c r="D3" s="20" t="s">
        <v>145</v>
      </c>
      <c r="E3" s="20" t="s">
        <v>146</v>
      </c>
      <c r="F3" s="43">
        <v>43334</v>
      </c>
      <c r="G3" s="18"/>
      <c r="H3" s="18"/>
      <c r="I3" s="18"/>
      <c r="J3" s="18"/>
      <c r="K3" s="16" t="s">
        <v>147</v>
      </c>
      <c r="L3" s="18"/>
      <c r="M3" s="20" t="s">
        <v>144</v>
      </c>
      <c r="N3" s="20" t="s">
        <v>145</v>
      </c>
      <c r="O3" s="20" t="s">
        <v>146</v>
      </c>
      <c r="P3" s="43">
        <v>43334</v>
      </c>
      <c r="Q3" s="18"/>
      <c r="R3" s="18"/>
      <c r="S3" s="18"/>
      <c r="T3" s="18"/>
      <c r="U3" s="18"/>
      <c r="V3" s="18"/>
      <c r="W3" s="18"/>
      <c r="X3" s="18"/>
      <c r="Y3" s="18"/>
      <c r="Z3" s="18"/>
    </row>
    <row r="4" spans="1:26" x14ac:dyDescent="0.25">
      <c r="A4" s="18"/>
      <c r="B4" s="18"/>
      <c r="C4" s="20" t="s">
        <v>148</v>
      </c>
      <c r="D4" s="20"/>
      <c r="E4" s="20" t="s">
        <v>155</v>
      </c>
      <c r="F4" s="18"/>
      <c r="G4" s="18"/>
      <c r="H4" s="18"/>
      <c r="I4" s="18"/>
      <c r="J4" s="18"/>
      <c r="K4" s="18"/>
      <c r="L4" s="18"/>
      <c r="M4" s="20" t="s">
        <v>148</v>
      </c>
      <c r="N4" s="20"/>
      <c r="O4" s="20" t="s">
        <v>155</v>
      </c>
      <c r="P4" s="18"/>
      <c r="Q4" s="18"/>
      <c r="R4" s="18"/>
      <c r="S4" s="18"/>
      <c r="T4" s="18"/>
      <c r="U4" s="18"/>
      <c r="V4" s="18"/>
      <c r="W4" s="18"/>
      <c r="X4" s="18"/>
      <c r="Y4" s="18"/>
      <c r="Z4" s="18"/>
    </row>
    <row r="5" spans="1:26" x14ac:dyDescent="0.25">
      <c r="A5" s="18"/>
      <c r="B5" s="18"/>
      <c r="C5" s="18"/>
      <c r="D5" s="18"/>
      <c r="E5" s="18"/>
      <c r="F5" s="18"/>
      <c r="G5" s="18"/>
      <c r="H5" s="18" t="s">
        <v>166</v>
      </c>
      <c r="I5" s="18"/>
      <c r="J5" s="18"/>
      <c r="K5" s="18"/>
      <c r="L5" s="18"/>
      <c r="M5" s="18"/>
      <c r="N5" s="18"/>
      <c r="O5" s="18"/>
      <c r="P5" s="18"/>
      <c r="Q5" s="18"/>
      <c r="R5" s="18" t="s">
        <v>166</v>
      </c>
      <c r="S5" s="18"/>
      <c r="T5" s="18"/>
      <c r="U5" s="18"/>
      <c r="V5" s="18"/>
      <c r="W5" s="18"/>
      <c r="X5" s="18"/>
      <c r="Y5" s="18"/>
      <c r="Z5" s="18"/>
    </row>
    <row r="6" spans="1:26" x14ac:dyDescent="0.25">
      <c r="A6" s="24" t="s">
        <v>41</v>
      </c>
      <c r="B6" s="26" t="s">
        <v>162</v>
      </c>
      <c r="C6" s="26">
        <v>29.3</v>
      </c>
      <c r="D6" s="26">
        <v>10488</v>
      </c>
      <c r="E6" s="26" t="s">
        <v>151</v>
      </c>
      <c r="F6" s="18"/>
      <c r="G6" s="18">
        <v>27.3</v>
      </c>
      <c r="H6" s="18">
        <v>10489</v>
      </c>
      <c r="I6" s="18" t="s">
        <v>165</v>
      </c>
      <c r="J6" s="18"/>
      <c r="K6" s="24" t="s">
        <v>41</v>
      </c>
      <c r="L6" s="26" t="s">
        <v>162</v>
      </c>
      <c r="M6" s="26">
        <v>29.5</v>
      </c>
      <c r="N6" s="26">
        <v>10488</v>
      </c>
      <c r="O6" s="26" t="s">
        <v>158</v>
      </c>
      <c r="P6" s="18"/>
      <c r="Q6" s="18">
        <v>27.4</v>
      </c>
      <c r="R6" s="18">
        <v>10489</v>
      </c>
      <c r="S6" s="18" t="s">
        <v>167</v>
      </c>
      <c r="T6" s="18"/>
      <c r="U6" s="18"/>
      <c r="V6" s="18"/>
      <c r="W6" s="18"/>
      <c r="X6" s="18"/>
      <c r="Y6" s="18"/>
      <c r="Z6" s="18"/>
    </row>
    <row r="7" spans="1:26" x14ac:dyDescent="0.25">
      <c r="A7" s="24">
        <v>1</v>
      </c>
      <c r="B7" s="26"/>
      <c r="C7" s="26">
        <v>4.78</v>
      </c>
      <c r="D7" s="26">
        <v>5233</v>
      </c>
      <c r="E7" s="46">
        <v>1.0900000000000001</v>
      </c>
      <c r="F7" s="18"/>
      <c r="G7" s="18"/>
      <c r="H7" s="18"/>
      <c r="I7" s="18"/>
      <c r="J7" s="18"/>
      <c r="K7" s="24">
        <v>1</v>
      </c>
      <c r="L7" s="26"/>
      <c r="M7" s="26">
        <v>4.79</v>
      </c>
      <c r="N7" s="26">
        <v>5232</v>
      </c>
      <c r="O7" s="26">
        <v>1.0900000000000001</v>
      </c>
      <c r="P7" s="18"/>
      <c r="Q7" s="18"/>
      <c r="R7" s="18"/>
      <c r="S7" s="18"/>
      <c r="T7" s="18"/>
      <c r="U7" s="18"/>
      <c r="V7" s="18"/>
      <c r="W7" s="18"/>
      <c r="X7" s="18"/>
      <c r="Y7" s="18"/>
      <c r="Z7" s="18"/>
    </row>
    <row r="8" spans="1:26" x14ac:dyDescent="0.25">
      <c r="A8" s="24">
        <v>2</v>
      </c>
      <c r="B8" s="26">
        <v>3359</v>
      </c>
      <c r="C8" s="26">
        <v>4.9800000000000004</v>
      </c>
      <c r="D8" s="26">
        <v>5234</v>
      </c>
      <c r="E8" s="46">
        <v>1.05</v>
      </c>
      <c r="F8" s="18"/>
      <c r="G8" s="18">
        <v>4.7</v>
      </c>
      <c r="H8" s="18">
        <v>5232</v>
      </c>
      <c r="I8" s="18">
        <v>1.1100000000000001</v>
      </c>
      <c r="J8" s="18"/>
      <c r="K8" s="24">
        <v>2</v>
      </c>
      <c r="L8" s="26">
        <v>3359</v>
      </c>
      <c r="M8" s="26">
        <v>4.99</v>
      </c>
      <c r="N8" s="26">
        <v>5235</v>
      </c>
      <c r="O8" s="46">
        <v>1.05</v>
      </c>
      <c r="P8" s="18"/>
      <c r="Q8" s="18">
        <v>4.5</v>
      </c>
      <c r="R8" s="18">
        <v>5231</v>
      </c>
      <c r="S8" s="18">
        <v>1.1599999999999999</v>
      </c>
      <c r="T8" s="18"/>
      <c r="U8" s="18"/>
      <c r="W8" s="18"/>
      <c r="X8" s="18"/>
      <c r="Y8" s="18"/>
      <c r="Z8" s="18"/>
    </row>
    <row r="9" spans="1:26" x14ac:dyDescent="0.25">
      <c r="A9" s="24">
        <v>3</v>
      </c>
      <c r="B9" s="26"/>
      <c r="C9" s="26">
        <v>4.76</v>
      </c>
      <c r="D9" s="26">
        <v>5232</v>
      </c>
      <c r="E9" s="46">
        <v>1.1000000000000001</v>
      </c>
      <c r="F9" s="18"/>
      <c r="G9" s="18"/>
      <c r="H9" s="18"/>
      <c r="I9" s="18"/>
      <c r="J9" s="18"/>
      <c r="K9" s="24">
        <v>3</v>
      </c>
      <c r="L9" s="26"/>
      <c r="M9" s="26">
        <v>4.67</v>
      </c>
      <c r="N9" s="26">
        <v>5231</v>
      </c>
      <c r="O9" s="46">
        <v>1.1200000000000001</v>
      </c>
      <c r="P9" s="18"/>
      <c r="Q9" s="18"/>
      <c r="R9" s="18"/>
      <c r="S9" s="18"/>
      <c r="T9" s="18"/>
      <c r="U9" s="18"/>
      <c r="V9" s="18"/>
      <c r="W9" s="18"/>
      <c r="X9" s="18"/>
      <c r="Y9" s="18"/>
      <c r="Z9" s="18"/>
    </row>
    <row r="10" spans="1:26" x14ac:dyDescent="0.25">
      <c r="A10" s="24">
        <v>4</v>
      </c>
      <c r="B10" s="26">
        <v>6279</v>
      </c>
      <c r="C10" s="26">
        <v>4.96</v>
      </c>
      <c r="D10" s="26">
        <v>5233</v>
      </c>
      <c r="E10" s="46">
        <v>1.06</v>
      </c>
      <c r="F10" s="18"/>
      <c r="G10" s="18">
        <v>4.7</v>
      </c>
      <c r="H10" s="18">
        <v>5232</v>
      </c>
      <c r="I10" s="18">
        <v>1.1100000000000001</v>
      </c>
      <c r="J10" s="18"/>
      <c r="K10" s="24">
        <v>4</v>
      </c>
      <c r="L10" s="26">
        <v>6279</v>
      </c>
      <c r="M10" s="26">
        <v>4.92</v>
      </c>
      <c r="N10" s="26">
        <v>5235</v>
      </c>
      <c r="O10" s="26">
        <v>1.07</v>
      </c>
      <c r="P10" s="18"/>
      <c r="Q10" s="18">
        <v>4.8099999999999996</v>
      </c>
      <c r="R10" s="18">
        <v>5232</v>
      </c>
      <c r="S10" s="18">
        <v>1.0900000000000001</v>
      </c>
      <c r="T10" s="18"/>
      <c r="U10" s="18"/>
      <c r="W10" s="18"/>
      <c r="X10" s="18"/>
      <c r="Y10" s="18"/>
      <c r="Z10" s="18"/>
    </row>
    <row r="11" spans="1:26" x14ac:dyDescent="0.25">
      <c r="A11" s="24">
        <v>5</v>
      </c>
      <c r="B11" s="26">
        <v>3175</v>
      </c>
      <c r="C11" s="26">
        <v>4.92</v>
      </c>
      <c r="D11" s="26">
        <v>5233</v>
      </c>
      <c r="E11" s="46">
        <v>1.06</v>
      </c>
      <c r="F11" s="18"/>
      <c r="G11" s="18">
        <v>4.55</v>
      </c>
      <c r="H11" s="18">
        <v>5231</v>
      </c>
      <c r="I11" s="18">
        <v>1.1499999999999999</v>
      </c>
      <c r="J11" s="18"/>
      <c r="K11" s="24">
        <v>5</v>
      </c>
      <c r="L11" s="26">
        <v>3175</v>
      </c>
      <c r="M11" s="26">
        <v>4.92</v>
      </c>
      <c r="N11" s="26">
        <v>5234</v>
      </c>
      <c r="O11" s="46">
        <v>1.06</v>
      </c>
      <c r="P11" s="18"/>
      <c r="Q11" s="18">
        <v>4.1900000000000004</v>
      </c>
      <c r="R11" s="18">
        <v>5230</v>
      </c>
      <c r="S11" s="18">
        <v>1.25</v>
      </c>
      <c r="T11" s="18"/>
      <c r="U11" s="18"/>
      <c r="W11" s="18"/>
      <c r="X11" s="18"/>
      <c r="Y11" s="18"/>
      <c r="Z11" s="18"/>
    </row>
    <row r="12" spans="1:26" x14ac:dyDescent="0.25">
      <c r="A12" s="24">
        <v>6</v>
      </c>
      <c r="B12" s="26"/>
      <c r="C12" s="26">
        <v>4.9000000000000004</v>
      </c>
      <c r="D12" s="26">
        <v>5232</v>
      </c>
      <c r="E12" s="46">
        <v>1.07</v>
      </c>
      <c r="F12" s="18"/>
      <c r="G12" s="6" t="s">
        <v>156</v>
      </c>
      <c r="H12" s="6"/>
      <c r="I12" s="6"/>
      <c r="J12" s="18"/>
      <c r="K12" s="24">
        <v>6</v>
      </c>
      <c r="L12" s="26"/>
      <c r="M12" s="26">
        <v>4.87</v>
      </c>
      <c r="N12" s="26">
        <v>5233</v>
      </c>
      <c r="O12" s="26">
        <v>1.0900000000000001</v>
      </c>
      <c r="P12" s="18"/>
      <c r="Q12" s="6" t="s">
        <v>156</v>
      </c>
      <c r="R12" s="6"/>
      <c r="S12" s="6"/>
      <c r="T12" s="18"/>
      <c r="U12" s="18"/>
      <c r="V12" s="18"/>
      <c r="W12" s="18"/>
      <c r="X12" s="18"/>
      <c r="Y12" s="18"/>
      <c r="Z12" s="18"/>
    </row>
    <row r="13" spans="1:26" x14ac:dyDescent="0.25">
      <c r="A13" s="24"/>
      <c r="B13" s="26"/>
      <c r="C13" s="26"/>
      <c r="D13" s="26" t="s">
        <v>154</v>
      </c>
      <c r="E13" s="26">
        <f>AVERAGE(E7:E12)</f>
        <v>1.071666666666667</v>
      </c>
      <c r="F13" s="18"/>
      <c r="G13" s="6" t="s">
        <v>157</v>
      </c>
      <c r="H13" s="18"/>
      <c r="I13" s="18"/>
      <c r="J13" s="18"/>
      <c r="K13" s="24"/>
      <c r="L13" s="26"/>
      <c r="M13" s="26"/>
      <c r="N13" s="26" t="s">
        <v>154</v>
      </c>
      <c r="O13" s="26">
        <f>AVERAGE(O7:O12)</f>
        <v>1.08</v>
      </c>
      <c r="P13" s="18"/>
      <c r="Q13" s="6" t="s">
        <v>157</v>
      </c>
      <c r="R13" s="18"/>
      <c r="S13" s="18"/>
      <c r="T13" s="18"/>
      <c r="U13" s="18"/>
      <c r="V13" s="18"/>
      <c r="W13" s="18"/>
      <c r="X13" s="18"/>
      <c r="Y13" s="18"/>
      <c r="Z13" s="18"/>
    </row>
    <row r="14" spans="1:26" x14ac:dyDescent="0.25">
      <c r="A14" s="24"/>
      <c r="B14" s="26"/>
      <c r="C14" s="26"/>
      <c r="D14" s="26"/>
      <c r="E14" s="26"/>
      <c r="F14" s="18"/>
      <c r="G14" s="18"/>
      <c r="H14" s="18"/>
      <c r="I14" s="18"/>
      <c r="J14" s="18"/>
      <c r="K14" s="24"/>
      <c r="L14" s="26"/>
      <c r="M14" s="26"/>
      <c r="N14" s="26"/>
      <c r="O14" s="26"/>
      <c r="P14" s="18"/>
      <c r="Q14" s="18"/>
      <c r="R14" s="18"/>
      <c r="S14" s="18"/>
      <c r="T14" s="18"/>
      <c r="U14" s="18"/>
      <c r="V14" s="18"/>
      <c r="W14" s="18"/>
      <c r="X14" s="18"/>
      <c r="Y14" s="18"/>
      <c r="Z14" s="18"/>
    </row>
    <row r="15" spans="1:26" x14ac:dyDescent="0.25">
      <c r="A15" s="24" t="s">
        <v>47</v>
      </c>
      <c r="B15" s="26"/>
      <c r="C15" s="26">
        <v>29.3</v>
      </c>
      <c r="D15" s="26">
        <v>10491</v>
      </c>
      <c r="E15" s="26" t="s">
        <v>149</v>
      </c>
      <c r="F15" s="18"/>
      <c r="G15" s="18"/>
      <c r="H15" s="18"/>
      <c r="I15" s="18"/>
      <c r="J15" s="18"/>
      <c r="K15" s="24" t="s">
        <v>47</v>
      </c>
      <c r="L15" s="26"/>
      <c r="M15" s="26">
        <v>29.3</v>
      </c>
      <c r="N15" s="26">
        <v>10490</v>
      </c>
      <c r="O15" s="26" t="s">
        <v>149</v>
      </c>
      <c r="P15" s="18"/>
      <c r="Q15" s="18"/>
      <c r="R15" s="18"/>
      <c r="S15" s="18"/>
      <c r="T15" s="18"/>
      <c r="U15" s="18"/>
      <c r="V15" s="18"/>
      <c r="W15" s="18"/>
      <c r="X15" s="18"/>
      <c r="Y15" s="18"/>
      <c r="Z15" s="18"/>
    </row>
    <row r="16" spans="1:26" x14ac:dyDescent="0.25">
      <c r="A16" s="24">
        <v>1</v>
      </c>
      <c r="B16" s="26"/>
      <c r="C16" s="26">
        <v>4.9400000000000004</v>
      </c>
      <c r="D16" s="26">
        <v>5234</v>
      </c>
      <c r="E16" s="26">
        <v>1.06</v>
      </c>
      <c r="F16" s="18"/>
      <c r="G16" s="18"/>
      <c r="H16" s="18"/>
      <c r="I16" s="18"/>
      <c r="J16" s="18"/>
      <c r="K16" s="24">
        <v>1</v>
      </c>
      <c r="L16" s="26"/>
      <c r="M16" s="26">
        <v>4.95</v>
      </c>
      <c r="N16" s="26">
        <v>5234</v>
      </c>
      <c r="O16" s="26">
        <v>1.06</v>
      </c>
      <c r="P16" s="18"/>
      <c r="Q16" s="18"/>
      <c r="R16" s="18"/>
      <c r="S16" s="18"/>
      <c r="T16" s="18"/>
      <c r="U16" s="18"/>
      <c r="V16" s="18"/>
      <c r="W16" s="18"/>
      <c r="X16" s="18"/>
      <c r="Y16" s="18"/>
      <c r="Z16" s="18"/>
    </row>
    <row r="17" spans="1:26" x14ac:dyDescent="0.25">
      <c r="A17" s="24">
        <v>2</v>
      </c>
      <c r="B17" s="26"/>
      <c r="C17" s="26">
        <v>4.75</v>
      </c>
      <c r="D17" s="26">
        <v>5233</v>
      </c>
      <c r="E17" s="26">
        <v>1.1000000000000001</v>
      </c>
      <c r="F17" s="18"/>
      <c r="G17" s="18"/>
      <c r="H17" s="18"/>
      <c r="I17" s="18"/>
      <c r="J17" s="18"/>
      <c r="K17" s="24">
        <v>2</v>
      </c>
      <c r="L17" s="26"/>
      <c r="M17" s="26">
        <v>4.84</v>
      </c>
      <c r="N17" s="26">
        <v>5233</v>
      </c>
      <c r="O17" s="26">
        <v>1.08</v>
      </c>
      <c r="P17" s="18"/>
      <c r="Q17" s="18"/>
      <c r="R17" s="18"/>
      <c r="S17" s="18"/>
      <c r="T17" s="18"/>
      <c r="U17" s="18"/>
      <c r="V17" s="18"/>
      <c r="W17" s="18"/>
      <c r="X17" s="18"/>
      <c r="Y17" s="18"/>
      <c r="Z17" s="18"/>
    </row>
    <row r="18" spans="1:26" x14ac:dyDescent="0.25">
      <c r="A18" s="24">
        <v>3</v>
      </c>
      <c r="B18" s="26"/>
      <c r="C18" s="26">
        <v>4.9000000000000004</v>
      </c>
      <c r="D18" s="26">
        <v>5235</v>
      </c>
      <c r="E18" s="26">
        <v>1.07</v>
      </c>
      <c r="F18" s="18"/>
      <c r="G18" s="18"/>
      <c r="H18" s="18"/>
      <c r="I18" s="18"/>
      <c r="J18" s="18"/>
      <c r="K18" s="24">
        <v>3</v>
      </c>
      <c r="L18" s="26"/>
      <c r="M18" s="26">
        <v>4.91</v>
      </c>
      <c r="N18" s="26">
        <v>5234</v>
      </c>
      <c r="O18" s="26">
        <v>1.07</v>
      </c>
      <c r="P18" s="18"/>
      <c r="Q18" s="18"/>
      <c r="R18" s="18"/>
      <c r="S18" s="18"/>
      <c r="T18" s="18"/>
      <c r="U18" s="18"/>
      <c r="V18" s="18"/>
      <c r="W18" s="18"/>
      <c r="X18" s="18"/>
      <c r="Y18" s="18"/>
      <c r="Z18" s="18"/>
    </row>
    <row r="19" spans="1:26" x14ac:dyDescent="0.25">
      <c r="A19" s="24">
        <v>4</v>
      </c>
      <c r="B19" s="26"/>
      <c r="C19" s="26">
        <v>4.8899999999999997</v>
      </c>
      <c r="D19" s="26">
        <v>5235</v>
      </c>
      <c r="E19" s="26">
        <v>1.07</v>
      </c>
      <c r="F19" s="18"/>
      <c r="G19" s="18"/>
      <c r="H19" s="18"/>
      <c r="I19" s="18"/>
      <c r="J19" s="18"/>
      <c r="K19" s="24">
        <v>4</v>
      </c>
      <c r="L19" s="26"/>
      <c r="M19" s="26">
        <v>4.8899999999999997</v>
      </c>
      <c r="N19" s="26">
        <v>5234</v>
      </c>
      <c r="O19" s="26">
        <v>1.07</v>
      </c>
      <c r="P19" s="18"/>
      <c r="Q19" s="18"/>
      <c r="R19" s="18"/>
      <c r="S19" s="18"/>
      <c r="T19" s="18"/>
      <c r="U19" s="18"/>
      <c r="V19" s="18"/>
      <c r="W19" s="18"/>
      <c r="X19" s="18"/>
      <c r="Y19" s="18"/>
      <c r="Z19" s="18"/>
    </row>
    <row r="20" spans="1:26" x14ac:dyDescent="0.25">
      <c r="A20" s="24">
        <v>5</v>
      </c>
      <c r="B20" s="26"/>
      <c r="C20" s="26">
        <v>4.8499999999999996</v>
      </c>
      <c r="D20" s="26">
        <v>5233</v>
      </c>
      <c r="E20" s="26">
        <v>1.08</v>
      </c>
      <c r="F20" s="18"/>
      <c r="G20" s="18"/>
      <c r="H20" s="18"/>
      <c r="I20" s="18"/>
      <c r="J20" s="18"/>
      <c r="K20" s="24">
        <v>5</v>
      </c>
      <c r="L20" s="26"/>
      <c r="M20" s="26">
        <v>4.8499999999999996</v>
      </c>
      <c r="N20" s="26">
        <v>5233</v>
      </c>
      <c r="O20" s="26">
        <v>1.08</v>
      </c>
      <c r="P20" s="18"/>
      <c r="Q20" s="18"/>
      <c r="R20" s="18"/>
      <c r="S20" s="18"/>
      <c r="T20" s="18"/>
      <c r="U20" s="18"/>
      <c r="V20" s="18"/>
      <c r="W20" s="18"/>
      <c r="X20" s="18"/>
      <c r="Y20" s="18"/>
      <c r="Z20" s="18"/>
    </row>
    <row r="21" spans="1:26" x14ac:dyDescent="0.25">
      <c r="A21" s="24">
        <v>6</v>
      </c>
      <c r="B21" s="26"/>
      <c r="C21" s="26">
        <v>4.97</v>
      </c>
      <c r="D21" s="26">
        <v>5235</v>
      </c>
      <c r="E21" s="26">
        <v>1.05</v>
      </c>
      <c r="F21" s="18"/>
      <c r="G21" s="18"/>
      <c r="H21" s="18"/>
      <c r="I21" s="18"/>
      <c r="J21" s="18"/>
      <c r="K21" s="24">
        <v>6</v>
      </c>
      <c r="L21" s="26"/>
      <c r="M21" s="26">
        <v>4.96</v>
      </c>
      <c r="N21" s="26">
        <v>5234</v>
      </c>
      <c r="O21" s="26">
        <v>1.06</v>
      </c>
      <c r="P21" s="18"/>
      <c r="Q21" s="18"/>
      <c r="R21" s="18"/>
      <c r="S21" s="18"/>
      <c r="T21" s="18"/>
      <c r="U21" s="18"/>
      <c r="V21" s="18"/>
      <c r="W21" s="18"/>
      <c r="X21" s="18"/>
      <c r="Y21" s="18"/>
      <c r="Z21" s="18"/>
    </row>
    <row r="22" spans="1:26" x14ac:dyDescent="0.25">
      <c r="A22" s="24"/>
      <c r="B22" s="26"/>
      <c r="C22" s="26"/>
      <c r="D22" s="26" t="s">
        <v>154</v>
      </c>
      <c r="E22" s="26">
        <f>AVERAGE(E16:E21)</f>
        <v>1.0716666666666668</v>
      </c>
      <c r="F22" s="18"/>
      <c r="G22" s="18"/>
      <c r="H22" s="18"/>
      <c r="I22" s="18"/>
      <c r="J22" s="18"/>
      <c r="K22" s="24"/>
      <c r="L22" s="26"/>
      <c r="M22" s="26"/>
      <c r="N22" s="26" t="s">
        <v>154</v>
      </c>
      <c r="O22" s="26">
        <f>AVERAGE(O16:O21)</f>
        <v>1.07</v>
      </c>
      <c r="P22" s="18"/>
      <c r="Q22" s="18"/>
      <c r="R22" s="18"/>
      <c r="S22" s="18"/>
      <c r="T22" s="18"/>
      <c r="U22" s="18"/>
      <c r="V22" s="18"/>
      <c r="W22" s="18"/>
      <c r="X22" s="18"/>
      <c r="Y22" s="18"/>
      <c r="Z22" s="18"/>
    </row>
    <row r="23" spans="1:26" x14ac:dyDescent="0.25">
      <c r="A23" s="24"/>
      <c r="B23" s="26"/>
      <c r="C23" s="26"/>
      <c r="D23" s="26"/>
      <c r="E23" s="26"/>
      <c r="F23" s="18"/>
      <c r="G23" s="18"/>
      <c r="H23" s="18" t="s">
        <v>163</v>
      </c>
      <c r="I23" s="18"/>
      <c r="J23" s="18"/>
      <c r="K23" s="24"/>
      <c r="L23" s="26"/>
      <c r="M23" s="26"/>
      <c r="N23" s="26"/>
      <c r="O23" s="26"/>
      <c r="P23" s="18"/>
      <c r="Q23" s="18"/>
      <c r="R23" s="18" t="s">
        <v>163</v>
      </c>
      <c r="S23" s="18"/>
      <c r="T23" s="18"/>
      <c r="U23" s="18"/>
      <c r="V23" s="18"/>
      <c r="W23" s="18"/>
      <c r="X23" s="18"/>
      <c r="Y23" s="18"/>
      <c r="Z23" s="18"/>
    </row>
    <row r="24" spans="1:26" x14ac:dyDescent="0.25">
      <c r="A24" s="24" t="s">
        <v>48</v>
      </c>
      <c r="B24" s="26"/>
      <c r="C24" s="26">
        <v>29.5</v>
      </c>
      <c r="D24" s="26">
        <v>10495</v>
      </c>
      <c r="E24" s="26" t="s">
        <v>158</v>
      </c>
      <c r="F24" s="18"/>
      <c r="G24" s="18">
        <v>28.1</v>
      </c>
      <c r="H24" s="18">
        <v>10489</v>
      </c>
      <c r="I24" s="18" t="s">
        <v>150</v>
      </c>
      <c r="J24" s="18"/>
      <c r="K24" s="24" t="s">
        <v>48</v>
      </c>
      <c r="L24" s="26"/>
      <c r="M24" s="26">
        <v>29.4</v>
      </c>
      <c r="N24" s="26">
        <v>10494</v>
      </c>
      <c r="O24" s="26" t="s">
        <v>168</v>
      </c>
      <c r="P24" s="18"/>
      <c r="Q24" s="18">
        <v>27.9</v>
      </c>
      <c r="R24" s="18">
        <v>10491</v>
      </c>
      <c r="S24" s="18" t="s">
        <v>152</v>
      </c>
      <c r="T24" s="18"/>
      <c r="U24" s="18"/>
      <c r="V24" s="18"/>
      <c r="W24" s="18"/>
      <c r="X24" s="18"/>
      <c r="Y24" s="18"/>
      <c r="Z24" s="18"/>
    </row>
    <row r="25" spans="1:26" x14ac:dyDescent="0.25">
      <c r="A25" s="24">
        <v>1</v>
      </c>
      <c r="B25" s="26"/>
      <c r="C25" s="26">
        <v>4.96</v>
      </c>
      <c r="D25" s="26">
        <v>5235</v>
      </c>
      <c r="E25" s="26">
        <v>1.06</v>
      </c>
      <c r="F25" s="18"/>
      <c r="G25" s="18"/>
      <c r="H25" s="18"/>
      <c r="I25" s="18"/>
      <c r="J25" s="18"/>
      <c r="K25" s="24">
        <v>1</v>
      </c>
      <c r="L25" s="26"/>
      <c r="M25" s="26">
        <v>4.8899999999999997</v>
      </c>
      <c r="N25" s="26">
        <v>5234</v>
      </c>
      <c r="O25" s="26">
        <v>1.07</v>
      </c>
      <c r="P25" s="18"/>
      <c r="Q25" s="18"/>
      <c r="R25" s="18"/>
      <c r="S25" s="18"/>
      <c r="T25" s="18"/>
      <c r="U25" s="18"/>
      <c r="V25" s="18"/>
      <c r="W25" s="18"/>
      <c r="X25" s="18"/>
      <c r="Y25" s="18"/>
      <c r="Z25" s="18"/>
    </row>
    <row r="26" spans="1:26" x14ac:dyDescent="0.25">
      <c r="A26" s="24">
        <v>2</v>
      </c>
      <c r="B26" s="26">
        <v>2361</v>
      </c>
      <c r="C26" s="26">
        <v>4.97</v>
      </c>
      <c r="D26" s="26">
        <v>5235</v>
      </c>
      <c r="E26" s="46">
        <v>1.05</v>
      </c>
      <c r="F26" s="18"/>
      <c r="G26" s="18">
        <v>4.5</v>
      </c>
      <c r="H26" s="18">
        <v>5232</v>
      </c>
      <c r="I26" s="18" t="s">
        <v>159</v>
      </c>
      <c r="J26" s="18"/>
      <c r="K26" s="24">
        <v>2</v>
      </c>
      <c r="L26" s="26">
        <v>2361</v>
      </c>
      <c r="M26" s="26">
        <v>4.67</v>
      </c>
      <c r="N26" s="26">
        <v>5233</v>
      </c>
      <c r="O26" s="26">
        <v>1.1200000000000001</v>
      </c>
      <c r="P26" s="18"/>
      <c r="Q26" s="18">
        <v>4.67</v>
      </c>
      <c r="R26" s="18">
        <v>5233</v>
      </c>
      <c r="S26" s="18">
        <v>1.1200000000000001</v>
      </c>
      <c r="T26" s="18"/>
      <c r="U26" s="18"/>
      <c r="V26" s="18"/>
      <c r="W26" s="18"/>
      <c r="X26" s="18"/>
      <c r="Y26" s="18"/>
      <c r="Z26" s="18"/>
    </row>
    <row r="27" spans="1:26" x14ac:dyDescent="0.25">
      <c r="A27" s="24">
        <v>3</v>
      </c>
      <c r="B27" s="26"/>
      <c r="C27" s="26">
        <v>4.78</v>
      </c>
      <c r="D27" s="26">
        <v>5233</v>
      </c>
      <c r="E27" s="26">
        <v>1.1000000000000001</v>
      </c>
      <c r="F27" s="18"/>
      <c r="G27" s="18"/>
      <c r="H27" s="18"/>
      <c r="I27" s="18"/>
      <c r="J27" s="18"/>
      <c r="K27" s="24">
        <v>3</v>
      </c>
      <c r="L27" s="26"/>
      <c r="M27" s="26">
        <v>4.96</v>
      </c>
      <c r="N27" s="26">
        <v>5235</v>
      </c>
      <c r="O27" s="26">
        <v>1.06</v>
      </c>
      <c r="P27" s="18"/>
      <c r="Q27" s="18"/>
      <c r="R27" s="18"/>
      <c r="S27" s="18"/>
      <c r="T27" s="18"/>
      <c r="U27" s="18"/>
      <c r="V27" s="18"/>
      <c r="W27" s="18"/>
      <c r="X27" s="18"/>
      <c r="Y27" s="18"/>
      <c r="Z27" s="18"/>
    </row>
    <row r="28" spans="1:26" x14ac:dyDescent="0.25">
      <c r="A28" s="24">
        <v>4</v>
      </c>
      <c r="B28" s="26"/>
      <c r="C28" s="26">
        <v>4.84</v>
      </c>
      <c r="D28" s="26">
        <v>5233</v>
      </c>
      <c r="E28" s="26">
        <v>1.08</v>
      </c>
      <c r="F28" s="18"/>
      <c r="G28" s="18"/>
      <c r="H28" s="18"/>
      <c r="I28" s="18"/>
      <c r="J28" s="18"/>
      <c r="K28" s="24">
        <v>4</v>
      </c>
      <c r="L28" s="26"/>
      <c r="M28" s="26">
        <v>4.6500000000000004</v>
      </c>
      <c r="N28" s="26">
        <v>5232</v>
      </c>
      <c r="O28" s="26">
        <v>1.1299999999999999</v>
      </c>
      <c r="P28" s="18"/>
      <c r="Q28" s="18"/>
      <c r="R28" s="18"/>
      <c r="S28" s="18"/>
      <c r="T28" s="18"/>
      <c r="U28" s="18"/>
      <c r="V28" s="18"/>
      <c r="W28" s="18"/>
      <c r="X28" s="18"/>
      <c r="Y28" s="18"/>
      <c r="Z28" s="18"/>
    </row>
    <row r="29" spans="1:26" x14ac:dyDescent="0.25">
      <c r="A29" s="24">
        <v>5</v>
      </c>
      <c r="B29" s="26">
        <v>2436</v>
      </c>
      <c r="C29" s="26">
        <v>4.97</v>
      </c>
      <c r="D29" s="26">
        <v>5235</v>
      </c>
      <c r="E29" s="26">
        <v>1.05</v>
      </c>
      <c r="F29" s="18"/>
      <c r="G29" s="18">
        <v>4.6500000000000004</v>
      </c>
      <c r="H29" s="18">
        <v>5232</v>
      </c>
      <c r="I29" s="18">
        <v>1.1200000000000001</v>
      </c>
      <c r="J29" s="18"/>
      <c r="K29" s="24">
        <v>5</v>
      </c>
      <c r="L29" s="26">
        <v>2436</v>
      </c>
      <c r="M29" s="26">
        <v>4.8</v>
      </c>
      <c r="N29" s="26">
        <v>5233</v>
      </c>
      <c r="O29" s="26">
        <v>1.05</v>
      </c>
      <c r="P29" s="18"/>
      <c r="Q29" s="18">
        <v>4.8</v>
      </c>
      <c r="R29" s="18">
        <v>5233</v>
      </c>
      <c r="S29" s="18">
        <v>1.0900000000000001</v>
      </c>
      <c r="T29" s="18"/>
      <c r="U29" s="18"/>
      <c r="V29" s="18"/>
      <c r="W29" s="18"/>
      <c r="X29" s="18"/>
      <c r="Y29" s="18"/>
      <c r="Z29" s="18"/>
    </row>
    <row r="30" spans="1:26" x14ac:dyDescent="0.25">
      <c r="A30" s="24">
        <v>6</v>
      </c>
      <c r="B30" s="26"/>
      <c r="C30" s="26">
        <v>4.9400000000000004</v>
      </c>
      <c r="D30" s="26">
        <v>5234</v>
      </c>
      <c r="E30" s="26">
        <v>1.06</v>
      </c>
      <c r="F30" s="18"/>
      <c r="G30" s="6" t="s">
        <v>160</v>
      </c>
      <c r="H30" s="18"/>
      <c r="I30" s="18"/>
      <c r="J30" s="18"/>
      <c r="K30" s="24">
        <v>6</v>
      </c>
      <c r="L30" s="26"/>
      <c r="M30" s="26">
        <v>4.87</v>
      </c>
      <c r="N30" s="26">
        <v>5233</v>
      </c>
      <c r="O30" s="26">
        <v>1.07</v>
      </c>
      <c r="P30" s="18"/>
      <c r="Q30" s="6" t="s">
        <v>160</v>
      </c>
      <c r="R30" s="18"/>
      <c r="S30" s="18"/>
      <c r="T30" s="18"/>
      <c r="U30" s="18"/>
      <c r="V30" s="18"/>
      <c r="W30" s="18"/>
      <c r="X30" s="18"/>
      <c r="Y30" s="18"/>
      <c r="Z30" s="18"/>
    </row>
    <row r="31" spans="1:26" x14ac:dyDescent="0.25">
      <c r="A31" s="24"/>
      <c r="B31" s="26"/>
      <c r="C31" s="26"/>
      <c r="D31" s="26" t="s">
        <v>154</v>
      </c>
      <c r="E31" s="26">
        <f>AVERAGE(E25:E30)</f>
        <v>1.0666666666666667</v>
      </c>
      <c r="F31" s="18"/>
      <c r="G31" s="6" t="s">
        <v>161</v>
      </c>
      <c r="H31" s="18"/>
      <c r="I31" s="18"/>
      <c r="J31" s="18"/>
      <c r="K31" s="24"/>
      <c r="L31" s="26"/>
      <c r="M31" s="26"/>
      <c r="N31" s="26" t="s">
        <v>154</v>
      </c>
      <c r="O31" s="26">
        <f>AVERAGE(O25:O30)</f>
        <v>1.0833333333333335</v>
      </c>
      <c r="P31" s="18"/>
      <c r="Q31" s="6" t="s">
        <v>161</v>
      </c>
      <c r="R31" s="18"/>
      <c r="S31" s="18"/>
      <c r="T31" s="18"/>
      <c r="U31" s="18"/>
      <c r="V31" s="18"/>
      <c r="W31" s="18"/>
      <c r="X31" s="18"/>
      <c r="Y31" s="18"/>
      <c r="Z31" s="18"/>
    </row>
    <row r="32" spans="1:26" x14ac:dyDescent="0.25">
      <c r="A32" s="24"/>
      <c r="B32" s="26"/>
      <c r="C32" s="26"/>
      <c r="D32" s="26"/>
      <c r="E32" s="26"/>
      <c r="F32" s="18"/>
      <c r="G32" s="18"/>
      <c r="H32" s="18"/>
      <c r="I32" s="18"/>
      <c r="J32" s="18"/>
      <c r="K32" s="24"/>
      <c r="L32" s="26"/>
      <c r="M32" s="26"/>
      <c r="N32" s="26"/>
      <c r="O32" s="26"/>
      <c r="P32" s="18"/>
      <c r="Q32" s="18"/>
      <c r="R32" s="18"/>
      <c r="S32" s="18"/>
      <c r="T32" s="18"/>
      <c r="U32" s="18"/>
      <c r="V32" s="18"/>
      <c r="W32" s="18"/>
      <c r="X32" s="18"/>
      <c r="Y32" s="18"/>
      <c r="Z32" s="18"/>
    </row>
    <row r="33" spans="1:26" x14ac:dyDescent="0.25">
      <c r="A33" s="24" t="s">
        <v>49</v>
      </c>
      <c r="B33" s="26"/>
      <c r="C33" s="26">
        <v>29.5</v>
      </c>
      <c r="D33" s="26">
        <v>10493</v>
      </c>
      <c r="E33" s="26" t="s">
        <v>151</v>
      </c>
      <c r="F33" s="18"/>
      <c r="G33" s="18"/>
      <c r="H33" s="18"/>
      <c r="I33" s="18"/>
      <c r="J33" s="18"/>
      <c r="K33" s="24" t="s">
        <v>49</v>
      </c>
      <c r="L33" s="26"/>
      <c r="M33" s="26">
        <v>27.7</v>
      </c>
      <c r="N33" s="26">
        <v>10489</v>
      </c>
      <c r="O33" s="26" t="s">
        <v>153</v>
      </c>
      <c r="P33" s="18"/>
      <c r="Q33" s="18"/>
      <c r="R33" s="18"/>
      <c r="S33" s="18"/>
      <c r="T33" s="18"/>
      <c r="U33" s="18"/>
      <c r="V33" s="18"/>
      <c r="W33" s="18"/>
      <c r="X33" s="18"/>
      <c r="Y33" s="18"/>
      <c r="Z33" s="18"/>
    </row>
    <row r="34" spans="1:26" x14ac:dyDescent="0.25">
      <c r="A34" s="24">
        <v>1</v>
      </c>
      <c r="B34" s="26"/>
      <c r="C34" s="26">
        <v>4.92</v>
      </c>
      <c r="D34" s="26">
        <v>5235</v>
      </c>
      <c r="E34" s="26">
        <v>1.06</v>
      </c>
      <c r="F34" s="18"/>
      <c r="G34" s="18"/>
      <c r="H34" s="18"/>
      <c r="I34" s="18"/>
      <c r="J34" s="18"/>
      <c r="K34" s="24">
        <v>1</v>
      </c>
      <c r="L34" s="26"/>
      <c r="M34" s="26">
        <v>4.88</v>
      </c>
      <c r="N34" s="26">
        <v>5234</v>
      </c>
      <c r="O34" s="26">
        <v>1.07</v>
      </c>
      <c r="P34" s="18"/>
      <c r="Q34" s="18"/>
      <c r="R34" s="18"/>
      <c r="S34" s="18"/>
      <c r="T34" s="18"/>
      <c r="U34" s="18"/>
      <c r="V34" s="18"/>
      <c r="W34" s="18"/>
      <c r="X34" s="18"/>
      <c r="Y34" s="18"/>
      <c r="Z34" s="18"/>
    </row>
    <row r="35" spans="1:26" x14ac:dyDescent="0.25">
      <c r="A35" s="24">
        <v>2</v>
      </c>
      <c r="B35" s="26"/>
      <c r="C35" s="26">
        <v>4.92</v>
      </c>
      <c r="D35" s="26">
        <v>5235</v>
      </c>
      <c r="E35" s="26">
        <v>1.06</v>
      </c>
      <c r="F35" s="18"/>
      <c r="G35" s="18"/>
      <c r="H35" s="18"/>
      <c r="I35" s="18"/>
      <c r="J35" s="18"/>
      <c r="K35" s="24">
        <v>2</v>
      </c>
      <c r="L35" s="26"/>
      <c r="M35" s="26">
        <v>4.92</v>
      </c>
      <c r="N35" s="26">
        <v>5235</v>
      </c>
      <c r="O35" s="26">
        <v>1.06</v>
      </c>
      <c r="P35" s="18"/>
      <c r="Q35" s="18"/>
      <c r="R35" s="18"/>
      <c r="S35" s="18"/>
      <c r="T35" s="18"/>
      <c r="U35" s="18"/>
      <c r="V35" s="18"/>
      <c r="W35" s="18"/>
      <c r="X35" s="18"/>
      <c r="Y35" s="18"/>
      <c r="Z35" s="18"/>
    </row>
    <row r="36" spans="1:26" x14ac:dyDescent="0.25">
      <c r="A36" s="24">
        <v>3</v>
      </c>
      <c r="B36" s="26"/>
      <c r="C36" s="26">
        <v>4.83</v>
      </c>
      <c r="D36" s="26">
        <v>5234</v>
      </c>
      <c r="E36" s="26">
        <v>1.08</v>
      </c>
      <c r="F36" s="18"/>
      <c r="G36" s="18"/>
      <c r="H36" s="18"/>
      <c r="I36" s="18"/>
      <c r="J36" s="18"/>
      <c r="K36" s="24">
        <v>3</v>
      </c>
      <c r="L36" s="26"/>
      <c r="M36" s="26">
        <v>4.75</v>
      </c>
      <c r="N36" s="26">
        <v>5233</v>
      </c>
      <c r="O36" s="26">
        <v>1.1000000000000001</v>
      </c>
      <c r="P36" s="18"/>
      <c r="Q36" s="18"/>
      <c r="R36" s="18"/>
      <c r="S36" s="18"/>
      <c r="T36" s="18"/>
      <c r="U36" s="18"/>
      <c r="V36" s="18"/>
      <c r="W36" s="18"/>
      <c r="X36" s="18"/>
      <c r="Y36" s="18"/>
      <c r="Z36" s="18"/>
    </row>
    <row r="37" spans="1:26" x14ac:dyDescent="0.25">
      <c r="A37" s="24">
        <v>4</v>
      </c>
      <c r="B37" s="26"/>
      <c r="C37" s="26">
        <v>4.91</v>
      </c>
      <c r="D37" s="26">
        <v>5235</v>
      </c>
      <c r="E37" s="26">
        <v>1.07</v>
      </c>
      <c r="F37" s="18"/>
      <c r="G37" s="18"/>
      <c r="H37" s="18"/>
      <c r="I37" s="18"/>
      <c r="J37" s="18"/>
      <c r="K37" s="24">
        <v>4</v>
      </c>
      <c r="L37" s="26"/>
      <c r="M37" s="26">
        <v>4.82</v>
      </c>
      <c r="N37" s="26">
        <v>5234</v>
      </c>
      <c r="O37" s="26">
        <v>1.08</v>
      </c>
      <c r="P37" s="18"/>
      <c r="Q37" s="18"/>
      <c r="R37" s="18"/>
      <c r="S37" s="18"/>
      <c r="T37" s="18"/>
      <c r="U37" s="18"/>
      <c r="V37" s="18"/>
      <c r="W37" s="18"/>
      <c r="X37" s="18"/>
      <c r="Y37" s="18"/>
      <c r="Z37" s="18"/>
    </row>
    <row r="38" spans="1:26" x14ac:dyDescent="0.25">
      <c r="A38" s="24">
        <v>5</v>
      </c>
      <c r="B38" s="26"/>
      <c r="C38" s="26">
        <v>4.95</v>
      </c>
      <c r="D38" s="26">
        <v>5236</v>
      </c>
      <c r="E38" s="26">
        <v>1.06</v>
      </c>
      <c r="F38" s="18"/>
      <c r="G38" s="18"/>
      <c r="H38" s="18"/>
      <c r="I38" s="18"/>
      <c r="J38" s="18"/>
      <c r="K38" s="24">
        <v>5</v>
      </c>
      <c r="L38" s="26"/>
      <c r="M38" s="26">
        <v>4.71</v>
      </c>
      <c r="N38" s="26">
        <v>5233</v>
      </c>
      <c r="O38" s="26">
        <v>1.1100000000000001</v>
      </c>
      <c r="P38" s="18"/>
      <c r="Q38" s="18"/>
      <c r="R38" s="18"/>
      <c r="S38" s="18"/>
      <c r="T38" s="18"/>
      <c r="U38" s="18"/>
      <c r="V38" s="18"/>
      <c r="W38" s="18"/>
      <c r="X38" s="18"/>
      <c r="Y38" s="18"/>
      <c r="Z38" s="18"/>
    </row>
    <row r="39" spans="1:26" x14ac:dyDescent="0.25">
      <c r="A39" s="24">
        <v>6</v>
      </c>
      <c r="B39" s="26"/>
      <c r="C39" s="26">
        <v>4.9800000000000004</v>
      </c>
      <c r="D39" s="26">
        <v>5236</v>
      </c>
      <c r="E39" s="26">
        <v>1.05</v>
      </c>
      <c r="F39" s="18"/>
      <c r="G39" s="18"/>
      <c r="H39" s="18"/>
      <c r="I39" s="18"/>
      <c r="J39" s="18"/>
      <c r="K39" s="24">
        <v>6</v>
      </c>
      <c r="L39" s="26"/>
      <c r="M39" s="26">
        <v>4.9800000000000004</v>
      </c>
      <c r="N39" s="26">
        <v>5235</v>
      </c>
      <c r="O39" s="26">
        <v>1.05</v>
      </c>
      <c r="P39" s="18"/>
      <c r="Q39" s="18"/>
      <c r="R39" s="18"/>
      <c r="S39" s="18"/>
      <c r="T39" s="18"/>
      <c r="U39" s="18"/>
      <c r="V39" s="18"/>
      <c r="W39" s="18"/>
      <c r="X39" s="18"/>
      <c r="Y39" s="18"/>
      <c r="Z39" s="18"/>
    </row>
    <row r="40" spans="1:26" x14ac:dyDescent="0.25">
      <c r="A40" s="26"/>
      <c r="B40" s="26"/>
      <c r="C40" s="26"/>
      <c r="D40" s="26" t="s">
        <v>154</v>
      </c>
      <c r="E40" s="26">
        <f>AVERAGE(E34:E39)</f>
        <v>1.0633333333333332</v>
      </c>
      <c r="F40" s="18"/>
      <c r="G40" s="18"/>
      <c r="H40" s="18"/>
      <c r="I40" s="18"/>
      <c r="J40" s="18"/>
      <c r="K40" s="26"/>
      <c r="L40" s="26"/>
      <c r="M40" s="26"/>
      <c r="N40" s="26" t="s">
        <v>154</v>
      </c>
      <c r="O40" s="26">
        <f>AVERAGE(O34:O39)</f>
        <v>1.0783333333333334</v>
      </c>
      <c r="P40" s="18"/>
      <c r="Q40" s="18"/>
      <c r="R40" s="18"/>
      <c r="S40" s="18"/>
      <c r="T40" s="18"/>
      <c r="U40" s="18"/>
      <c r="V40" s="18"/>
      <c r="W40" s="18"/>
      <c r="X40" s="18"/>
      <c r="Y40" s="18"/>
      <c r="Z40" s="18"/>
    </row>
    <row r="41" spans="1:26"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x14ac:dyDescent="0.25">
      <c r="A42" s="18"/>
      <c r="B42" s="18"/>
      <c r="D42" s="45"/>
      <c r="E42" s="18"/>
      <c r="F42" s="18"/>
      <c r="G42" s="18"/>
      <c r="H42" s="18"/>
      <c r="I42" s="18"/>
      <c r="J42" s="18"/>
      <c r="K42" s="18"/>
      <c r="L42" s="18"/>
      <c r="M42" s="18"/>
      <c r="N42" s="18"/>
      <c r="O42" s="18"/>
      <c r="P42" s="18"/>
      <c r="Q42" s="18"/>
      <c r="R42" s="18"/>
      <c r="S42" s="18"/>
      <c r="T42" s="18"/>
      <c r="U42" s="18"/>
      <c r="V42" s="18"/>
      <c r="W42" s="18"/>
      <c r="X42" s="18"/>
      <c r="Y42" s="18"/>
      <c r="Z42" s="18"/>
    </row>
    <row r="43" spans="1:26"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sheetData>
  <pageMargins left="0.7" right="0.7" top="0.75" bottom="0.75" header="0.3" footer="0.3"/>
  <pageSetup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9"/>
  <sheetViews>
    <sheetView windowProtection="1" workbookViewId="0">
      <selection activeCell="A4" sqref="A4:C17"/>
    </sheetView>
  </sheetViews>
  <sheetFormatPr defaultRowHeight="15" x14ac:dyDescent="0.25"/>
  <cols>
    <col min="1" max="1" width="9.85546875" bestFit="1" customWidth="1"/>
    <col min="3" max="3" width="10.28515625" customWidth="1"/>
  </cols>
  <sheetData>
    <row r="1" spans="1:11" x14ac:dyDescent="0.25">
      <c r="A1" s="22">
        <v>43343</v>
      </c>
      <c r="B1" s="20"/>
      <c r="C1" s="20"/>
      <c r="D1" s="20"/>
      <c r="E1" s="20"/>
      <c r="F1" s="20"/>
      <c r="G1" s="20"/>
      <c r="H1" s="20"/>
      <c r="I1" s="20"/>
      <c r="J1" s="20"/>
      <c r="K1" s="20"/>
    </row>
    <row r="2" spans="1:11" x14ac:dyDescent="0.25">
      <c r="A2" s="20"/>
      <c r="B2" s="20"/>
      <c r="C2" s="20"/>
      <c r="D2" s="20" t="s">
        <v>172</v>
      </c>
      <c r="E2" s="20"/>
      <c r="F2" s="20"/>
      <c r="G2" s="20"/>
      <c r="H2" s="20"/>
      <c r="I2" s="20"/>
      <c r="J2" s="20"/>
      <c r="K2" s="20"/>
    </row>
    <row r="3" spans="1:11" x14ac:dyDescent="0.25">
      <c r="A3" s="20"/>
      <c r="B3" s="20"/>
      <c r="C3" s="20"/>
      <c r="D3" s="20"/>
      <c r="E3" s="20"/>
      <c r="F3" s="20"/>
      <c r="G3" s="20"/>
      <c r="H3" s="20"/>
      <c r="I3" s="20"/>
      <c r="J3" s="20"/>
      <c r="K3" s="20"/>
    </row>
    <row r="4" spans="1:11" x14ac:dyDescent="0.25">
      <c r="A4" s="24" t="s">
        <v>173</v>
      </c>
      <c r="B4" s="24" t="s">
        <v>174</v>
      </c>
      <c r="C4" s="24" t="s">
        <v>175</v>
      </c>
      <c r="D4" s="20"/>
      <c r="E4" s="20"/>
      <c r="F4" s="20"/>
      <c r="G4" s="20"/>
      <c r="H4" s="20"/>
      <c r="I4" s="20"/>
      <c r="J4" s="20"/>
      <c r="K4" s="20"/>
    </row>
    <row r="5" spans="1:11" x14ac:dyDescent="0.25">
      <c r="A5" s="24"/>
      <c r="B5" s="24"/>
      <c r="C5" s="24"/>
      <c r="D5" s="20"/>
      <c r="E5" s="20"/>
      <c r="F5" s="20"/>
      <c r="G5" s="20"/>
      <c r="H5" s="20"/>
      <c r="I5" s="20"/>
      <c r="J5" s="20"/>
      <c r="K5" s="20"/>
    </row>
    <row r="6" spans="1:11" x14ac:dyDescent="0.25">
      <c r="A6" s="24">
        <v>1</v>
      </c>
      <c r="B6" s="24">
        <v>2969</v>
      </c>
      <c r="C6" s="24" t="s">
        <v>176</v>
      </c>
      <c r="D6" s="20"/>
      <c r="E6" s="20"/>
      <c r="F6" s="20"/>
      <c r="G6" s="20"/>
      <c r="H6" s="20"/>
      <c r="I6" s="20"/>
      <c r="J6" s="20"/>
      <c r="K6" s="20"/>
    </row>
    <row r="7" spans="1:11" x14ac:dyDescent="0.25">
      <c r="A7" s="24">
        <v>2</v>
      </c>
      <c r="B7" s="24">
        <v>6001</v>
      </c>
      <c r="C7" s="24" t="s">
        <v>177</v>
      </c>
      <c r="D7" s="20"/>
      <c r="E7" s="20"/>
      <c r="F7" s="20"/>
      <c r="G7" s="20"/>
      <c r="H7" s="20"/>
      <c r="I7" s="20"/>
      <c r="J7" s="20"/>
      <c r="K7" s="20"/>
    </row>
    <row r="8" spans="1:11" x14ac:dyDescent="0.25">
      <c r="A8" s="24">
        <v>3</v>
      </c>
      <c r="B8" s="24">
        <v>3501</v>
      </c>
      <c r="C8" s="24" t="s">
        <v>178</v>
      </c>
      <c r="D8" s="20"/>
      <c r="E8" s="20"/>
      <c r="F8" s="20"/>
      <c r="G8" s="20"/>
      <c r="H8" s="20"/>
      <c r="I8" s="20"/>
      <c r="J8" s="20"/>
      <c r="K8" s="20"/>
    </row>
    <row r="9" spans="1:11" x14ac:dyDescent="0.25">
      <c r="A9" s="24">
        <v>4</v>
      </c>
      <c r="B9" s="24">
        <v>6114</v>
      </c>
      <c r="C9" s="24" t="s">
        <v>177</v>
      </c>
      <c r="D9" s="20"/>
      <c r="E9" s="20"/>
      <c r="F9" s="20"/>
      <c r="G9" s="20"/>
      <c r="H9" s="20"/>
      <c r="I9" s="20"/>
      <c r="J9" s="20"/>
      <c r="K9" s="20"/>
    </row>
    <row r="10" spans="1:11" x14ac:dyDescent="0.25">
      <c r="A10" s="24">
        <v>5</v>
      </c>
      <c r="B10" s="24">
        <v>6294</v>
      </c>
      <c r="C10" s="24" t="s">
        <v>177</v>
      </c>
      <c r="D10" s="20"/>
      <c r="E10" s="20"/>
      <c r="F10" s="20"/>
      <c r="G10" s="20"/>
      <c r="H10" s="20"/>
      <c r="I10" s="20"/>
      <c r="J10" s="20"/>
      <c r="K10" s="20"/>
    </row>
    <row r="11" spans="1:11" x14ac:dyDescent="0.25">
      <c r="A11" s="24">
        <v>6</v>
      </c>
      <c r="B11" s="24">
        <v>2429</v>
      </c>
      <c r="C11" s="24" t="s">
        <v>179</v>
      </c>
      <c r="D11" s="20"/>
      <c r="E11" s="20"/>
      <c r="F11" s="20"/>
      <c r="G11" s="20"/>
      <c r="H11" s="20"/>
      <c r="I11" s="20"/>
      <c r="J11" s="20"/>
      <c r="K11" s="20"/>
    </row>
    <row r="12" spans="1:11" x14ac:dyDescent="0.25">
      <c r="A12" s="24">
        <v>7</v>
      </c>
      <c r="B12" s="24">
        <v>2319</v>
      </c>
      <c r="C12" s="24" t="s">
        <v>180</v>
      </c>
      <c r="D12" s="20"/>
      <c r="E12" s="20"/>
      <c r="F12" s="20"/>
      <c r="G12" s="20"/>
      <c r="H12" s="20"/>
      <c r="I12" s="20"/>
      <c r="J12" s="20"/>
      <c r="K12" s="20"/>
    </row>
    <row r="13" spans="1:11" x14ac:dyDescent="0.25">
      <c r="A13" s="24">
        <v>8</v>
      </c>
      <c r="B13" s="24">
        <v>6219</v>
      </c>
      <c r="C13" s="24" t="s">
        <v>177</v>
      </c>
      <c r="D13" s="20"/>
      <c r="E13" s="20"/>
      <c r="F13" s="20"/>
      <c r="G13" s="20"/>
      <c r="H13" s="20"/>
      <c r="I13" s="20"/>
      <c r="J13" s="20"/>
      <c r="K13" s="20"/>
    </row>
    <row r="14" spans="1:11" x14ac:dyDescent="0.25">
      <c r="A14" s="24">
        <v>9</v>
      </c>
      <c r="B14" s="24">
        <v>6272</v>
      </c>
      <c r="C14" s="24" t="s">
        <v>177</v>
      </c>
      <c r="D14" s="20"/>
      <c r="E14" s="20"/>
      <c r="F14" s="20"/>
      <c r="G14" s="20"/>
      <c r="H14" s="20"/>
      <c r="I14" s="20"/>
      <c r="J14" s="20"/>
      <c r="K14" s="20"/>
    </row>
    <row r="15" spans="1:11" x14ac:dyDescent="0.25">
      <c r="A15" s="24">
        <v>10</v>
      </c>
      <c r="B15" s="24">
        <v>2326</v>
      </c>
      <c r="C15" s="24" t="s">
        <v>180</v>
      </c>
      <c r="D15" s="20"/>
      <c r="E15" s="20"/>
      <c r="F15" s="20"/>
      <c r="G15" s="20"/>
      <c r="H15" s="20"/>
      <c r="I15" s="20"/>
      <c r="J15" s="20"/>
      <c r="K15" s="20"/>
    </row>
    <row r="16" spans="1:11" x14ac:dyDescent="0.25">
      <c r="A16" s="24">
        <v>11</v>
      </c>
      <c r="B16" s="24">
        <v>6225</v>
      </c>
      <c r="C16" s="24" t="s">
        <v>177</v>
      </c>
      <c r="D16" s="20"/>
      <c r="E16" s="20"/>
      <c r="F16" s="20"/>
      <c r="G16" s="20"/>
      <c r="H16" s="20"/>
      <c r="I16" s="20"/>
      <c r="J16" s="20"/>
      <c r="K16" s="20"/>
    </row>
    <row r="17" spans="1:11" x14ac:dyDescent="0.25">
      <c r="A17" s="24">
        <v>12</v>
      </c>
      <c r="B17" s="24">
        <v>6223</v>
      </c>
      <c r="C17" s="24" t="s">
        <v>177</v>
      </c>
      <c r="D17" s="20"/>
      <c r="E17" s="20"/>
      <c r="F17" s="20"/>
      <c r="G17" s="20"/>
      <c r="H17" s="20"/>
      <c r="I17" s="20"/>
      <c r="J17" s="20"/>
      <c r="K17" s="20"/>
    </row>
    <row r="18" spans="1:11" x14ac:dyDescent="0.25">
      <c r="A18" s="20"/>
      <c r="B18" s="20"/>
      <c r="C18" s="20"/>
      <c r="D18" s="20"/>
      <c r="E18" s="20"/>
      <c r="F18" s="20"/>
      <c r="G18" s="20"/>
      <c r="H18" s="20"/>
      <c r="I18" s="20"/>
      <c r="J18" s="20"/>
      <c r="K18" s="20"/>
    </row>
    <row r="19" spans="1:11" x14ac:dyDescent="0.25">
      <c r="A19" s="47" t="s">
        <v>181</v>
      </c>
      <c r="B19" s="47"/>
      <c r="C19" s="47"/>
      <c r="D19" s="47"/>
      <c r="E19" s="47"/>
      <c r="F19" s="47"/>
      <c r="G19" s="47"/>
      <c r="H19" s="20"/>
      <c r="I19" s="20"/>
      <c r="J19" s="20"/>
      <c r="K19" s="20"/>
    </row>
    <row r="20" spans="1:11" x14ac:dyDescent="0.25">
      <c r="A20" s="47"/>
      <c r="B20" s="47"/>
      <c r="C20" s="47"/>
      <c r="D20" s="47"/>
      <c r="E20" s="47"/>
      <c r="F20" s="47"/>
      <c r="G20" s="47"/>
      <c r="H20" s="20"/>
      <c r="I20" s="20"/>
      <c r="J20" s="20"/>
      <c r="K20" s="20"/>
    </row>
    <row r="21" spans="1:11" x14ac:dyDescent="0.25">
      <c r="A21" s="47"/>
      <c r="B21" s="47"/>
      <c r="C21" s="47"/>
      <c r="D21" s="47"/>
      <c r="E21" s="47"/>
      <c r="F21" s="47"/>
      <c r="G21" s="47"/>
      <c r="H21" s="20"/>
      <c r="I21" s="20"/>
      <c r="J21" s="20"/>
      <c r="K21" s="20"/>
    </row>
    <row r="22" spans="1:11" x14ac:dyDescent="0.25">
      <c r="A22" s="47"/>
      <c r="B22" s="47"/>
      <c r="C22" s="47"/>
      <c r="D22" s="47"/>
      <c r="E22" s="47"/>
      <c r="F22" s="47"/>
      <c r="G22" s="47"/>
      <c r="H22" s="20"/>
      <c r="I22" s="20"/>
      <c r="J22" s="20"/>
      <c r="K22" s="20"/>
    </row>
    <row r="23" spans="1:11" x14ac:dyDescent="0.25">
      <c r="A23" s="47"/>
      <c r="B23" s="47"/>
      <c r="C23" s="47"/>
      <c r="D23" s="47"/>
      <c r="E23" s="47"/>
      <c r="F23" s="47"/>
      <c r="G23" s="47"/>
      <c r="H23" s="20"/>
      <c r="I23" s="20"/>
      <c r="J23" s="20"/>
      <c r="K23" s="20"/>
    </row>
    <row r="24" spans="1:11" x14ac:dyDescent="0.25">
      <c r="A24" s="47"/>
      <c r="B24" s="47"/>
      <c r="C24" s="47"/>
      <c r="D24" s="47"/>
      <c r="E24" s="47"/>
      <c r="F24" s="47"/>
      <c r="G24" s="47"/>
      <c r="H24" s="20"/>
      <c r="I24" s="20"/>
      <c r="J24" s="20"/>
      <c r="K24" s="20"/>
    </row>
    <row r="25" spans="1:11" x14ac:dyDescent="0.25">
      <c r="A25" s="47"/>
      <c r="B25" s="47"/>
      <c r="C25" s="47"/>
      <c r="D25" s="47"/>
      <c r="E25" s="47"/>
      <c r="F25" s="47"/>
      <c r="G25" s="47"/>
      <c r="H25" s="20"/>
      <c r="I25" s="20"/>
      <c r="J25" s="20"/>
      <c r="K25" s="20"/>
    </row>
    <row r="26" spans="1:11" x14ac:dyDescent="0.25">
      <c r="A26" s="47"/>
      <c r="B26" s="47"/>
      <c r="C26" s="47"/>
      <c r="D26" s="47"/>
      <c r="E26" s="47"/>
      <c r="F26" s="47"/>
      <c r="G26" s="47"/>
      <c r="H26" s="20"/>
      <c r="I26" s="20"/>
      <c r="J26" s="20"/>
      <c r="K26" s="20"/>
    </row>
    <row r="27" spans="1:11" x14ac:dyDescent="0.25">
      <c r="A27" s="47"/>
      <c r="B27" s="47"/>
      <c r="C27" s="47"/>
      <c r="D27" s="47"/>
      <c r="E27" s="47"/>
      <c r="F27" s="47"/>
      <c r="G27" s="47"/>
      <c r="H27" s="20"/>
      <c r="I27" s="20"/>
      <c r="J27" s="20"/>
      <c r="K27" s="20"/>
    </row>
    <row r="28" spans="1:11" x14ac:dyDescent="0.25">
      <c r="A28" s="20"/>
      <c r="B28" s="20"/>
      <c r="C28" s="20"/>
      <c r="D28" s="20"/>
      <c r="E28" s="20"/>
      <c r="F28" s="20"/>
      <c r="G28" s="20"/>
      <c r="H28" s="20"/>
      <c r="I28" s="20"/>
      <c r="J28" s="20"/>
      <c r="K28" s="20"/>
    </row>
    <row r="29" spans="1:11" x14ac:dyDescent="0.25">
      <c r="A29" s="20"/>
      <c r="B29" s="20"/>
      <c r="C29" s="20"/>
      <c r="D29" s="20"/>
      <c r="E29" s="20"/>
      <c r="F29" s="20"/>
      <c r="G29" s="20"/>
      <c r="H29" s="20"/>
      <c r="I29" s="20"/>
      <c r="J29" s="20"/>
      <c r="K29" s="20"/>
    </row>
    <row r="30" spans="1:11" x14ac:dyDescent="0.25">
      <c r="A30" s="20"/>
      <c r="B30" s="20"/>
      <c r="C30" s="20"/>
      <c r="D30" s="20"/>
      <c r="E30" s="20"/>
      <c r="F30" s="20"/>
      <c r="G30" s="20"/>
      <c r="H30" s="20"/>
      <c r="I30" s="20"/>
      <c r="J30" s="20"/>
      <c r="K30" s="20"/>
    </row>
    <row r="31" spans="1:11" x14ac:dyDescent="0.25">
      <c r="A31" s="20"/>
      <c r="B31" s="20"/>
      <c r="C31" s="20"/>
      <c r="D31" s="20"/>
      <c r="E31" s="20"/>
      <c r="F31" s="20"/>
      <c r="G31" s="20"/>
      <c r="H31" s="20"/>
      <c r="I31" s="20"/>
      <c r="J31" s="20"/>
      <c r="K31" s="20"/>
    </row>
    <row r="32" spans="1:11" x14ac:dyDescent="0.25">
      <c r="A32" s="20"/>
      <c r="B32" s="20"/>
      <c r="C32" s="20"/>
      <c r="D32" s="20"/>
      <c r="E32" s="20"/>
      <c r="F32" s="20"/>
      <c r="G32" s="20"/>
      <c r="H32" s="20"/>
      <c r="I32" s="20"/>
      <c r="J32" s="20"/>
      <c r="K32" s="20"/>
    </row>
    <row r="33" spans="1:11" x14ac:dyDescent="0.25">
      <c r="A33" s="20"/>
      <c r="B33" s="20"/>
      <c r="C33" s="20"/>
      <c r="D33" s="20"/>
      <c r="E33" s="20"/>
      <c r="F33" s="20"/>
      <c r="G33" s="20"/>
      <c r="H33" s="20"/>
      <c r="I33" s="20"/>
      <c r="J33" s="20"/>
      <c r="K33" s="20"/>
    </row>
    <row r="34" spans="1:11" x14ac:dyDescent="0.25">
      <c r="A34" s="20"/>
      <c r="B34" s="20"/>
      <c r="C34" s="20"/>
      <c r="D34" s="20"/>
      <c r="E34" s="20"/>
      <c r="F34" s="20"/>
      <c r="G34" s="20"/>
      <c r="H34" s="20"/>
      <c r="I34" s="20"/>
      <c r="J34" s="20"/>
      <c r="K34" s="20"/>
    </row>
    <row r="35" spans="1:11" x14ac:dyDescent="0.25">
      <c r="A35" s="20"/>
      <c r="B35" s="20"/>
      <c r="C35" s="20"/>
      <c r="D35" s="20"/>
      <c r="E35" s="20"/>
      <c r="F35" s="20"/>
      <c r="G35" s="20"/>
      <c r="H35" s="20"/>
      <c r="I35" s="20"/>
      <c r="J35" s="20"/>
      <c r="K35" s="20"/>
    </row>
    <row r="36" spans="1:11" x14ac:dyDescent="0.25">
      <c r="A36" s="20"/>
      <c r="B36" s="20"/>
      <c r="C36" s="20"/>
      <c r="D36" s="20"/>
      <c r="E36" s="20"/>
      <c r="F36" s="20"/>
      <c r="G36" s="20"/>
      <c r="H36" s="20"/>
      <c r="I36" s="20"/>
      <c r="J36" s="20"/>
      <c r="K36" s="20"/>
    </row>
    <row r="37" spans="1:11" x14ac:dyDescent="0.25">
      <c r="A37" s="20"/>
      <c r="B37" s="20"/>
      <c r="C37" s="20"/>
      <c r="D37" s="20"/>
      <c r="E37" s="20"/>
      <c r="F37" s="20"/>
      <c r="G37" s="20"/>
      <c r="H37" s="20"/>
      <c r="I37" s="20"/>
      <c r="J37" s="20"/>
      <c r="K37" s="20"/>
    </row>
    <row r="38" spans="1:11" x14ac:dyDescent="0.25">
      <c r="A38" s="20"/>
      <c r="B38" s="20"/>
      <c r="C38" s="20"/>
      <c r="D38" s="20"/>
      <c r="E38" s="20"/>
      <c r="F38" s="20"/>
      <c r="G38" s="20"/>
      <c r="H38" s="20"/>
      <c r="I38" s="20"/>
      <c r="J38" s="20"/>
      <c r="K38" s="20"/>
    </row>
    <row r="39" spans="1:11" x14ac:dyDescent="0.25">
      <c r="A39" s="20"/>
      <c r="B39" s="20"/>
      <c r="C39" s="20"/>
      <c r="D39" s="20"/>
      <c r="E39" s="20"/>
      <c r="F39" s="20"/>
      <c r="G39" s="20"/>
      <c r="H39" s="20"/>
      <c r="I39" s="20"/>
      <c r="J39" s="20"/>
      <c r="K39" s="20"/>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46"/>
  <sheetViews>
    <sheetView windowProtection="1" workbookViewId="0">
      <selection activeCell="F34" sqref="F34"/>
    </sheetView>
  </sheetViews>
  <sheetFormatPr defaultRowHeight="15" x14ac:dyDescent="0.25"/>
  <cols>
    <col min="1" max="1" width="9.85546875" bestFit="1" customWidth="1"/>
    <col min="2" max="2" width="9.85546875" customWidth="1"/>
    <col min="3" max="3" width="11.28515625" customWidth="1"/>
    <col min="4" max="4" width="11.7109375" customWidth="1"/>
    <col min="5" max="5" width="13.28515625" style="50" customWidth="1"/>
    <col min="6" max="6" width="11.5703125" customWidth="1"/>
    <col min="18" max="18" width="9.140625" style="50"/>
  </cols>
  <sheetData>
    <row r="1" spans="1:21" ht="18.75" x14ac:dyDescent="0.3">
      <c r="A1" s="39" t="s">
        <v>182</v>
      </c>
      <c r="B1" s="39"/>
      <c r="C1" s="39"/>
      <c r="D1" s="39"/>
      <c r="E1" s="49"/>
      <c r="F1" s="39" t="s">
        <v>217</v>
      </c>
      <c r="N1" s="39" t="s">
        <v>182</v>
      </c>
      <c r="O1" s="39"/>
      <c r="P1" s="39"/>
      <c r="Q1" s="39"/>
      <c r="R1" s="49"/>
      <c r="S1" s="39" t="s">
        <v>183</v>
      </c>
    </row>
    <row r="2" spans="1:21" ht="18.75" x14ac:dyDescent="0.3">
      <c r="A2" s="39"/>
      <c r="B2" s="39"/>
      <c r="C2" s="39"/>
      <c r="D2" s="39"/>
      <c r="E2" s="49"/>
      <c r="F2" s="39"/>
      <c r="N2" s="39"/>
      <c r="O2" s="39"/>
      <c r="P2" s="39"/>
      <c r="Q2" s="39"/>
      <c r="R2" s="49"/>
      <c r="S2" s="39"/>
    </row>
    <row r="3" spans="1:21" ht="18.75" x14ac:dyDescent="0.3">
      <c r="A3" s="39"/>
      <c r="B3" s="39"/>
      <c r="C3" s="39"/>
      <c r="D3" s="39"/>
      <c r="E3" s="49"/>
      <c r="F3" s="39"/>
      <c r="N3" s="39"/>
      <c r="O3" s="39"/>
      <c r="P3" s="39"/>
      <c r="Q3" s="39"/>
      <c r="R3" s="49"/>
      <c r="S3" s="39"/>
    </row>
    <row r="4" spans="1:21" ht="18.75" x14ac:dyDescent="0.3">
      <c r="A4" s="39"/>
      <c r="B4" s="39"/>
      <c r="C4" s="39"/>
      <c r="D4" s="39"/>
      <c r="E4" s="49"/>
      <c r="F4" s="39"/>
      <c r="N4" s="39"/>
      <c r="O4" s="39"/>
      <c r="P4" s="39"/>
      <c r="Q4" s="39"/>
      <c r="R4" s="49"/>
      <c r="S4" s="39"/>
    </row>
    <row r="10" spans="1:21" x14ac:dyDescent="0.25">
      <c r="A10" s="43">
        <v>43328</v>
      </c>
      <c r="B10" s="18"/>
      <c r="C10" s="20" t="s">
        <v>185</v>
      </c>
      <c r="D10" s="20" t="s">
        <v>186</v>
      </c>
      <c r="E10" s="51" t="s">
        <v>187</v>
      </c>
      <c r="F10" s="18"/>
      <c r="G10" s="18"/>
      <c r="H10" s="18"/>
      <c r="N10" s="18"/>
      <c r="O10" s="18"/>
      <c r="P10" s="20" t="s">
        <v>185</v>
      </c>
      <c r="Q10" s="20" t="s">
        <v>186</v>
      </c>
      <c r="R10" s="51" t="s">
        <v>187</v>
      </c>
      <c r="S10" s="18"/>
      <c r="T10" s="18"/>
      <c r="U10" s="18"/>
    </row>
    <row r="11" spans="1:21" x14ac:dyDescent="0.25">
      <c r="A11" s="18"/>
      <c r="B11" s="18"/>
      <c r="C11" s="18"/>
      <c r="D11" s="20" t="s">
        <v>6</v>
      </c>
      <c r="E11" s="48"/>
      <c r="F11" s="18"/>
      <c r="G11" s="18"/>
      <c r="H11" s="18"/>
      <c r="N11" s="18"/>
      <c r="O11" s="18"/>
      <c r="P11" s="18"/>
      <c r="Q11" s="20" t="s">
        <v>6</v>
      </c>
      <c r="R11" s="48"/>
      <c r="S11" s="18"/>
      <c r="T11" s="18"/>
      <c r="U11" s="18"/>
    </row>
    <row r="12" spans="1:21" x14ac:dyDescent="0.25">
      <c r="A12" s="24" t="s">
        <v>184</v>
      </c>
      <c r="B12" s="26" t="s">
        <v>188</v>
      </c>
      <c r="C12" s="26">
        <v>25.5</v>
      </c>
      <c r="D12" s="26">
        <v>5.2</v>
      </c>
      <c r="E12" s="52" t="s">
        <v>208</v>
      </c>
      <c r="F12" s="18"/>
      <c r="G12" s="18"/>
      <c r="H12" s="18"/>
      <c r="N12" s="24" t="s">
        <v>184</v>
      </c>
      <c r="O12" s="26" t="s">
        <v>188</v>
      </c>
      <c r="P12" s="26">
        <v>25.5</v>
      </c>
      <c r="Q12" s="26">
        <v>5.85</v>
      </c>
      <c r="R12" s="52" t="s">
        <v>193</v>
      </c>
      <c r="S12" s="18"/>
      <c r="T12" s="18"/>
      <c r="U12" s="18"/>
    </row>
    <row r="13" spans="1:21" x14ac:dyDescent="0.25">
      <c r="A13" s="24"/>
      <c r="B13" s="26" t="s">
        <v>202</v>
      </c>
      <c r="C13" s="26">
        <v>26</v>
      </c>
      <c r="D13" s="26">
        <v>5.2</v>
      </c>
      <c r="E13" s="52" t="s">
        <v>209</v>
      </c>
      <c r="F13" s="18"/>
      <c r="G13" s="18"/>
      <c r="H13" s="18"/>
      <c r="N13" s="24"/>
      <c r="O13" s="26" t="s">
        <v>189</v>
      </c>
      <c r="P13" s="26">
        <v>25.3</v>
      </c>
      <c r="Q13" s="26">
        <v>5.82</v>
      </c>
      <c r="R13" s="52" t="s">
        <v>192</v>
      </c>
      <c r="S13" s="18"/>
      <c r="T13" s="18"/>
      <c r="U13" s="18"/>
    </row>
    <row r="14" spans="1:21" x14ac:dyDescent="0.25">
      <c r="A14" s="24"/>
      <c r="B14" s="26"/>
      <c r="C14" s="26"/>
      <c r="D14" s="26"/>
      <c r="E14" s="52"/>
      <c r="F14" s="18"/>
      <c r="G14" s="18"/>
      <c r="H14" s="18"/>
      <c r="N14" s="24"/>
      <c r="O14" s="26"/>
      <c r="P14" s="26"/>
      <c r="Q14" s="26"/>
      <c r="R14" s="52"/>
      <c r="S14" s="18"/>
      <c r="T14" s="18"/>
      <c r="U14" s="18"/>
    </row>
    <row r="15" spans="1:21" x14ac:dyDescent="0.25">
      <c r="A15" s="24" t="s">
        <v>190</v>
      </c>
      <c r="B15" s="26" t="s">
        <v>188</v>
      </c>
      <c r="C15" s="26">
        <v>25</v>
      </c>
      <c r="D15" s="26">
        <v>4.5999999999999996</v>
      </c>
      <c r="E15" s="52" t="s">
        <v>210</v>
      </c>
      <c r="F15" s="18"/>
      <c r="G15" s="18"/>
      <c r="H15" s="18"/>
      <c r="N15" s="24" t="s">
        <v>190</v>
      </c>
      <c r="O15" s="26" t="s">
        <v>188</v>
      </c>
      <c r="P15" s="26">
        <v>25.2</v>
      </c>
      <c r="Q15" s="26">
        <v>5.25</v>
      </c>
      <c r="R15" s="52" t="s">
        <v>194</v>
      </c>
      <c r="S15" s="18"/>
      <c r="T15" s="18"/>
      <c r="U15" s="18"/>
    </row>
    <row r="16" spans="1:21" x14ac:dyDescent="0.25">
      <c r="A16" s="24"/>
      <c r="B16" s="26" t="s">
        <v>202</v>
      </c>
      <c r="C16" s="26">
        <v>25.8</v>
      </c>
      <c r="D16" s="26">
        <v>4.5999999999999996</v>
      </c>
      <c r="E16" s="52" t="s">
        <v>211</v>
      </c>
      <c r="F16" s="18"/>
      <c r="G16" s="18"/>
      <c r="H16" s="18"/>
      <c r="N16" s="24"/>
      <c r="O16" s="26" t="s">
        <v>189</v>
      </c>
      <c r="P16" s="26">
        <v>25.1</v>
      </c>
      <c r="Q16" s="26">
        <v>5.23</v>
      </c>
      <c r="R16" s="52" t="s">
        <v>195</v>
      </c>
      <c r="S16" s="18"/>
      <c r="T16" s="18"/>
      <c r="U16" s="18"/>
    </row>
    <row r="17" spans="1:21" x14ac:dyDescent="0.25">
      <c r="A17" s="24"/>
      <c r="B17" s="26"/>
      <c r="C17" s="26"/>
      <c r="D17" s="26"/>
      <c r="E17" s="52"/>
      <c r="F17" s="18"/>
      <c r="G17" s="18"/>
      <c r="H17" s="18"/>
      <c r="N17" s="24"/>
      <c r="O17" s="26"/>
      <c r="P17" s="26"/>
      <c r="Q17" s="26"/>
      <c r="R17" s="52"/>
      <c r="S17" s="18"/>
      <c r="T17" s="18"/>
      <c r="U17" s="18"/>
    </row>
    <row r="18" spans="1:21" x14ac:dyDescent="0.25">
      <c r="A18" s="24" t="s">
        <v>191</v>
      </c>
      <c r="B18" s="26" t="s">
        <v>188</v>
      </c>
      <c r="C18" s="26">
        <v>25</v>
      </c>
      <c r="D18" s="26">
        <v>6.6</v>
      </c>
      <c r="E18" s="52" t="s">
        <v>212</v>
      </c>
      <c r="F18" s="18"/>
      <c r="G18" s="18"/>
      <c r="H18" s="18"/>
      <c r="N18" s="24" t="s">
        <v>191</v>
      </c>
      <c r="O18" s="26" t="s">
        <v>188</v>
      </c>
      <c r="P18" s="26">
        <v>25.4</v>
      </c>
      <c r="Q18" s="26">
        <v>4.33</v>
      </c>
      <c r="R18" s="52" t="s">
        <v>196</v>
      </c>
      <c r="S18" s="18"/>
      <c r="T18" s="18"/>
      <c r="U18" s="18"/>
    </row>
    <row r="19" spans="1:21" x14ac:dyDescent="0.25">
      <c r="A19" s="24"/>
      <c r="B19" s="26" t="s">
        <v>202</v>
      </c>
      <c r="C19" s="26">
        <v>25.5</v>
      </c>
      <c r="D19" s="26">
        <v>6.55</v>
      </c>
      <c r="E19" s="52" t="s">
        <v>213</v>
      </c>
      <c r="F19" s="18"/>
      <c r="G19" s="18"/>
      <c r="H19" s="18"/>
      <c r="N19" s="24"/>
      <c r="O19" s="26" t="s">
        <v>189</v>
      </c>
      <c r="P19" s="26">
        <v>25.4</v>
      </c>
      <c r="Q19" s="26">
        <v>4.32</v>
      </c>
      <c r="R19" s="52" t="s">
        <v>197</v>
      </c>
      <c r="S19" s="18"/>
      <c r="T19" s="18"/>
      <c r="U19" s="18"/>
    </row>
    <row r="20" spans="1:21" x14ac:dyDescent="0.25">
      <c r="A20" s="24"/>
      <c r="B20" s="26"/>
      <c r="C20" s="26"/>
      <c r="D20" s="26"/>
      <c r="E20" s="52"/>
      <c r="F20" s="18"/>
      <c r="G20" s="18"/>
      <c r="H20" s="18"/>
      <c r="N20" s="24"/>
      <c r="O20" s="26"/>
      <c r="P20" s="26"/>
      <c r="Q20" s="26"/>
      <c r="R20" s="52"/>
      <c r="S20" s="18"/>
      <c r="T20" s="18"/>
      <c r="U20" s="18"/>
    </row>
    <row r="21" spans="1:21" x14ac:dyDescent="0.25">
      <c r="A21" s="24" t="s">
        <v>200</v>
      </c>
      <c r="B21" s="26" t="s">
        <v>188</v>
      </c>
      <c r="C21" s="26">
        <v>16</v>
      </c>
      <c r="D21" s="26">
        <v>3</v>
      </c>
      <c r="E21" s="52" t="s">
        <v>214</v>
      </c>
      <c r="F21" s="18"/>
      <c r="G21" s="18"/>
      <c r="H21" s="18"/>
      <c r="N21" s="24" t="s">
        <v>200</v>
      </c>
      <c r="O21" s="26" t="s">
        <v>188</v>
      </c>
      <c r="P21" s="26">
        <v>16.100000000000001</v>
      </c>
      <c r="Q21" s="26">
        <v>3.5</v>
      </c>
      <c r="R21" s="52" t="s">
        <v>198</v>
      </c>
      <c r="S21" s="18"/>
      <c r="T21" s="18"/>
      <c r="U21" s="18"/>
    </row>
    <row r="22" spans="1:21" x14ac:dyDescent="0.25">
      <c r="A22" s="24"/>
      <c r="B22" s="26" t="s">
        <v>202</v>
      </c>
      <c r="C22" s="26">
        <v>16</v>
      </c>
      <c r="D22" s="26">
        <v>3</v>
      </c>
      <c r="E22" s="52" t="s">
        <v>215</v>
      </c>
      <c r="F22" s="18"/>
      <c r="G22" s="18"/>
      <c r="H22" s="18"/>
      <c r="N22" s="24"/>
      <c r="O22" s="26" t="s">
        <v>189</v>
      </c>
      <c r="P22" s="26">
        <v>16</v>
      </c>
      <c r="Q22" s="26">
        <v>3.5</v>
      </c>
      <c r="R22" s="52" t="s">
        <v>199</v>
      </c>
      <c r="S22" s="18"/>
      <c r="T22" s="18"/>
      <c r="U22" s="18"/>
    </row>
    <row r="23" spans="1:21" x14ac:dyDescent="0.25">
      <c r="A23" s="18"/>
      <c r="B23" s="18"/>
      <c r="C23" s="18"/>
      <c r="D23" s="18"/>
      <c r="E23" s="48"/>
      <c r="F23" s="18"/>
      <c r="G23" s="18"/>
      <c r="H23" s="18"/>
      <c r="N23" s="18"/>
      <c r="O23" s="18"/>
      <c r="P23" s="18"/>
      <c r="Q23" s="18"/>
      <c r="R23" s="48"/>
      <c r="S23" s="18"/>
      <c r="T23" s="18"/>
      <c r="U23" s="18"/>
    </row>
    <row r="24" spans="1:21" x14ac:dyDescent="0.25">
      <c r="A24" s="53" t="s">
        <v>201</v>
      </c>
      <c r="B24" s="24"/>
      <c r="C24" s="26"/>
      <c r="D24" s="26"/>
      <c r="E24" s="52"/>
      <c r="F24" s="18"/>
      <c r="G24" s="18"/>
      <c r="H24" s="18"/>
      <c r="N24" s="53" t="s">
        <v>201</v>
      </c>
      <c r="O24" s="24"/>
      <c r="P24" s="26"/>
      <c r="Q24" s="26"/>
      <c r="R24" s="52"/>
      <c r="S24" s="18"/>
      <c r="T24" s="18"/>
      <c r="U24" s="18"/>
    </row>
    <row r="25" spans="1:21" x14ac:dyDescent="0.25">
      <c r="A25" s="26"/>
      <c r="B25" s="26"/>
      <c r="C25" s="26"/>
      <c r="D25" s="26"/>
      <c r="E25" s="52"/>
      <c r="F25" s="18"/>
      <c r="G25" s="18"/>
      <c r="H25" s="18"/>
      <c r="N25" s="26"/>
      <c r="O25" s="26"/>
      <c r="P25" s="26"/>
      <c r="Q25" s="26"/>
      <c r="R25" s="52"/>
      <c r="S25" s="18"/>
      <c r="T25" s="18"/>
      <c r="U25" s="18"/>
    </row>
    <row r="26" spans="1:21" x14ac:dyDescent="0.25">
      <c r="A26" s="26"/>
      <c r="B26" s="55" t="s">
        <v>216</v>
      </c>
      <c r="C26" s="41"/>
      <c r="D26" s="26"/>
      <c r="E26" s="52"/>
      <c r="F26" s="18"/>
      <c r="G26" s="18"/>
      <c r="H26" s="18"/>
      <c r="N26" s="26"/>
      <c r="O26" s="26" t="s">
        <v>188</v>
      </c>
      <c r="P26" s="26">
        <v>80.5</v>
      </c>
      <c r="Q26" s="26">
        <v>4.8499999999999996</v>
      </c>
      <c r="R26" s="52" t="s">
        <v>203</v>
      </c>
      <c r="S26" s="18"/>
      <c r="T26" s="18"/>
      <c r="U26" s="18"/>
    </row>
    <row r="27" spans="1:21" x14ac:dyDescent="0.25">
      <c r="A27" s="26"/>
      <c r="B27" s="26"/>
      <c r="C27" s="26"/>
      <c r="D27" s="26"/>
      <c r="E27" s="52"/>
      <c r="F27" s="18"/>
      <c r="G27" s="18"/>
      <c r="H27" s="18"/>
      <c r="N27" s="26"/>
      <c r="O27" s="26" t="s">
        <v>202</v>
      </c>
      <c r="P27" s="26">
        <v>80.5</v>
      </c>
      <c r="Q27" s="26">
        <v>4.7</v>
      </c>
      <c r="R27" s="52" t="s">
        <v>204</v>
      </c>
      <c r="S27" s="18"/>
      <c r="T27" s="18"/>
      <c r="U27" s="18"/>
    </row>
    <row r="28" spans="1:21" x14ac:dyDescent="0.25">
      <c r="A28" s="26"/>
      <c r="B28" s="26"/>
      <c r="C28" s="26"/>
      <c r="D28" s="26"/>
      <c r="E28" s="52"/>
      <c r="F28" s="18"/>
      <c r="G28" s="18"/>
      <c r="H28" s="18"/>
      <c r="N28" s="26"/>
      <c r="O28" s="26"/>
      <c r="P28" s="26"/>
      <c r="Q28" s="26"/>
      <c r="R28" s="52"/>
      <c r="S28" s="18"/>
      <c r="T28" s="18"/>
      <c r="U28" s="18"/>
    </row>
    <row r="29" spans="1:21" x14ac:dyDescent="0.25">
      <c r="A29" s="54">
        <v>43336</v>
      </c>
      <c r="B29" s="26"/>
      <c r="C29" s="26"/>
      <c r="D29" s="26"/>
      <c r="E29" s="52"/>
      <c r="F29" s="18"/>
      <c r="G29" s="18"/>
      <c r="H29" s="18"/>
      <c r="N29" s="26"/>
      <c r="O29" s="26"/>
      <c r="P29" s="26"/>
      <c r="Q29" s="26"/>
      <c r="R29" s="52"/>
      <c r="S29" s="18"/>
      <c r="T29" s="18"/>
      <c r="U29" s="18"/>
    </row>
    <row r="30" spans="1:21" x14ac:dyDescent="0.25">
      <c r="A30" s="53" t="s">
        <v>205</v>
      </c>
      <c r="B30" s="24"/>
      <c r="C30" s="26"/>
      <c r="D30" s="26"/>
      <c r="E30" s="52"/>
      <c r="F30" s="18"/>
      <c r="G30" s="18"/>
      <c r="H30" s="18"/>
      <c r="N30" s="53" t="s">
        <v>205</v>
      </c>
      <c r="O30" s="24"/>
      <c r="P30" s="26"/>
      <c r="Q30" s="26"/>
      <c r="R30" s="52"/>
      <c r="S30" s="18"/>
      <c r="T30" s="18"/>
      <c r="U30" s="18"/>
    </row>
    <row r="31" spans="1:21" x14ac:dyDescent="0.25">
      <c r="A31" s="26"/>
      <c r="B31" s="26"/>
      <c r="C31" s="26"/>
      <c r="D31" s="26"/>
      <c r="E31" s="52"/>
      <c r="F31" s="18"/>
      <c r="G31" s="18"/>
      <c r="H31" s="18"/>
      <c r="N31" s="26"/>
      <c r="O31" s="26"/>
      <c r="P31" s="26"/>
      <c r="Q31" s="26"/>
      <c r="R31" s="52"/>
      <c r="S31" s="18"/>
      <c r="T31" s="18"/>
      <c r="U31" s="18"/>
    </row>
    <row r="32" spans="1:21" x14ac:dyDescent="0.25">
      <c r="A32" s="26"/>
      <c r="B32" s="26" t="s">
        <v>188</v>
      </c>
      <c r="C32" s="26">
        <v>81.5</v>
      </c>
      <c r="D32" s="26">
        <v>4.2</v>
      </c>
      <c r="E32" s="52" t="s">
        <v>206</v>
      </c>
      <c r="F32" s="18"/>
      <c r="G32" s="18"/>
      <c r="H32" s="18"/>
      <c r="N32" s="26"/>
      <c r="O32" s="26" t="s">
        <v>188</v>
      </c>
      <c r="P32" s="26">
        <v>89</v>
      </c>
      <c r="Q32" s="26">
        <v>4</v>
      </c>
      <c r="R32" s="52" t="s">
        <v>206</v>
      </c>
      <c r="S32" s="18"/>
      <c r="T32" s="18"/>
      <c r="U32" s="18"/>
    </row>
    <row r="33" spans="1:21" x14ac:dyDescent="0.25">
      <c r="A33" s="26"/>
      <c r="B33" s="26" t="s">
        <v>202</v>
      </c>
      <c r="C33" s="26">
        <v>80.5</v>
      </c>
      <c r="D33" s="26">
        <v>4.1500000000000004</v>
      </c>
      <c r="E33" s="52" t="s">
        <v>207</v>
      </c>
      <c r="F33" s="18"/>
      <c r="G33" s="18"/>
      <c r="H33" s="18"/>
      <c r="N33" s="26"/>
      <c r="O33" s="26" t="s">
        <v>202</v>
      </c>
      <c r="P33" s="26">
        <v>89</v>
      </c>
      <c r="Q33" s="26">
        <v>4</v>
      </c>
      <c r="R33" s="52" t="s">
        <v>207</v>
      </c>
      <c r="S33" s="18"/>
      <c r="T33" s="18"/>
      <c r="U33" s="18"/>
    </row>
    <row r="34" spans="1:21" x14ac:dyDescent="0.25">
      <c r="A34" s="18"/>
      <c r="B34" s="18"/>
      <c r="C34" s="18"/>
      <c r="D34" s="18"/>
      <c r="E34" s="48"/>
      <c r="F34" s="18"/>
      <c r="G34" s="18"/>
      <c r="H34" s="18"/>
      <c r="N34" s="18"/>
      <c r="O34" s="18"/>
      <c r="P34" s="18"/>
      <c r="Q34" s="18"/>
      <c r="R34" s="48"/>
      <c r="S34" s="18"/>
      <c r="T34" s="18"/>
      <c r="U34" s="18"/>
    </row>
    <row r="35" spans="1:21" x14ac:dyDescent="0.25">
      <c r="A35" s="18"/>
      <c r="B35" s="18"/>
      <c r="C35" s="18"/>
      <c r="D35" s="18"/>
      <c r="E35" s="48"/>
      <c r="F35" s="18"/>
      <c r="G35" s="18"/>
      <c r="H35" s="18"/>
      <c r="N35" s="18"/>
      <c r="O35" s="18"/>
      <c r="P35" s="18"/>
      <c r="Q35" s="18"/>
      <c r="R35" s="48"/>
      <c r="S35" s="18"/>
      <c r="T35" s="18"/>
      <c r="U35" s="18"/>
    </row>
    <row r="36" spans="1:21" x14ac:dyDescent="0.25">
      <c r="A36" s="18"/>
      <c r="B36" s="18"/>
      <c r="C36" s="18"/>
      <c r="D36" s="18"/>
      <c r="E36" s="48"/>
      <c r="F36" s="18"/>
      <c r="G36" s="18"/>
      <c r="H36" s="18"/>
    </row>
    <row r="37" spans="1:21" x14ac:dyDescent="0.25">
      <c r="A37" s="18"/>
      <c r="B37" s="18"/>
      <c r="C37" s="18"/>
      <c r="D37" s="18"/>
      <c r="E37" s="48"/>
      <c r="F37" s="18"/>
      <c r="G37" s="18"/>
      <c r="H37" s="18"/>
    </row>
    <row r="38" spans="1:21" x14ac:dyDescent="0.25">
      <c r="A38" s="18"/>
      <c r="B38" s="18"/>
      <c r="C38" s="18"/>
      <c r="D38" s="18"/>
      <c r="E38" s="48"/>
      <c r="F38" s="18"/>
      <c r="G38" s="18"/>
      <c r="H38" s="18"/>
    </row>
    <row r="39" spans="1:21" x14ac:dyDescent="0.25">
      <c r="A39" s="18"/>
      <c r="B39" s="18"/>
      <c r="C39" s="18"/>
      <c r="D39" s="18"/>
      <c r="E39" s="48"/>
      <c r="F39" s="18"/>
      <c r="G39" s="18"/>
      <c r="H39" s="18"/>
    </row>
    <row r="40" spans="1:21" x14ac:dyDescent="0.25">
      <c r="A40" s="18"/>
      <c r="B40" s="18"/>
      <c r="C40" s="18"/>
      <c r="D40" s="18"/>
      <c r="E40" s="48"/>
      <c r="F40" s="18"/>
      <c r="G40" s="18"/>
      <c r="H40" s="18"/>
    </row>
    <row r="41" spans="1:21" x14ac:dyDescent="0.25">
      <c r="A41" s="18"/>
      <c r="B41" s="18"/>
      <c r="C41" s="18"/>
      <c r="D41" s="18"/>
      <c r="E41" s="48"/>
      <c r="F41" s="18"/>
      <c r="G41" s="18"/>
      <c r="H41" s="18"/>
    </row>
    <row r="42" spans="1:21" x14ac:dyDescent="0.25">
      <c r="A42" s="18"/>
      <c r="B42" s="18"/>
      <c r="C42" s="18"/>
      <c r="D42" s="18"/>
      <c r="E42" s="48"/>
      <c r="F42" s="18"/>
      <c r="G42" s="18"/>
      <c r="H42" s="18"/>
    </row>
    <row r="43" spans="1:21" x14ac:dyDescent="0.25">
      <c r="A43" s="18"/>
      <c r="B43" s="18"/>
      <c r="C43" s="18"/>
      <c r="D43" s="18"/>
      <c r="E43" s="48"/>
      <c r="F43" s="18"/>
      <c r="G43" s="18"/>
      <c r="H43" s="18"/>
    </row>
    <row r="44" spans="1:21" x14ac:dyDescent="0.25">
      <c r="A44" s="18"/>
      <c r="B44" s="18"/>
      <c r="C44" s="18"/>
      <c r="D44" s="18"/>
      <c r="E44" s="48"/>
      <c r="F44" s="18"/>
      <c r="G44" s="18"/>
      <c r="H44" s="18"/>
    </row>
    <row r="45" spans="1:21" x14ac:dyDescent="0.25">
      <c r="A45" s="18"/>
      <c r="B45" s="18"/>
      <c r="C45" s="18"/>
      <c r="D45" s="18"/>
      <c r="E45" s="48"/>
      <c r="F45" s="18"/>
      <c r="G45" s="18"/>
      <c r="H45" s="18"/>
    </row>
    <row r="46" spans="1:21" x14ac:dyDescent="0.25">
      <c r="A46" s="18"/>
      <c r="B46" s="18"/>
      <c r="C46" s="18"/>
      <c r="D46" s="18"/>
      <c r="E46" s="48"/>
      <c r="F46" s="18"/>
      <c r="G46" s="18"/>
      <c r="H46" s="18"/>
    </row>
  </sheetData>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1"/>
  <sheetViews>
    <sheetView windowProtection="1" workbookViewId="0">
      <selection activeCell="X26" sqref="X26"/>
    </sheetView>
  </sheetViews>
  <sheetFormatPr defaultRowHeight="15" x14ac:dyDescent="0.25"/>
  <cols>
    <col min="12" max="12" width="11.42578125" customWidth="1"/>
    <col min="13" max="13" width="10.85546875" customWidth="1"/>
    <col min="20" max="20" width="11.42578125" customWidth="1"/>
    <col min="21" max="21" width="11" customWidth="1"/>
  </cols>
  <sheetData>
    <row r="1" spans="1:25" x14ac:dyDescent="0.25">
      <c r="A1" s="57" t="s">
        <v>218</v>
      </c>
      <c r="B1" s="57"/>
      <c r="C1" s="57"/>
      <c r="D1" s="57"/>
      <c r="E1" s="57"/>
      <c r="F1" s="57"/>
      <c r="G1" s="57"/>
      <c r="H1" s="57"/>
    </row>
    <row r="2" spans="1:25" x14ac:dyDescent="0.25">
      <c r="A2" s="57"/>
      <c r="B2" s="57"/>
      <c r="C2" s="57" t="s">
        <v>219</v>
      </c>
      <c r="D2" s="57"/>
      <c r="E2" s="57"/>
      <c r="F2" s="57"/>
      <c r="G2" s="57"/>
      <c r="H2" s="57"/>
    </row>
    <row r="3" spans="1:25" x14ac:dyDescent="0.25">
      <c r="L3" s="19" t="s">
        <v>223</v>
      </c>
      <c r="T3" s="56" t="s">
        <v>223</v>
      </c>
    </row>
    <row r="5" spans="1:25" x14ac:dyDescent="0.25">
      <c r="A5" s="60" t="s">
        <v>220</v>
      </c>
      <c r="B5" s="61"/>
      <c r="C5" s="61"/>
      <c r="D5" s="61"/>
      <c r="E5" s="61"/>
      <c r="F5" s="61"/>
      <c r="J5" s="60" t="s">
        <v>221</v>
      </c>
      <c r="K5" s="60"/>
      <c r="L5" s="60"/>
      <c r="M5" s="60"/>
      <c r="N5" s="60"/>
      <c r="O5" s="60"/>
      <c r="P5" s="60"/>
      <c r="Q5" s="60"/>
      <c r="R5" s="60" t="s">
        <v>222</v>
      </c>
      <c r="S5" s="60"/>
      <c r="T5" s="60"/>
      <c r="U5" s="60"/>
      <c r="V5" s="60"/>
      <c r="W5" s="60"/>
      <c r="X5" s="60"/>
      <c r="Y5" s="60"/>
    </row>
    <row r="7" spans="1:25" x14ac:dyDescent="0.25">
      <c r="A7" s="43"/>
      <c r="B7" s="18"/>
      <c r="C7" s="20" t="s">
        <v>185</v>
      </c>
      <c r="D7" s="20" t="s">
        <v>186</v>
      </c>
      <c r="E7" s="51" t="s">
        <v>187</v>
      </c>
      <c r="J7" s="26" t="s">
        <v>224</v>
      </c>
      <c r="K7" s="26" t="s">
        <v>145</v>
      </c>
      <c r="L7" s="26" t="s">
        <v>229</v>
      </c>
      <c r="M7" s="26" t="s">
        <v>232</v>
      </c>
      <c r="R7" s="26" t="s">
        <v>224</v>
      </c>
      <c r="S7" s="26" t="s">
        <v>145</v>
      </c>
      <c r="T7" s="26" t="s">
        <v>229</v>
      </c>
      <c r="U7" s="26" t="s">
        <v>231</v>
      </c>
    </row>
    <row r="8" spans="1:25" x14ac:dyDescent="0.25">
      <c r="A8" s="18"/>
      <c r="B8" s="18"/>
      <c r="C8" s="18"/>
      <c r="D8" s="20" t="s">
        <v>6</v>
      </c>
      <c r="E8" s="48"/>
      <c r="J8" s="26"/>
      <c r="K8" s="26" t="s">
        <v>230</v>
      </c>
      <c r="L8" s="26" t="s">
        <v>6</v>
      </c>
      <c r="M8" s="26"/>
      <c r="R8" s="26"/>
      <c r="S8" s="26" t="s">
        <v>230</v>
      </c>
      <c r="T8" s="26" t="s">
        <v>6</v>
      </c>
      <c r="U8" s="26"/>
    </row>
    <row r="9" spans="1:25" x14ac:dyDescent="0.25">
      <c r="A9" s="24" t="s">
        <v>184</v>
      </c>
      <c r="B9" s="26" t="s">
        <v>188</v>
      </c>
      <c r="C9" s="26">
        <v>25.5</v>
      </c>
      <c r="D9" s="26">
        <v>5.2</v>
      </c>
      <c r="E9" s="52" t="s">
        <v>208</v>
      </c>
      <c r="J9" s="26" t="s">
        <v>225</v>
      </c>
      <c r="K9" s="26">
        <v>25</v>
      </c>
      <c r="L9" s="26">
        <v>4.7</v>
      </c>
      <c r="M9" s="26" t="s">
        <v>236</v>
      </c>
      <c r="R9" s="26" t="s">
        <v>225</v>
      </c>
      <c r="S9" s="26">
        <v>25</v>
      </c>
      <c r="T9" s="63">
        <v>7.32</v>
      </c>
      <c r="U9" s="26" t="s">
        <v>236</v>
      </c>
    </row>
    <row r="10" spans="1:25" x14ac:dyDescent="0.25">
      <c r="A10" s="24"/>
      <c r="B10" s="26" t="s">
        <v>202</v>
      </c>
      <c r="C10" s="26">
        <v>26</v>
      </c>
      <c r="D10" s="26">
        <v>5.2</v>
      </c>
      <c r="E10" s="52" t="s">
        <v>209</v>
      </c>
      <c r="J10" s="26" t="s">
        <v>226</v>
      </c>
      <c r="K10" s="26">
        <v>25</v>
      </c>
      <c r="L10" s="26">
        <v>4.9000000000000004</v>
      </c>
      <c r="M10" s="26" t="s">
        <v>236</v>
      </c>
      <c r="R10" s="26" t="s">
        <v>226</v>
      </c>
      <c r="S10" s="26">
        <v>25</v>
      </c>
      <c r="T10" s="63">
        <v>8.0399999999999991</v>
      </c>
      <c r="U10" s="26" t="s">
        <v>236</v>
      </c>
    </row>
    <row r="11" spans="1:25" x14ac:dyDescent="0.25">
      <c r="A11" s="24"/>
      <c r="B11" s="26"/>
      <c r="C11" s="26"/>
      <c r="D11" s="26"/>
      <c r="E11" s="52"/>
      <c r="J11" s="26" t="s">
        <v>227</v>
      </c>
      <c r="K11" s="26">
        <v>25</v>
      </c>
      <c r="L11" s="26">
        <v>4.7</v>
      </c>
      <c r="M11" s="26" t="s">
        <v>236</v>
      </c>
      <c r="R11" s="26" t="s">
        <v>227</v>
      </c>
      <c r="S11" s="26">
        <v>25</v>
      </c>
      <c r="T11" s="63">
        <v>7.38</v>
      </c>
      <c r="U11" s="26" t="s">
        <v>236</v>
      </c>
    </row>
    <row r="12" spans="1:25" x14ac:dyDescent="0.25">
      <c r="A12" s="24" t="s">
        <v>190</v>
      </c>
      <c r="B12" s="26" t="s">
        <v>188</v>
      </c>
      <c r="C12" s="26">
        <v>25</v>
      </c>
      <c r="D12" s="26">
        <v>4.5999999999999996</v>
      </c>
      <c r="E12" s="52" t="s">
        <v>210</v>
      </c>
      <c r="J12" s="26"/>
      <c r="K12" s="26"/>
      <c r="L12" s="26"/>
      <c r="M12" s="26"/>
      <c r="R12" s="26"/>
      <c r="S12" s="26"/>
      <c r="T12" s="26"/>
      <c r="U12" s="26"/>
    </row>
    <row r="13" spans="1:25" x14ac:dyDescent="0.25">
      <c r="A13" s="24"/>
      <c r="B13" s="26" t="s">
        <v>202</v>
      </c>
      <c r="C13" s="26">
        <v>25.8</v>
      </c>
      <c r="D13" s="26">
        <v>4.5999999999999996</v>
      </c>
      <c r="E13" s="52" t="s">
        <v>211</v>
      </c>
      <c r="J13" s="26" t="s">
        <v>228</v>
      </c>
      <c r="K13" s="26" t="s">
        <v>145</v>
      </c>
      <c r="L13" s="26" t="s">
        <v>186</v>
      </c>
      <c r="M13" s="26" t="s">
        <v>232</v>
      </c>
      <c r="R13" s="26" t="s">
        <v>228</v>
      </c>
      <c r="S13" s="26" t="s">
        <v>145</v>
      </c>
      <c r="T13" s="26" t="s">
        <v>186</v>
      </c>
      <c r="U13" s="26" t="s">
        <v>232</v>
      </c>
    </row>
    <row r="14" spans="1:25" x14ac:dyDescent="0.25">
      <c r="A14" s="24"/>
      <c r="B14" s="26"/>
      <c r="C14" s="26"/>
      <c r="D14" s="26"/>
      <c r="E14" s="52"/>
      <c r="J14" s="26"/>
      <c r="K14" s="26" t="s">
        <v>230</v>
      </c>
      <c r="L14" s="26" t="s">
        <v>6</v>
      </c>
      <c r="M14" s="26"/>
      <c r="R14" s="26"/>
      <c r="S14" s="26" t="s">
        <v>230</v>
      </c>
      <c r="T14" s="26" t="s">
        <v>6</v>
      </c>
      <c r="U14" s="26"/>
    </row>
    <row r="15" spans="1:25" x14ac:dyDescent="0.25">
      <c r="A15" s="59" t="s">
        <v>191</v>
      </c>
      <c r="B15" s="26" t="s">
        <v>188</v>
      </c>
      <c r="C15" s="26">
        <v>25</v>
      </c>
      <c r="D15" s="58">
        <v>6.6</v>
      </c>
      <c r="E15" s="52" t="s">
        <v>212</v>
      </c>
      <c r="J15" s="26" t="s">
        <v>233</v>
      </c>
      <c r="K15" s="26">
        <v>25</v>
      </c>
      <c r="L15" s="26">
        <v>4.9000000000000004</v>
      </c>
      <c r="M15" s="26" t="s">
        <v>236</v>
      </c>
      <c r="R15" s="26" t="s">
        <v>233</v>
      </c>
      <c r="S15" s="26">
        <v>25</v>
      </c>
      <c r="T15" s="62">
        <v>7.45</v>
      </c>
      <c r="U15" s="26" t="s">
        <v>236</v>
      </c>
    </row>
    <row r="16" spans="1:25" x14ac:dyDescent="0.25">
      <c r="A16" s="24"/>
      <c r="B16" s="26" t="s">
        <v>202</v>
      </c>
      <c r="C16" s="26">
        <v>25.5</v>
      </c>
      <c r="D16" s="58">
        <v>6.55</v>
      </c>
      <c r="E16" s="52" t="s">
        <v>213</v>
      </c>
      <c r="J16" s="26" t="s">
        <v>234</v>
      </c>
      <c r="K16" s="26">
        <v>25</v>
      </c>
      <c r="L16" s="26">
        <v>5.3</v>
      </c>
      <c r="M16" s="26" t="s">
        <v>236</v>
      </c>
      <c r="R16" s="26" t="s">
        <v>234</v>
      </c>
      <c r="S16" s="26">
        <v>25</v>
      </c>
      <c r="T16" s="62">
        <v>7.4</v>
      </c>
      <c r="U16" s="26" t="s">
        <v>236</v>
      </c>
    </row>
    <row r="17" spans="1:21" x14ac:dyDescent="0.25">
      <c r="A17" s="24"/>
      <c r="B17" s="26"/>
      <c r="C17" s="26"/>
      <c r="D17" s="26"/>
      <c r="E17" s="52"/>
      <c r="J17" s="26" t="s">
        <v>235</v>
      </c>
      <c r="K17" s="26">
        <v>25</v>
      </c>
      <c r="L17" s="26">
        <v>4.9000000000000004</v>
      </c>
      <c r="M17" s="26" t="s">
        <v>236</v>
      </c>
      <c r="R17" s="26" t="s">
        <v>235</v>
      </c>
      <c r="S17" s="26">
        <v>25</v>
      </c>
      <c r="T17" s="62">
        <v>7.95</v>
      </c>
      <c r="U17" s="26" t="s">
        <v>236</v>
      </c>
    </row>
    <row r="18" spans="1:21" x14ac:dyDescent="0.25">
      <c r="A18" s="24" t="s">
        <v>200</v>
      </c>
      <c r="B18" s="26" t="s">
        <v>188</v>
      </c>
      <c r="C18" s="26">
        <v>16</v>
      </c>
      <c r="D18" s="26">
        <v>3</v>
      </c>
      <c r="E18" s="52" t="s">
        <v>214</v>
      </c>
    </row>
    <row r="19" spans="1:21" x14ac:dyDescent="0.25">
      <c r="A19" s="24"/>
      <c r="B19" s="26" t="s">
        <v>202</v>
      </c>
      <c r="C19" s="26">
        <v>16</v>
      </c>
      <c r="D19" s="26">
        <v>3</v>
      </c>
      <c r="E19" s="52" t="s">
        <v>215</v>
      </c>
      <c r="J19" s="60"/>
      <c r="K19" s="60" t="s">
        <v>237</v>
      </c>
      <c r="L19" s="60"/>
      <c r="M19" s="60"/>
      <c r="N19" s="60"/>
      <c r="O19" s="60"/>
      <c r="P19" s="60"/>
      <c r="Q19" s="60"/>
      <c r="R19" s="60"/>
      <c r="S19" s="60" t="s">
        <v>238</v>
      </c>
      <c r="T19" s="60"/>
      <c r="U19" s="60"/>
    </row>
    <row r="20" spans="1:21" x14ac:dyDescent="0.25">
      <c r="A20" s="18"/>
      <c r="B20" s="18"/>
      <c r="C20" s="18"/>
      <c r="D20" s="18"/>
      <c r="E20" s="48"/>
    </row>
    <row r="21" spans="1:21" x14ac:dyDescent="0.25">
      <c r="A21" s="47"/>
      <c r="B21" s="20"/>
      <c r="C21" s="18"/>
      <c r="D21" s="18"/>
      <c r="E21" s="48"/>
      <c r="J21" s="26" t="s">
        <v>224</v>
      </c>
      <c r="K21" s="26" t="s">
        <v>145</v>
      </c>
      <c r="L21" s="26" t="s">
        <v>229</v>
      </c>
      <c r="M21" s="26" t="s">
        <v>232</v>
      </c>
      <c r="R21" s="26" t="s">
        <v>224</v>
      </c>
      <c r="S21" s="26" t="s">
        <v>145</v>
      </c>
      <c r="T21" s="26" t="s">
        <v>229</v>
      </c>
      <c r="U21" s="26" t="s">
        <v>232</v>
      </c>
    </row>
    <row r="22" spans="1:21" x14ac:dyDescent="0.25">
      <c r="A22" s="18"/>
      <c r="B22" s="18"/>
      <c r="C22" s="18"/>
      <c r="D22" s="18"/>
      <c r="E22" s="48"/>
      <c r="J22" s="26"/>
      <c r="K22" s="26" t="s">
        <v>230</v>
      </c>
      <c r="L22" s="26" t="s">
        <v>239</v>
      </c>
      <c r="M22" s="26"/>
      <c r="R22" s="26"/>
      <c r="S22" s="26" t="s">
        <v>230</v>
      </c>
      <c r="T22" s="26" t="s">
        <v>239</v>
      </c>
      <c r="U22" s="26"/>
    </row>
    <row r="23" spans="1:21" x14ac:dyDescent="0.25">
      <c r="A23" s="18"/>
      <c r="D23" s="18"/>
      <c r="E23" s="48"/>
      <c r="J23" s="26" t="s">
        <v>225</v>
      </c>
      <c r="K23" s="26">
        <v>10</v>
      </c>
      <c r="L23" s="26">
        <v>86</v>
      </c>
      <c r="M23" s="26" t="s">
        <v>236</v>
      </c>
      <c r="R23" s="26" t="s">
        <v>225</v>
      </c>
      <c r="S23" s="26">
        <v>10</v>
      </c>
      <c r="T23" s="26">
        <v>82</v>
      </c>
      <c r="U23" s="26" t="s">
        <v>236</v>
      </c>
    </row>
    <row r="24" spans="1:21" x14ac:dyDescent="0.25">
      <c r="A24" s="18"/>
      <c r="B24" s="18"/>
      <c r="C24" s="18"/>
      <c r="D24" s="18"/>
      <c r="E24" s="48"/>
      <c r="J24" s="26" t="s">
        <v>226</v>
      </c>
      <c r="K24" s="26">
        <v>10</v>
      </c>
      <c r="L24" s="26">
        <v>85</v>
      </c>
      <c r="M24" s="26" t="s">
        <v>236</v>
      </c>
      <c r="R24" s="26" t="s">
        <v>226</v>
      </c>
      <c r="S24" s="26">
        <v>10</v>
      </c>
      <c r="T24" s="26">
        <v>74</v>
      </c>
      <c r="U24" s="26" t="s">
        <v>236</v>
      </c>
    </row>
    <row r="25" spans="1:21" x14ac:dyDescent="0.25">
      <c r="A25" s="64"/>
      <c r="B25" s="18"/>
      <c r="C25" s="18"/>
      <c r="D25" s="18"/>
      <c r="E25" s="48"/>
      <c r="J25" s="26" t="s">
        <v>227</v>
      </c>
      <c r="K25" s="26">
        <v>10</v>
      </c>
      <c r="L25" s="26">
        <v>85</v>
      </c>
      <c r="M25" s="26" t="s">
        <v>236</v>
      </c>
      <c r="R25" s="26" t="s">
        <v>227</v>
      </c>
      <c r="S25" s="26">
        <v>10</v>
      </c>
      <c r="T25" s="26">
        <v>73</v>
      </c>
      <c r="U25" s="26" t="s">
        <v>236</v>
      </c>
    </row>
    <row r="26" spans="1:21" x14ac:dyDescent="0.25">
      <c r="A26" s="65"/>
      <c r="B26" s="18"/>
      <c r="C26" s="18"/>
      <c r="D26" s="18"/>
      <c r="E26" s="48"/>
      <c r="J26" s="26"/>
      <c r="K26" s="26"/>
      <c r="L26" s="26"/>
      <c r="M26" s="26"/>
      <c r="R26" s="26"/>
      <c r="S26" s="26"/>
      <c r="T26" s="26"/>
      <c r="U26" s="26"/>
    </row>
    <row r="27" spans="1:21" x14ac:dyDescent="0.25">
      <c r="A27" s="47"/>
      <c r="B27" s="20"/>
      <c r="C27" s="18"/>
      <c r="D27" s="18"/>
      <c r="E27" s="48"/>
      <c r="J27" s="26" t="s">
        <v>228</v>
      </c>
      <c r="K27" s="26" t="s">
        <v>145</v>
      </c>
      <c r="L27" s="26" t="s">
        <v>186</v>
      </c>
      <c r="M27" s="26" t="s">
        <v>232</v>
      </c>
      <c r="R27" s="26" t="s">
        <v>228</v>
      </c>
      <c r="S27" s="26" t="s">
        <v>145</v>
      </c>
      <c r="T27" s="26" t="s">
        <v>186</v>
      </c>
      <c r="U27" s="26" t="s">
        <v>232</v>
      </c>
    </row>
    <row r="28" spans="1:21" x14ac:dyDescent="0.25">
      <c r="A28" s="18"/>
      <c r="B28" s="18"/>
      <c r="C28" s="18"/>
      <c r="D28" s="18"/>
      <c r="E28" s="48"/>
      <c r="J28" s="26"/>
      <c r="K28" s="26" t="s">
        <v>230</v>
      </c>
      <c r="L28" s="26" t="s">
        <v>239</v>
      </c>
      <c r="M28" s="26"/>
      <c r="R28" s="26"/>
      <c r="S28" s="26" t="s">
        <v>230</v>
      </c>
      <c r="T28" s="26" t="s">
        <v>239</v>
      </c>
      <c r="U28" s="26"/>
    </row>
    <row r="29" spans="1:21" x14ac:dyDescent="0.25">
      <c r="A29" s="18"/>
      <c r="B29" s="18"/>
      <c r="C29" s="18"/>
      <c r="D29" s="18"/>
      <c r="E29" s="48"/>
      <c r="J29" s="26" t="s">
        <v>233</v>
      </c>
      <c r="K29" s="26">
        <v>10</v>
      </c>
      <c r="L29" s="26">
        <v>95</v>
      </c>
      <c r="M29" s="26" t="s">
        <v>236</v>
      </c>
      <c r="R29" s="26" t="s">
        <v>233</v>
      </c>
      <c r="S29" s="26">
        <v>10</v>
      </c>
      <c r="T29" s="26">
        <v>77.5</v>
      </c>
      <c r="U29" s="26" t="s">
        <v>236</v>
      </c>
    </row>
    <row r="30" spans="1:21" x14ac:dyDescent="0.25">
      <c r="A30" s="18"/>
      <c r="B30" s="18"/>
      <c r="C30" s="18"/>
      <c r="D30" s="18"/>
      <c r="E30" s="48"/>
      <c r="J30" s="26" t="s">
        <v>234</v>
      </c>
      <c r="K30" s="26">
        <v>10</v>
      </c>
      <c r="L30" s="26">
        <v>88</v>
      </c>
      <c r="M30" s="26" t="s">
        <v>236</v>
      </c>
      <c r="R30" s="26" t="s">
        <v>234</v>
      </c>
      <c r="S30" s="26">
        <v>10</v>
      </c>
      <c r="T30" s="26">
        <v>80.2</v>
      </c>
      <c r="U30" s="26" t="s">
        <v>236</v>
      </c>
    </row>
    <row r="31" spans="1:21" x14ac:dyDescent="0.25">
      <c r="J31" s="26" t="s">
        <v>235</v>
      </c>
      <c r="K31" s="26">
        <v>10</v>
      </c>
      <c r="L31" s="26">
        <v>86</v>
      </c>
      <c r="M31" s="26" t="s">
        <v>236</v>
      </c>
      <c r="R31" s="26" t="s">
        <v>235</v>
      </c>
      <c r="S31" s="26">
        <v>10</v>
      </c>
      <c r="T31" s="26">
        <v>81</v>
      </c>
      <c r="U31" s="26" t="s">
        <v>236</v>
      </c>
    </row>
  </sheetData>
  <pageMargins left="0.7" right="0.7" top="0.75" bottom="0.75" header="0.3" footer="0.3"/>
  <pageSetup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A169"/>
  <sheetViews>
    <sheetView windowProtection="1" topLeftCell="A62" workbookViewId="0">
      <selection activeCell="U68" sqref="U68"/>
    </sheetView>
  </sheetViews>
  <sheetFormatPr defaultRowHeight="15" x14ac:dyDescent="0.25"/>
  <cols>
    <col min="3" max="3" width="9.140625" customWidth="1"/>
    <col min="4" max="5" width="10.28515625" customWidth="1"/>
    <col min="13" max="14" width="10.28515625" customWidth="1"/>
    <col min="16" max="17" width="10.28515625" customWidth="1"/>
    <col min="20" max="20" width="9.7109375" customWidth="1"/>
    <col min="22" max="23" width="10.28515625" customWidth="1"/>
  </cols>
  <sheetData>
    <row r="1" spans="2:24" ht="18.75" x14ac:dyDescent="0.25">
      <c r="B1" s="74" t="s">
        <v>240</v>
      </c>
      <c r="C1" s="75"/>
      <c r="D1" s="75"/>
      <c r="E1" s="75"/>
      <c r="F1" s="75"/>
      <c r="G1" s="75"/>
      <c r="H1" s="75"/>
      <c r="I1" s="75"/>
      <c r="J1" s="75"/>
      <c r="K1" s="75"/>
      <c r="L1" s="76"/>
      <c r="M1" s="77"/>
      <c r="N1" s="77"/>
      <c r="O1" s="77"/>
      <c r="P1" s="77"/>
      <c r="Q1" s="77"/>
      <c r="R1" s="77"/>
      <c r="S1" s="77"/>
      <c r="T1" s="66"/>
      <c r="U1" s="66"/>
      <c r="V1" s="6"/>
      <c r="W1" s="6"/>
      <c r="X1" s="6"/>
    </row>
    <row r="2" spans="2:24" ht="18.75" x14ac:dyDescent="0.25">
      <c r="B2" s="74"/>
      <c r="C2" s="75"/>
      <c r="D2" s="75"/>
      <c r="E2" s="75"/>
      <c r="F2" s="75"/>
      <c r="G2" s="75"/>
      <c r="H2" s="75"/>
      <c r="I2" s="75"/>
      <c r="J2" s="75"/>
      <c r="K2" s="75"/>
      <c r="L2" s="76"/>
      <c r="M2" s="77"/>
      <c r="N2" s="77"/>
      <c r="O2" s="77"/>
      <c r="P2" s="77"/>
      <c r="Q2" s="77"/>
      <c r="R2" s="77"/>
      <c r="S2" s="77"/>
      <c r="T2" s="66"/>
      <c r="U2" s="66"/>
      <c r="V2" s="6"/>
      <c r="W2" s="6"/>
      <c r="X2" s="6"/>
    </row>
    <row r="3" spans="2:24" ht="18.75" x14ac:dyDescent="0.25">
      <c r="B3" s="74" t="s">
        <v>245</v>
      </c>
      <c r="C3" s="75"/>
      <c r="D3" s="75"/>
      <c r="E3" s="75"/>
      <c r="F3" s="75"/>
      <c r="G3" s="75"/>
      <c r="H3" s="75"/>
      <c r="I3" s="75"/>
      <c r="J3" s="75"/>
      <c r="K3" s="75"/>
      <c r="L3" s="76"/>
      <c r="M3" s="77"/>
      <c r="N3" s="74" t="s">
        <v>246</v>
      </c>
      <c r="O3" s="77"/>
      <c r="P3" s="77"/>
      <c r="Q3" s="77"/>
      <c r="R3" s="77"/>
      <c r="S3" s="77"/>
      <c r="T3" s="66"/>
      <c r="U3" s="66"/>
      <c r="V3" s="6"/>
      <c r="W3" s="6"/>
      <c r="X3" s="6"/>
    </row>
    <row r="4" spans="2:24" ht="15.75" x14ac:dyDescent="0.25">
      <c r="B4" s="44"/>
      <c r="C4" s="44"/>
      <c r="D4" s="44"/>
      <c r="E4" s="44"/>
      <c r="F4" s="44"/>
      <c r="G4" s="44"/>
      <c r="H4" s="44"/>
      <c r="I4" s="44"/>
      <c r="J4" s="44"/>
      <c r="K4" s="44"/>
      <c r="L4" s="67"/>
      <c r="M4" s="67"/>
      <c r="N4" s="67"/>
      <c r="O4" s="67"/>
      <c r="P4" s="67"/>
      <c r="Q4" s="67"/>
      <c r="R4" s="67"/>
      <c r="S4" s="67"/>
      <c r="T4" s="67"/>
      <c r="U4" s="67"/>
    </row>
    <row r="5" spans="2:24" ht="15.75" x14ac:dyDescent="0.25">
      <c r="B5" s="38" t="s">
        <v>41</v>
      </c>
      <c r="C5" s="38" t="s">
        <v>174</v>
      </c>
      <c r="D5" s="38" t="s">
        <v>241</v>
      </c>
      <c r="E5" s="38" t="s">
        <v>242</v>
      </c>
      <c r="F5" s="38" t="s">
        <v>243</v>
      </c>
      <c r="G5" s="38" t="s">
        <v>263</v>
      </c>
      <c r="H5" s="68" t="s">
        <v>244</v>
      </c>
      <c r="I5" s="68" t="s">
        <v>54</v>
      </c>
      <c r="J5" s="67"/>
      <c r="K5" s="67"/>
      <c r="L5" s="67"/>
      <c r="M5" s="67"/>
      <c r="N5" s="38" t="s">
        <v>41</v>
      </c>
      <c r="O5" s="38" t="s">
        <v>174</v>
      </c>
      <c r="P5" s="38" t="s">
        <v>241</v>
      </c>
      <c r="Q5" s="38" t="s">
        <v>242</v>
      </c>
      <c r="R5" s="38" t="s">
        <v>243</v>
      </c>
      <c r="S5" s="38" t="s">
        <v>263</v>
      </c>
      <c r="T5" s="68" t="s">
        <v>244</v>
      </c>
      <c r="U5" s="68" t="s">
        <v>54</v>
      </c>
    </row>
    <row r="6" spans="2:24" ht="15.75" x14ac:dyDescent="0.25">
      <c r="B6" s="38">
        <v>1</v>
      </c>
      <c r="C6" s="23">
        <v>2510</v>
      </c>
      <c r="D6" s="23">
        <v>8.5</v>
      </c>
      <c r="E6" s="23">
        <v>19.600000000000001</v>
      </c>
      <c r="F6" s="69" t="s">
        <v>52</v>
      </c>
      <c r="G6" s="69">
        <v>6.9</v>
      </c>
      <c r="H6" s="69" t="s">
        <v>262</v>
      </c>
      <c r="I6" s="69" t="s">
        <v>262</v>
      </c>
      <c r="J6" s="67"/>
      <c r="K6" s="67"/>
      <c r="L6" s="67"/>
      <c r="M6" s="67"/>
      <c r="N6" s="38">
        <v>1</v>
      </c>
      <c r="O6" s="23">
        <v>5311</v>
      </c>
      <c r="P6" s="23">
        <v>7.2</v>
      </c>
      <c r="Q6" s="23">
        <v>21</v>
      </c>
      <c r="R6" s="69" t="s">
        <v>52</v>
      </c>
      <c r="S6" s="69">
        <v>7.1</v>
      </c>
      <c r="T6" s="69" t="s">
        <v>262</v>
      </c>
      <c r="U6" s="69" t="s">
        <v>262</v>
      </c>
    </row>
    <row r="7" spans="2:24" ht="15.75" x14ac:dyDescent="0.25">
      <c r="B7" s="38">
        <v>2</v>
      </c>
      <c r="C7" s="23">
        <v>2491</v>
      </c>
      <c r="D7" s="23">
        <v>90.4</v>
      </c>
      <c r="E7" s="23">
        <v>155.30000000000001</v>
      </c>
      <c r="F7" s="69" t="s">
        <v>52</v>
      </c>
      <c r="G7" s="80" t="s">
        <v>281</v>
      </c>
      <c r="H7" s="80" t="s">
        <v>265</v>
      </c>
      <c r="I7" s="80" t="s">
        <v>265</v>
      </c>
      <c r="J7" s="67"/>
      <c r="K7" s="67"/>
      <c r="L7" s="67"/>
      <c r="M7" s="67"/>
      <c r="N7" s="38">
        <v>2</v>
      </c>
      <c r="O7" s="23">
        <v>5313</v>
      </c>
      <c r="P7" s="23">
        <v>6.7</v>
      </c>
      <c r="Q7" s="23">
        <v>13.2</v>
      </c>
      <c r="R7" s="69" t="s">
        <v>52</v>
      </c>
      <c r="S7" s="69">
        <v>7.1</v>
      </c>
      <c r="T7" s="69" t="s">
        <v>262</v>
      </c>
      <c r="U7" s="69" t="s">
        <v>262</v>
      </c>
    </row>
    <row r="8" spans="2:24" ht="15.75" x14ac:dyDescent="0.25">
      <c r="B8" s="38">
        <v>3</v>
      </c>
      <c r="C8" s="23">
        <v>2503</v>
      </c>
      <c r="D8" s="23">
        <v>6</v>
      </c>
      <c r="E8" s="23">
        <v>11</v>
      </c>
      <c r="F8" s="69" t="s">
        <v>52</v>
      </c>
      <c r="G8" s="69">
        <v>6.9</v>
      </c>
      <c r="H8" s="69" t="s">
        <v>262</v>
      </c>
      <c r="I8" s="69" t="s">
        <v>262</v>
      </c>
      <c r="J8" s="67"/>
      <c r="K8" s="67"/>
      <c r="L8" s="67"/>
      <c r="M8" s="67"/>
      <c r="N8" s="38">
        <v>3</v>
      </c>
      <c r="O8" s="23">
        <v>5312</v>
      </c>
      <c r="P8" s="23">
        <v>10.4</v>
      </c>
      <c r="Q8" s="23">
        <v>25.8</v>
      </c>
      <c r="R8" s="69" t="s">
        <v>52</v>
      </c>
      <c r="S8" s="69">
        <v>7</v>
      </c>
      <c r="T8" s="69" t="s">
        <v>262</v>
      </c>
      <c r="U8" s="69" t="s">
        <v>262</v>
      </c>
    </row>
    <row r="9" spans="2:24" ht="15.75" x14ac:dyDescent="0.25">
      <c r="B9" s="38">
        <v>4</v>
      </c>
      <c r="C9" s="23">
        <v>2515</v>
      </c>
      <c r="D9" s="23">
        <v>30.5</v>
      </c>
      <c r="E9" s="23">
        <v>53.1</v>
      </c>
      <c r="F9" s="69" t="s">
        <v>52</v>
      </c>
      <c r="G9" s="69">
        <v>6.9</v>
      </c>
      <c r="H9" s="69" t="s">
        <v>262</v>
      </c>
      <c r="I9" s="69" t="s">
        <v>262</v>
      </c>
      <c r="J9" s="67"/>
      <c r="K9" s="67"/>
      <c r="L9" s="67"/>
      <c r="M9" s="67"/>
      <c r="N9" s="38">
        <v>4</v>
      </c>
      <c r="O9" s="23">
        <v>5314</v>
      </c>
      <c r="P9" s="23">
        <v>6</v>
      </c>
      <c r="Q9" s="23">
        <v>10.199999999999999</v>
      </c>
      <c r="R9" s="69" t="s">
        <v>52</v>
      </c>
      <c r="S9" s="69">
        <v>7.1</v>
      </c>
      <c r="T9" s="69" t="s">
        <v>262</v>
      </c>
      <c r="U9" s="69" t="s">
        <v>262</v>
      </c>
    </row>
    <row r="10" spans="2:24" ht="15.75" x14ac:dyDescent="0.25">
      <c r="B10" s="38">
        <v>5</v>
      </c>
      <c r="C10" s="23">
        <v>2511</v>
      </c>
      <c r="D10" s="23">
        <v>14.7</v>
      </c>
      <c r="E10" s="23">
        <v>38.799999999999997</v>
      </c>
      <c r="F10" s="69" t="s">
        <v>52</v>
      </c>
      <c r="G10" s="69">
        <v>7</v>
      </c>
      <c r="H10" s="69" t="s">
        <v>262</v>
      </c>
      <c r="I10" s="69" t="s">
        <v>262</v>
      </c>
      <c r="J10" s="67"/>
      <c r="K10" s="67"/>
      <c r="L10" s="67"/>
      <c r="M10" s="67"/>
      <c r="N10" s="38">
        <v>5</v>
      </c>
      <c r="O10" s="23">
        <v>5392</v>
      </c>
      <c r="P10" s="23">
        <v>9.5</v>
      </c>
      <c r="Q10" s="23">
        <v>31</v>
      </c>
      <c r="R10" s="69" t="s">
        <v>52</v>
      </c>
      <c r="S10" s="69">
        <v>7</v>
      </c>
      <c r="T10" s="69" t="s">
        <v>262</v>
      </c>
      <c r="U10" s="69" t="s">
        <v>262</v>
      </c>
    </row>
    <row r="11" spans="2:24" ht="15.75" x14ac:dyDescent="0.25">
      <c r="B11" s="38">
        <v>6</v>
      </c>
      <c r="C11" s="23">
        <v>2335</v>
      </c>
      <c r="D11" s="23">
        <v>35</v>
      </c>
      <c r="E11" s="23">
        <v>98.5</v>
      </c>
      <c r="F11" s="69" t="s">
        <v>52</v>
      </c>
      <c r="G11" s="69">
        <v>6.9</v>
      </c>
      <c r="H11" s="83" t="s">
        <v>262</v>
      </c>
      <c r="I11" s="83" t="s">
        <v>262</v>
      </c>
      <c r="J11" s="67"/>
      <c r="K11" s="67"/>
      <c r="L11" s="67"/>
      <c r="M11" s="67"/>
      <c r="N11" s="38">
        <v>6</v>
      </c>
      <c r="O11" s="23">
        <v>5393</v>
      </c>
      <c r="P11" s="23">
        <v>14.4</v>
      </c>
      <c r="Q11" s="23">
        <v>42.2</v>
      </c>
      <c r="R11" s="69" t="s">
        <v>52</v>
      </c>
      <c r="S11" s="69">
        <v>7</v>
      </c>
      <c r="T11" s="69" t="s">
        <v>262</v>
      </c>
      <c r="U11" s="69" t="s">
        <v>262</v>
      </c>
    </row>
    <row r="12" spans="2:24" ht="15.75" x14ac:dyDescent="0.25">
      <c r="B12" s="38"/>
      <c r="C12" s="23"/>
      <c r="D12" s="23"/>
      <c r="E12" s="23"/>
      <c r="F12" s="23"/>
      <c r="G12" s="69"/>
      <c r="H12" s="69"/>
      <c r="I12" s="69"/>
      <c r="J12" s="67"/>
      <c r="K12" s="67"/>
      <c r="L12" s="67"/>
      <c r="M12" s="67"/>
      <c r="N12" s="38"/>
      <c r="O12" s="23"/>
      <c r="P12" s="23"/>
      <c r="Q12" s="23"/>
      <c r="R12" s="23"/>
      <c r="S12" s="69"/>
      <c r="T12" s="69"/>
      <c r="U12" s="69"/>
    </row>
    <row r="13" spans="2:24" ht="15.75" x14ac:dyDescent="0.25">
      <c r="B13" s="38"/>
      <c r="C13" s="23"/>
      <c r="D13" s="23"/>
      <c r="E13" s="23"/>
      <c r="F13" s="23"/>
      <c r="G13" s="69"/>
      <c r="H13" s="69"/>
      <c r="I13" s="69"/>
      <c r="J13" s="67"/>
      <c r="K13" s="67"/>
      <c r="L13" s="67"/>
      <c r="M13" s="67"/>
      <c r="N13" s="38"/>
      <c r="O13" s="23"/>
      <c r="P13" s="23"/>
      <c r="Q13" s="23"/>
      <c r="R13" s="23"/>
      <c r="S13" s="69"/>
      <c r="T13" s="69"/>
      <c r="U13" s="69"/>
    </row>
    <row r="14" spans="2:24" ht="15.75" x14ac:dyDescent="0.25">
      <c r="B14" s="38" t="s">
        <v>47</v>
      </c>
      <c r="C14" s="38" t="s">
        <v>174</v>
      </c>
      <c r="D14" s="38" t="s">
        <v>241</v>
      </c>
      <c r="E14" s="38" t="s">
        <v>242</v>
      </c>
      <c r="F14" s="38" t="s">
        <v>243</v>
      </c>
      <c r="G14" s="38" t="s">
        <v>263</v>
      </c>
      <c r="H14" s="68" t="s">
        <v>244</v>
      </c>
      <c r="I14" s="68" t="s">
        <v>54</v>
      </c>
      <c r="J14" s="67"/>
      <c r="K14" s="67"/>
      <c r="L14" s="67"/>
      <c r="M14" s="67"/>
      <c r="N14" s="38" t="s">
        <v>47</v>
      </c>
      <c r="O14" s="38" t="s">
        <v>174</v>
      </c>
      <c r="P14" s="38" t="s">
        <v>241</v>
      </c>
      <c r="Q14" s="38" t="s">
        <v>242</v>
      </c>
      <c r="R14" s="38" t="s">
        <v>243</v>
      </c>
      <c r="S14" s="38" t="s">
        <v>263</v>
      </c>
      <c r="T14" s="68" t="s">
        <v>244</v>
      </c>
      <c r="U14" s="68" t="s">
        <v>54</v>
      </c>
    </row>
    <row r="15" spans="2:24" ht="15.75" x14ac:dyDescent="0.25">
      <c r="B15" s="38">
        <v>1</v>
      </c>
      <c r="C15" s="23">
        <v>3503</v>
      </c>
      <c r="D15" s="23">
        <v>24.6</v>
      </c>
      <c r="E15" s="23">
        <v>38.200000000000003</v>
      </c>
      <c r="F15" s="23" t="s">
        <v>52</v>
      </c>
      <c r="G15" s="69">
        <v>6.85</v>
      </c>
      <c r="H15" s="69" t="s">
        <v>262</v>
      </c>
      <c r="I15" s="69" t="s">
        <v>262</v>
      </c>
      <c r="J15" s="67"/>
      <c r="K15" s="67"/>
      <c r="L15" s="67"/>
      <c r="M15" s="67"/>
      <c r="N15" s="38">
        <v>1</v>
      </c>
      <c r="O15" s="23">
        <v>5328</v>
      </c>
      <c r="P15" s="23">
        <v>7</v>
      </c>
      <c r="Q15" s="23">
        <v>16</v>
      </c>
      <c r="R15" s="23" t="s">
        <v>52</v>
      </c>
      <c r="S15" s="69">
        <v>7</v>
      </c>
      <c r="T15" s="69" t="s">
        <v>262</v>
      </c>
      <c r="U15" s="69" t="s">
        <v>262</v>
      </c>
    </row>
    <row r="16" spans="2:24" ht="15.75" x14ac:dyDescent="0.25">
      <c r="B16" s="38">
        <v>2</v>
      </c>
      <c r="C16" s="23">
        <v>3500</v>
      </c>
      <c r="D16" s="23">
        <v>28.9</v>
      </c>
      <c r="E16" s="23">
        <v>47.2</v>
      </c>
      <c r="F16" s="23" t="s">
        <v>52</v>
      </c>
      <c r="G16" s="69">
        <v>7.1</v>
      </c>
      <c r="H16" s="69" t="s">
        <v>262</v>
      </c>
      <c r="I16" s="69" t="s">
        <v>262</v>
      </c>
      <c r="J16" s="67"/>
      <c r="K16" s="67"/>
      <c r="L16" s="67"/>
      <c r="M16" s="67"/>
      <c r="N16" s="38">
        <v>2</v>
      </c>
      <c r="O16" s="23">
        <v>5330</v>
      </c>
      <c r="P16" s="23">
        <v>12.5</v>
      </c>
      <c r="Q16" s="23">
        <v>27.2</v>
      </c>
      <c r="R16" s="23" t="s">
        <v>52</v>
      </c>
      <c r="S16" s="69">
        <v>7</v>
      </c>
      <c r="T16" s="69" t="s">
        <v>262</v>
      </c>
      <c r="U16" s="69" t="s">
        <v>262</v>
      </c>
    </row>
    <row r="17" spans="2:21" ht="15.75" x14ac:dyDescent="0.25">
      <c r="B17" s="38">
        <v>3</v>
      </c>
      <c r="C17" s="23">
        <v>3528</v>
      </c>
      <c r="D17" s="23" t="s">
        <v>275</v>
      </c>
      <c r="E17" s="23" t="s">
        <v>276</v>
      </c>
      <c r="F17" s="23" t="s">
        <v>52</v>
      </c>
      <c r="G17" s="69">
        <v>7</v>
      </c>
      <c r="H17" s="81" t="s">
        <v>264</v>
      </c>
      <c r="I17" s="81" t="s">
        <v>265</v>
      </c>
      <c r="J17" s="67"/>
      <c r="K17" s="67"/>
      <c r="L17" s="67"/>
      <c r="M17" s="67"/>
      <c r="N17" s="38">
        <v>3</v>
      </c>
      <c r="O17" s="23">
        <v>5331</v>
      </c>
      <c r="P17" s="23">
        <v>18</v>
      </c>
      <c r="Q17" s="23">
        <v>38.799999999999997</v>
      </c>
      <c r="R17" s="23" t="s">
        <v>52</v>
      </c>
      <c r="S17" s="69">
        <v>7.3</v>
      </c>
      <c r="T17" s="69" t="s">
        <v>262</v>
      </c>
      <c r="U17" s="69" t="s">
        <v>262</v>
      </c>
    </row>
    <row r="18" spans="2:21" ht="15.75" x14ac:dyDescent="0.25">
      <c r="B18" s="38">
        <v>4</v>
      </c>
      <c r="C18" s="23">
        <v>3461</v>
      </c>
      <c r="D18" s="23" t="s">
        <v>279</v>
      </c>
      <c r="E18" s="23" t="s">
        <v>280</v>
      </c>
      <c r="F18" s="23" t="s">
        <v>52</v>
      </c>
      <c r="G18" s="80" t="s">
        <v>282</v>
      </c>
      <c r="H18" s="80" t="s">
        <v>265</v>
      </c>
      <c r="I18" s="80" t="s">
        <v>265</v>
      </c>
      <c r="J18" s="67"/>
      <c r="K18" s="67"/>
      <c r="L18" s="67"/>
      <c r="M18" s="67"/>
      <c r="N18" s="38">
        <v>4</v>
      </c>
      <c r="O18" s="23">
        <v>5329</v>
      </c>
      <c r="P18" s="23" t="s">
        <v>271</v>
      </c>
      <c r="Q18" s="23" t="s">
        <v>272</v>
      </c>
      <c r="R18" s="23" t="s">
        <v>52</v>
      </c>
      <c r="S18" s="69">
        <v>7</v>
      </c>
      <c r="T18" s="81" t="s">
        <v>264</v>
      </c>
      <c r="U18" s="81" t="s">
        <v>265</v>
      </c>
    </row>
    <row r="19" spans="2:21" ht="15.75" x14ac:dyDescent="0.25">
      <c r="B19" s="38">
        <v>5</v>
      </c>
      <c r="C19" s="23">
        <v>3523</v>
      </c>
      <c r="D19" s="23" t="s">
        <v>277</v>
      </c>
      <c r="E19" s="23" t="s">
        <v>278</v>
      </c>
      <c r="F19" s="23" t="s">
        <v>52</v>
      </c>
      <c r="G19" s="69">
        <v>6.8</v>
      </c>
      <c r="H19" s="82" t="s">
        <v>264</v>
      </c>
      <c r="I19" s="82" t="s">
        <v>265</v>
      </c>
      <c r="J19" s="67"/>
      <c r="K19" s="67"/>
      <c r="L19" s="67"/>
      <c r="M19" s="67"/>
      <c r="N19" s="38">
        <v>5</v>
      </c>
      <c r="O19" s="23">
        <v>5386</v>
      </c>
      <c r="P19" s="23">
        <v>31.5</v>
      </c>
      <c r="Q19" s="23">
        <v>198</v>
      </c>
      <c r="R19" s="23" t="s">
        <v>52</v>
      </c>
      <c r="S19" s="69">
        <v>6.85</v>
      </c>
      <c r="T19" s="69" t="s">
        <v>262</v>
      </c>
      <c r="U19" s="69" t="s">
        <v>262</v>
      </c>
    </row>
    <row r="20" spans="2:21" ht="15.75" x14ac:dyDescent="0.25">
      <c r="B20" s="38">
        <v>6</v>
      </c>
      <c r="C20" s="23">
        <v>3504</v>
      </c>
      <c r="D20" s="23">
        <v>12.2</v>
      </c>
      <c r="E20" s="23">
        <v>21.9</v>
      </c>
      <c r="F20" s="23" t="s">
        <v>52</v>
      </c>
      <c r="G20" s="69">
        <v>6.8</v>
      </c>
      <c r="H20" s="69" t="s">
        <v>262</v>
      </c>
      <c r="I20" s="69" t="s">
        <v>262</v>
      </c>
      <c r="J20" s="67"/>
      <c r="K20" s="67"/>
      <c r="L20" s="67"/>
      <c r="M20" s="67"/>
      <c r="N20" s="38">
        <v>6</v>
      </c>
      <c r="O20" s="23">
        <v>5387</v>
      </c>
      <c r="P20" s="23" t="s">
        <v>273</v>
      </c>
      <c r="Q20" s="23" t="s">
        <v>274</v>
      </c>
      <c r="R20" s="23" t="s">
        <v>52</v>
      </c>
      <c r="S20" s="69">
        <v>6.95</v>
      </c>
      <c r="T20" s="81" t="s">
        <v>264</v>
      </c>
      <c r="U20" s="81" t="s">
        <v>265</v>
      </c>
    </row>
    <row r="21" spans="2:21" ht="15.75" x14ac:dyDescent="0.25">
      <c r="B21" s="70"/>
      <c r="C21" s="21"/>
      <c r="D21" s="21"/>
      <c r="E21" s="21"/>
      <c r="F21" s="21"/>
      <c r="G21" s="71"/>
      <c r="H21" s="71"/>
      <c r="I21" s="71"/>
      <c r="J21" s="67"/>
      <c r="K21" s="67"/>
      <c r="L21" s="67"/>
      <c r="M21" s="67"/>
      <c r="N21" s="38"/>
      <c r="O21" s="23"/>
      <c r="P21" s="23"/>
      <c r="Q21" s="23"/>
      <c r="R21" s="23"/>
      <c r="S21" s="69"/>
      <c r="T21" s="69"/>
      <c r="U21" s="69"/>
    </row>
    <row r="22" spans="2:21" ht="15.75" x14ac:dyDescent="0.25">
      <c r="B22" s="70"/>
      <c r="C22" s="21"/>
      <c r="D22" s="21"/>
      <c r="E22" s="21"/>
      <c r="F22" s="21"/>
      <c r="G22" s="71"/>
      <c r="H22" s="71"/>
      <c r="I22" s="71"/>
      <c r="J22" s="67"/>
      <c r="K22" s="67"/>
      <c r="L22" s="67"/>
      <c r="M22" s="67"/>
      <c r="N22" s="72"/>
      <c r="O22" s="72"/>
      <c r="P22" s="72"/>
      <c r="Q22" s="72"/>
      <c r="R22" s="72"/>
      <c r="S22" s="72"/>
      <c r="T22" s="72"/>
      <c r="U22" s="72"/>
    </row>
    <row r="23" spans="2:21" ht="15.75" x14ac:dyDescent="0.25">
      <c r="B23" s="67"/>
      <c r="C23" s="67"/>
      <c r="D23" s="67"/>
      <c r="E23" s="67"/>
      <c r="F23" s="67"/>
      <c r="G23" s="67"/>
      <c r="H23" s="67"/>
      <c r="I23" s="67"/>
      <c r="J23" s="67"/>
      <c r="K23" s="67"/>
      <c r="L23" s="67"/>
      <c r="M23" s="67"/>
      <c r="N23" s="38" t="s">
        <v>48</v>
      </c>
      <c r="O23" s="38" t="s">
        <v>174</v>
      </c>
      <c r="P23" s="38" t="s">
        <v>241</v>
      </c>
      <c r="Q23" s="38" t="s">
        <v>242</v>
      </c>
      <c r="R23" s="38" t="s">
        <v>243</v>
      </c>
      <c r="S23" s="38" t="s">
        <v>263</v>
      </c>
      <c r="T23" s="68" t="s">
        <v>244</v>
      </c>
      <c r="U23" s="68" t="s">
        <v>54</v>
      </c>
    </row>
    <row r="24" spans="2:21" ht="15.75" x14ac:dyDescent="0.25">
      <c r="B24" s="67"/>
      <c r="C24" s="67"/>
      <c r="D24" s="67"/>
      <c r="E24" s="67"/>
      <c r="F24" s="67"/>
      <c r="G24" s="67"/>
      <c r="H24" s="67"/>
      <c r="I24" s="67"/>
      <c r="J24" s="67"/>
      <c r="K24" s="67"/>
      <c r="L24" s="67"/>
      <c r="M24" s="67"/>
      <c r="N24" s="38">
        <v>1</v>
      </c>
      <c r="O24" s="23">
        <v>5409</v>
      </c>
      <c r="P24" s="23">
        <v>61.7</v>
      </c>
      <c r="Q24" s="23">
        <v>208.3</v>
      </c>
      <c r="R24" s="69" t="s">
        <v>52</v>
      </c>
      <c r="S24" s="69">
        <v>7</v>
      </c>
      <c r="T24" s="81" t="s">
        <v>264</v>
      </c>
      <c r="U24" s="81" t="s">
        <v>265</v>
      </c>
    </row>
    <row r="25" spans="2:21" ht="15.75" customHeight="1" x14ac:dyDescent="0.3">
      <c r="B25" s="78" t="s">
        <v>260</v>
      </c>
      <c r="C25" s="79"/>
      <c r="D25" s="79"/>
      <c r="E25" s="79"/>
      <c r="F25" s="79"/>
      <c r="G25" s="79"/>
      <c r="H25" s="79"/>
      <c r="I25" s="79"/>
      <c r="J25" s="79"/>
      <c r="K25" s="79"/>
      <c r="L25" s="73"/>
      <c r="M25" s="67"/>
      <c r="N25" s="38">
        <v>2</v>
      </c>
      <c r="O25" s="23">
        <v>5410</v>
      </c>
      <c r="P25" s="23">
        <v>11.4</v>
      </c>
      <c r="Q25" s="23">
        <v>20.2</v>
      </c>
      <c r="R25" s="69" t="s">
        <v>52</v>
      </c>
      <c r="S25" s="69">
        <v>7.1</v>
      </c>
      <c r="T25" s="69" t="s">
        <v>262</v>
      </c>
      <c r="U25" s="69" t="s">
        <v>262</v>
      </c>
    </row>
    <row r="26" spans="2:21" ht="15.75" x14ac:dyDescent="0.25">
      <c r="B26" s="67"/>
      <c r="C26" s="67"/>
      <c r="D26" s="67"/>
      <c r="E26" s="67"/>
      <c r="F26" s="67"/>
      <c r="G26" s="67"/>
      <c r="H26" s="67"/>
      <c r="I26" s="67"/>
      <c r="J26" s="67"/>
      <c r="K26" s="67"/>
      <c r="L26" s="67"/>
      <c r="M26" s="67"/>
      <c r="N26" s="38">
        <v>3</v>
      </c>
      <c r="O26" s="23">
        <v>5241</v>
      </c>
      <c r="P26" s="23">
        <v>10.9</v>
      </c>
      <c r="Q26" s="23">
        <v>23.6</v>
      </c>
      <c r="R26" s="69" t="s">
        <v>52</v>
      </c>
      <c r="S26" s="69">
        <v>7.1</v>
      </c>
      <c r="T26" s="69" t="s">
        <v>262</v>
      </c>
      <c r="U26" s="69" t="s">
        <v>262</v>
      </c>
    </row>
    <row r="27" spans="2:21" ht="15.75" customHeight="1" x14ac:dyDescent="0.3">
      <c r="B27" s="73" t="s">
        <v>261</v>
      </c>
      <c r="C27" s="73"/>
      <c r="D27" s="73"/>
      <c r="E27" s="73"/>
      <c r="F27" s="73"/>
      <c r="G27" s="73"/>
      <c r="H27" s="73"/>
      <c r="I27" s="67"/>
      <c r="J27" s="67"/>
      <c r="K27" s="67"/>
      <c r="L27" s="67"/>
      <c r="M27" s="67"/>
      <c r="N27" s="38">
        <v>4</v>
      </c>
      <c r="O27" s="23">
        <v>5161</v>
      </c>
      <c r="P27" s="23" t="s">
        <v>267</v>
      </c>
      <c r="Q27" s="23" t="s">
        <v>268</v>
      </c>
      <c r="R27" s="69" t="s">
        <v>52</v>
      </c>
      <c r="S27" s="69">
        <v>7</v>
      </c>
      <c r="T27" s="81" t="s">
        <v>264</v>
      </c>
      <c r="U27" s="81" t="s">
        <v>265</v>
      </c>
    </row>
    <row r="28" spans="2:21" ht="15.75" customHeight="1" x14ac:dyDescent="0.3">
      <c r="B28" s="73"/>
      <c r="C28" s="73"/>
      <c r="D28" s="73"/>
      <c r="E28" s="73"/>
      <c r="F28" s="73"/>
      <c r="G28" s="73"/>
      <c r="H28" s="73"/>
      <c r="I28" s="67"/>
      <c r="J28" s="67"/>
      <c r="K28" s="67"/>
      <c r="L28" s="67"/>
      <c r="M28" s="67"/>
      <c r="N28" s="38">
        <v>5</v>
      </c>
      <c r="O28" s="23">
        <v>5154</v>
      </c>
      <c r="P28" s="23">
        <v>990</v>
      </c>
      <c r="Q28" s="23" t="s">
        <v>266</v>
      </c>
      <c r="R28" s="69" t="s">
        <v>52</v>
      </c>
      <c r="S28" s="69">
        <v>7.1</v>
      </c>
      <c r="T28" s="80" t="s">
        <v>265</v>
      </c>
      <c r="U28" s="80" t="s">
        <v>265</v>
      </c>
    </row>
    <row r="29" spans="2:21" ht="15.75" x14ac:dyDescent="0.25">
      <c r="B29" s="67"/>
      <c r="C29" s="67"/>
      <c r="D29" s="67"/>
      <c r="E29" s="67"/>
      <c r="F29" s="67"/>
      <c r="G29" s="67"/>
      <c r="H29" s="67"/>
      <c r="I29" s="67"/>
      <c r="J29" s="67"/>
      <c r="K29" s="67"/>
      <c r="L29" s="67"/>
      <c r="M29" s="67"/>
      <c r="N29" s="38">
        <v>6</v>
      </c>
      <c r="O29" s="23">
        <v>5244</v>
      </c>
      <c r="P29" s="23" t="s">
        <v>269</v>
      </c>
      <c r="Q29" s="23" t="s">
        <v>270</v>
      </c>
      <c r="R29" s="69" t="s">
        <v>52</v>
      </c>
      <c r="S29" s="69">
        <v>7.7</v>
      </c>
      <c r="T29" s="81" t="s">
        <v>264</v>
      </c>
      <c r="U29" s="81" t="s">
        <v>265</v>
      </c>
    </row>
    <row r="30" spans="2:21" ht="15.75" x14ac:dyDescent="0.25">
      <c r="B30" s="67"/>
      <c r="C30" s="67"/>
      <c r="D30" s="67"/>
      <c r="E30" s="67"/>
      <c r="F30" s="67"/>
      <c r="G30" s="67"/>
      <c r="H30" s="67"/>
      <c r="I30" s="67"/>
      <c r="J30" s="67"/>
      <c r="K30" s="67"/>
      <c r="L30" s="67"/>
      <c r="M30" s="67"/>
      <c r="N30" s="38"/>
      <c r="O30" s="23"/>
      <c r="P30" s="23"/>
      <c r="Q30" s="23"/>
      <c r="R30" s="23"/>
      <c r="S30" s="69"/>
      <c r="T30" s="69"/>
      <c r="U30" s="69"/>
    </row>
    <row r="31" spans="2:21" ht="15.75" x14ac:dyDescent="0.25">
      <c r="B31" s="67"/>
      <c r="C31" s="67"/>
      <c r="D31" s="67"/>
      <c r="E31" s="67"/>
      <c r="F31" s="67"/>
      <c r="G31" s="67"/>
      <c r="H31" s="67"/>
      <c r="I31" s="67"/>
      <c r="J31" s="67"/>
      <c r="K31" s="67"/>
      <c r="L31" s="67"/>
      <c r="M31" s="67"/>
      <c r="N31" s="38"/>
      <c r="O31" s="23"/>
      <c r="P31" s="23"/>
      <c r="Q31" s="23"/>
      <c r="R31" s="23"/>
      <c r="S31" s="69"/>
      <c r="T31" s="69"/>
      <c r="U31" s="69"/>
    </row>
    <row r="32" spans="2:21" ht="15.75" x14ac:dyDescent="0.25">
      <c r="B32" s="67"/>
      <c r="C32" s="67"/>
      <c r="D32" s="67"/>
      <c r="E32" s="67"/>
      <c r="F32" s="67"/>
      <c r="G32" s="67"/>
      <c r="H32" s="67"/>
      <c r="I32" s="67"/>
      <c r="J32" s="67"/>
      <c r="K32" s="67"/>
      <c r="L32" s="67"/>
      <c r="M32" s="67"/>
      <c r="N32" s="38" t="s">
        <v>49</v>
      </c>
      <c r="O32" s="38" t="s">
        <v>174</v>
      </c>
      <c r="P32" s="38" t="s">
        <v>241</v>
      </c>
      <c r="Q32" s="38" t="s">
        <v>242</v>
      </c>
      <c r="R32" s="38" t="s">
        <v>243</v>
      </c>
      <c r="S32" s="38" t="s">
        <v>263</v>
      </c>
      <c r="T32" s="68" t="s">
        <v>244</v>
      </c>
      <c r="U32" s="68" t="s">
        <v>54</v>
      </c>
    </row>
    <row r="33" spans="2:27" ht="15.75" x14ac:dyDescent="0.25">
      <c r="B33" s="67"/>
      <c r="C33" s="67"/>
      <c r="D33" s="67"/>
      <c r="E33" s="67"/>
      <c r="F33" s="67"/>
      <c r="G33" s="67"/>
      <c r="H33" s="67"/>
      <c r="I33" s="67"/>
      <c r="J33" s="67"/>
      <c r="K33" s="67"/>
      <c r="L33" s="67"/>
      <c r="M33" s="67"/>
      <c r="N33" s="38">
        <v>1</v>
      </c>
      <c r="O33" s="23">
        <v>5255</v>
      </c>
      <c r="P33" s="23">
        <v>14</v>
      </c>
      <c r="Q33" s="23">
        <v>45.6</v>
      </c>
      <c r="R33" s="23" t="s">
        <v>52</v>
      </c>
      <c r="S33" s="69">
        <v>7.6</v>
      </c>
      <c r="T33" s="69" t="s">
        <v>262</v>
      </c>
      <c r="U33" s="69" t="s">
        <v>262</v>
      </c>
    </row>
    <row r="34" spans="2:27" ht="15.75" x14ac:dyDescent="0.25">
      <c r="B34" s="67"/>
      <c r="C34" s="67"/>
      <c r="D34" s="67"/>
      <c r="E34" s="67"/>
      <c r="F34" s="67"/>
      <c r="G34" s="67"/>
      <c r="H34" s="67"/>
      <c r="I34" s="67"/>
      <c r="J34" s="67"/>
      <c r="K34" s="67"/>
      <c r="L34" s="67"/>
      <c r="M34" s="67"/>
      <c r="N34" s="38">
        <v>2</v>
      </c>
      <c r="O34" s="23">
        <v>5407</v>
      </c>
      <c r="P34" s="23">
        <v>19.2</v>
      </c>
      <c r="Q34" s="23">
        <v>41.8</v>
      </c>
      <c r="R34" s="23" t="s">
        <v>52</v>
      </c>
      <c r="S34" s="69">
        <v>7</v>
      </c>
      <c r="T34" s="69" t="s">
        <v>262</v>
      </c>
      <c r="U34" s="69" t="s">
        <v>262</v>
      </c>
    </row>
    <row r="35" spans="2:27" ht="15.75" x14ac:dyDescent="0.25">
      <c r="B35" s="67"/>
      <c r="C35" s="67"/>
      <c r="D35" s="67"/>
      <c r="E35" s="67"/>
      <c r="F35" s="67"/>
      <c r="G35" s="67"/>
      <c r="H35" s="67"/>
      <c r="I35" s="67"/>
      <c r="J35" s="67"/>
      <c r="K35" s="67"/>
      <c r="L35" s="67"/>
      <c r="M35" s="67"/>
      <c r="N35" s="38">
        <v>3</v>
      </c>
      <c r="O35" s="23">
        <v>5253</v>
      </c>
      <c r="P35" s="23">
        <v>21.9</v>
      </c>
      <c r="Q35" s="23">
        <v>41.7</v>
      </c>
      <c r="R35" s="23" t="s">
        <v>52</v>
      </c>
      <c r="S35" s="69">
        <v>7</v>
      </c>
      <c r="T35" s="69" t="s">
        <v>262</v>
      </c>
      <c r="U35" s="69" t="s">
        <v>262</v>
      </c>
    </row>
    <row r="36" spans="2:27" ht="15.75" x14ac:dyDescent="0.25">
      <c r="B36" s="67"/>
      <c r="C36" s="67"/>
      <c r="D36" s="67"/>
      <c r="E36" s="67"/>
      <c r="F36" s="67"/>
      <c r="G36" s="67"/>
      <c r="H36" s="67"/>
      <c r="I36" s="67"/>
      <c r="J36" s="67"/>
      <c r="K36" s="67"/>
      <c r="L36" s="67"/>
      <c r="M36" s="67"/>
      <c r="N36" s="38">
        <v>4</v>
      </c>
      <c r="O36" s="23">
        <v>3634</v>
      </c>
      <c r="P36" s="23">
        <v>920</v>
      </c>
      <c r="Q36" s="23">
        <v>2700</v>
      </c>
      <c r="R36" s="1" t="s">
        <v>52</v>
      </c>
      <c r="S36" s="69">
        <v>7</v>
      </c>
      <c r="T36" s="80" t="s">
        <v>265</v>
      </c>
      <c r="U36" s="80" t="s">
        <v>265</v>
      </c>
    </row>
    <row r="37" spans="2:27" ht="15.75" x14ac:dyDescent="0.25">
      <c r="B37" s="67"/>
      <c r="C37" s="67"/>
      <c r="D37" s="67"/>
      <c r="E37" s="67"/>
      <c r="F37" s="67"/>
      <c r="G37" s="67"/>
      <c r="H37" s="67"/>
      <c r="I37" s="67"/>
      <c r="J37" s="67"/>
      <c r="K37" s="67"/>
      <c r="L37" s="67"/>
      <c r="M37" s="67"/>
      <c r="N37" s="38">
        <v>5</v>
      </c>
      <c r="O37" s="23">
        <v>5388</v>
      </c>
      <c r="P37" s="23">
        <v>20.7</v>
      </c>
      <c r="Q37" s="23">
        <v>37</v>
      </c>
      <c r="R37" s="23" t="s">
        <v>52</v>
      </c>
      <c r="S37" s="69">
        <v>7</v>
      </c>
      <c r="T37" s="69" t="s">
        <v>262</v>
      </c>
      <c r="U37" s="69" t="s">
        <v>262</v>
      </c>
    </row>
    <row r="38" spans="2:27" ht="15.75" x14ac:dyDescent="0.25">
      <c r="B38" s="67"/>
      <c r="C38" s="67"/>
      <c r="D38" s="67"/>
      <c r="E38" s="67"/>
      <c r="F38" s="67"/>
      <c r="G38" s="67"/>
      <c r="H38" s="67"/>
      <c r="I38" s="67"/>
      <c r="J38" s="67"/>
      <c r="K38" s="67"/>
      <c r="L38" s="67"/>
      <c r="M38" s="67"/>
      <c r="N38" s="38">
        <v>6</v>
      </c>
      <c r="O38" s="23">
        <v>5389</v>
      </c>
      <c r="P38" s="23">
        <v>25</v>
      </c>
      <c r="Q38" s="23">
        <v>124.5</v>
      </c>
      <c r="R38" s="23" t="s">
        <v>52</v>
      </c>
      <c r="S38" s="69">
        <v>7</v>
      </c>
      <c r="T38" s="69" t="s">
        <v>262</v>
      </c>
      <c r="U38" s="69" t="s">
        <v>262</v>
      </c>
    </row>
    <row r="39" spans="2:27" ht="15.75" x14ac:dyDescent="0.25">
      <c r="B39" s="67"/>
      <c r="C39" s="67"/>
      <c r="D39" s="67"/>
      <c r="E39" s="67"/>
      <c r="F39" s="67"/>
      <c r="G39" s="67"/>
      <c r="H39" s="67"/>
      <c r="I39" s="67"/>
      <c r="J39" s="67"/>
      <c r="K39" s="67"/>
      <c r="L39" s="67"/>
      <c r="M39" s="67"/>
      <c r="N39" s="67"/>
      <c r="O39" s="67"/>
      <c r="P39" s="67"/>
      <c r="Q39" s="67"/>
      <c r="R39" s="67"/>
      <c r="S39" s="67"/>
      <c r="T39" s="67"/>
      <c r="U39" s="67"/>
    </row>
    <row r="40" spans="2:27" ht="15.75" x14ac:dyDescent="0.25">
      <c r="B40" s="67"/>
      <c r="C40" s="67"/>
      <c r="D40" s="67"/>
      <c r="E40" s="67"/>
      <c r="F40" s="67"/>
      <c r="G40" s="67"/>
      <c r="H40" s="67"/>
      <c r="I40" s="67"/>
      <c r="J40" s="67"/>
      <c r="K40" s="67"/>
      <c r="L40" s="67"/>
      <c r="M40" s="67"/>
      <c r="N40" s="67"/>
      <c r="O40" s="67"/>
      <c r="P40" s="67"/>
      <c r="Q40" s="67"/>
      <c r="R40" s="67"/>
      <c r="S40" s="67"/>
      <c r="T40" s="67"/>
      <c r="U40" s="67"/>
    </row>
    <row r="41" spans="2:27" ht="15.75" x14ac:dyDescent="0.25">
      <c r="B41" s="67"/>
      <c r="C41" s="67"/>
      <c r="D41" s="67"/>
      <c r="E41" s="67"/>
      <c r="F41" s="67"/>
      <c r="G41" s="67"/>
      <c r="H41" s="67"/>
      <c r="I41" s="67"/>
      <c r="J41" s="67"/>
      <c r="K41" s="67"/>
      <c r="L41" s="67"/>
      <c r="M41" s="67"/>
      <c r="N41" s="67"/>
      <c r="O41" s="67"/>
      <c r="P41" s="67"/>
      <c r="Q41" s="67"/>
      <c r="R41" s="67"/>
      <c r="S41" s="67"/>
      <c r="T41" s="67"/>
      <c r="U41" s="67"/>
    </row>
    <row r="42" spans="2:27" ht="15.75" x14ac:dyDescent="0.25">
      <c r="B42" s="67"/>
      <c r="C42" s="67"/>
      <c r="D42" s="67"/>
      <c r="E42" s="67"/>
      <c r="F42" s="67"/>
      <c r="G42" s="67"/>
      <c r="H42" s="67"/>
      <c r="I42" s="67"/>
      <c r="J42" s="67"/>
      <c r="K42" s="67"/>
      <c r="L42" s="67"/>
      <c r="M42" s="67"/>
      <c r="N42" s="67"/>
      <c r="O42" s="67"/>
      <c r="P42" s="67"/>
      <c r="Q42" s="67"/>
      <c r="R42" s="67"/>
      <c r="S42" s="67"/>
      <c r="T42" s="67"/>
      <c r="U42" s="67"/>
    </row>
    <row r="43" spans="2:27" ht="15.75" x14ac:dyDescent="0.25">
      <c r="B43" s="67"/>
      <c r="C43" s="67"/>
      <c r="D43" s="67"/>
      <c r="E43" s="67"/>
      <c r="F43" s="67"/>
      <c r="G43" s="67"/>
      <c r="H43" s="67"/>
      <c r="I43" s="67"/>
      <c r="J43" s="67"/>
      <c r="K43" s="67"/>
      <c r="L43" s="67"/>
      <c r="M43" s="67"/>
      <c r="N43" s="67"/>
      <c r="O43" s="67"/>
      <c r="P43" s="67"/>
      <c r="Q43" s="67"/>
      <c r="R43" s="67"/>
      <c r="S43" s="67"/>
      <c r="T43" s="67"/>
      <c r="U43" s="67"/>
    </row>
    <row r="44" spans="2:27" ht="18.75" x14ac:dyDescent="0.25">
      <c r="B44" s="74" t="s">
        <v>247</v>
      </c>
      <c r="C44" s="77"/>
      <c r="D44" s="77"/>
      <c r="E44" s="77"/>
      <c r="F44" s="77"/>
      <c r="G44" s="77"/>
      <c r="H44" s="66"/>
      <c r="I44" s="66"/>
      <c r="J44" s="67"/>
      <c r="K44" s="67"/>
      <c r="L44" s="67"/>
      <c r="M44" s="67"/>
      <c r="N44" s="67"/>
      <c r="O44" s="67"/>
      <c r="P44" s="67"/>
      <c r="Q44" s="67"/>
      <c r="R44" s="67"/>
      <c r="S44" s="67"/>
      <c r="T44" s="67"/>
      <c r="U44" s="67"/>
    </row>
    <row r="45" spans="2:27" ht="15.75" x14ac:dyDescent="0.25">
      <c r="B45" s="67"/>
      <c r="C45" s="67"/>
      <c r="D45" s="67"/>
      <c r="E45" s="67"/>
      <c r="F45" s="67"/>
      <c r="G45" s="67"/>
      <c r="H45" s="67"/>
      <c r="I45" s="67"/>
      <c r="J45" s="67"/>
      <c r="K45" s="67"/>
      <c r="L45" s="67"/>
      <c r="M45" s="67"/>
      <c r="N45" s="67"/>
      <c r="O45" s="67"/>
      <c r="P45" s="67"/>
      <c r="Q45" s="67"/>
      <c r="R45" s="67"/>
      <c r="S45" s="67"/>
      <c r="T45" s="67"/>
      <c r="U45" s="67"/>
    </row>
    <row r="46" spans="2:27" ht="15.75" x14ac:dyDescent="0.25">
      <c r="B46" s="38" t="s">
        <v>248</v>
      </c>
      <c r="C46" s="38" t="s">
        <v>174</v>
      </c>
      <c r="D46" s="38" t="s">
        <v>241</v>
      </c>
      <c r="E46" s="38" t="s">
        <v>242</v>
      </c>
      <c r="F46" s="38" t="s">
        <v>243</v>
      </c>
      <c r="G46" s="38" t="s">
        <v>263</v>
      </c>
      <c r="H46" s="68" t="s">
        <v>244</v>
      </c>
      <c r="I46" s="68" t="s">
        <v>54</v>
      </c>
      <c r="J46" s="67"/>
      <c r="K46" s="38" t="s">
        <v>252</v>
      </c>
      <c r="L46" s="38" t="s">
        <v>174</v>
      </c>
      <c r="M46" s="38" t="s">
        <v>241</v>
      </c>
      <c r="N46" s="38" t="s">
        <v>242</v>
      </c>
      <c r="O46" s="38" t="s">
        <v>243</v>
      </c>
      <c r="P46" s="38" t="s">
        <v>263</v>
      </c>
      <c r="Q46" s="68" t="s">
        <v>244</v>
      </c>
      <c r="R46" s="68" t="s">
        <v>54</v>
      </c>
      <c r="S46" s="67"/>
      <c r="T46" s="38" t="s">
        <v>256</v>
      </c>
      <c r="U46" s="38" t="s">
        <v>174</v>
      </c>
      <c r="V46" s="38" t="s">
        <v>241</v>
      </c>
      <c r="W46" s="38" t="s">
        <v>242</v>
      </c>
      <c r="X46" s="38" t="s">
        <v>243</v>
      </c>
      <c r="Y46" s="38" t="s">
        <v>263</v>
      </c>
      <c r="Z46" s="68" t="s">
        <v>244</v>
      </c>
      <c r="AA46" s="68" t="s">
        <v>54</v>
      </c>
    </row>
    <row r="47" spans="2:27" ht="15.75" x14ac:dyDescent="0.25">
      <c r="B47" s="38">
        <v>1</v>
      </c>
      <c r="C47" s="23">
        <v>5272</v>
      </c>
      <c r="D47" s="23">
        <v>20.7</v>
      </c>
      <c r="E47" s="23">
        <v>50.4</v>
      </c>
      <c r="F47" s="69" t="s">
        <v>52</v>
      </c>
      <c r="G47" s="69">
        <v>6.9</v>
      </c>
      <c r="H47" s="69" t="s">
        <v>262</v>
      </c>
      <c r="I47" s="69" t="s">
        <v>262</v>
      </c>
      <c r="J47" s="67"/>
      <c r="K47" s="38">
        <v>1</v>
      </c>
      <c r="L47" s="23">
        <v>5658</v>
      </c>
      <c r="M47" s="23">
        <v>6.8</v>
      </c>
      <c r="N47" s="23">
        <v>20</v>
      </c>
      <c r="O47" s="69" t="s">
        <v>52</v>
      </c>
      <c r="P47" s="69">
        <v>7.6</v>
      </c>
      <c r="Q47" s="69" t="s">
        <v>262</v>
      </c>
      <c r="R47" s="69" t="s">
        <v>262</v>
      </c>
      <c r="S47" s="67"/>
      <c r="T47" s="38">
        <v>1</v>
      </c>
      <c r="U47" s="23">
        <v>5316</v>
      </c>
      <c r="V47" s="23">
        <v>8.3000000000000007</v>
      </c>
      <c r="W47" s="23">
        <v>31.2</v>
      </c>
      <c r="X47" s="69" t="s">
        <v>52</v>
      </c>
      <c r="Y47" s="69">
        <v>7.1</v>
      </c>
      <c r="Z47" s="69" t="s">
        <v>262</v>
      </c>
      <c r="AA47" s="69" t="s">
        <v>262</v>
      </c>
    </row>
    <row r="48" spans="2:27" ht="15.75" x14ac:dyDescent="0.25">
      <c r="B48" s="38">
        <v>2</v>
      </c>
      <c r="C48" s="23">
        <v>5292</v>
      </c>
      <c r="D48" s="23">
        <v>31</v>
      </c>
      <c r="E48" s="23">
        <v>221.3</v>
      </c>
      <c r="F48" s="69" t="s">
        <v>52</v>
      </c>
      <c r="G48" s="69">
        <v>6.9</v>
      </c>
      <c r="H48" s="69" t="s">
        <v>262</v>
      </c>
      <c r="I48" s="69" t="s">
        <v>262</v>
      </c>
      <c r="J48" s="67"/>
      <c r="K48" s="38">
        <v>2</v>
      </c>
      <c r="L48" s="23">
        <v>5657</v>
      </c>
      <c r="M48" s="23">
        <v>8.5</v>
      </c>
      <c r="N48" s="23">
        <v>34.200000000000003</v>
      </c>
      <c r="O48" s="69" t="s">
        <v>52</v>
      </c>
      <c r="P48" s="69">
        <v>7.5</v>
      </c>
      <c r="Q48" s="69" t="s">
        <v>262</v>
      </c>
      <c r="R48" s="69" t="s">
        <v>262</v>
      </c>
      <c r="S48" s="67"/>
      <c r="T48" s="38">
        <v>2</v>
      </c>
      <c r="U48" s="23">
        <v>5317</v>
      </c>
      <c r="V48" s="23">
        <v>5.9</v>
      </c>
      <c r="W48" s="23">
        <v>11.6</v>
      </c>
      <c r="X48" s="69" t="s">
        <v>52</v>
      </c>
      <c r="Y48" s="69">
        <v>7.3</v>
      </c>
      <c r="Z48" s="69" t="s">
        <v>262</v>
      </c>
      <c r="AA48" s="69" t="s">
        <v>262</v>
      </c>
    </row>
    <row r="49" spans="2:27" ht="15.75" x14ac:dyDescent="0.25">
      <c r="B49" s="38">
        <v>3</v>
      </c>
      <c r="C49" s="23">
        <v>5297</v>
      </c>
      <c r="D49" s="23">
        <v>7</v>
      </c>
      <c r="E49" s="23">
        <v>26.1</v>
      </c>
      <c r="F49" s="69" t="s">
        <v>52</v>
      </c>
      <c r="G49" s="69">
        <v>6.9</v>
      </c>
      <c r="H49" s="69" t="s">
        <v>262</v>
      </c>
      <c r="I49" s="69" t="s">
        <v>262</v>
      </c>
      <c r="J49" s="67"/>
      <c r="K49" s="38">
        <v>3</v>
      </c>
      <c r="L49" s="23">
        <v>5678</v>
      </c>
      <c r="M49" s="23">
        <v>6.1</v>
      </c>
      <c r="N49" s="23">
        <v>19.7</v>
      </c>
      <c r="O49" s="69" t="s">
        <v>52</v>
      </c>
      <c r="P49" s="69">
        <v>7.7</v>
      </c>
      <c r="Q49" s="69" t="s">
        <v>262</v>
      </c>
      <c r="R49" s="69" t="s">
        <v>262</v>
      </c>
      <c r="S49" s="67"/>
      <c r="T49" s="38">
        <v>3</v>
      </c>
      <c r="U49" s="23">
        <v>5315</v>
      </c>
      <c r="V49" s="23">
        <v>8.4</v>
      </c>
      <c r="W49" s="23">
        <v>17.399999999999999</v>
      </c>
      <c r="X49" s="69" t="s">
        <v>52</v>
      </c>
      <c r="Y49" s="69">
        <v>7</v>
      </c>
      <c r="Z49" s="69" t="s">
        <v>262</v>
      </c>
      <c r="AA49" s="69" t="s">
        <v>262</v>
      </c>
    </row>
    <row r="50" spans="2:27" ht="15.75" x14ac:dyDescent="0.25">
      <c r="B50" s="38">
        <v>4</v>
      </c>
      <c r="C50" s="23">
        <v>5271</v>
      </c>
      <c r="D50" s="23" t="s">
        <v>294</v>
      </c>
      <c r="E50" s="23" t="s">
        <v>296</v>
      </c>
      <c r="F50" s="69" t="s">
        <v>52</v>
      </c>
      <c r="G50" s="69">
        <v>7</v>
      </c>
      <c r="H50" s="81" t="s">
        <v>264</v>
      </c>
      <c r="I50" s="81" t="s">
        <v>265</v>
      </c>
      <c r="J50" s="67"/>
      <c r="K50" s="38">
        <v>4</v>
      </c>
      <c r="L50" s="23">
        <v>5680</v>
      </c>
      <c r="M50" s="23">
        <v>8.8000000000000007</v>
      </c>
      <c r="N50" s="23">
        <v>48.3</v>
      </c>
      <c r="O50" s="69" t="s">
        <v>52</v>
      </c>
      <c r="P50" s="69">
        <v>7.5</v>
      </c>
      <c r="Q50" s="69" t="s">
        <v>262</v>
      </c>
      <c r="R50" s="69" t="s">
        <v>262</v>
      </c>
      <c r="S50" s="67"/>
      <c r="T50" s="38">
        <v>4</v>
      </c>
      <c r="U50" s="23">
        <v>5339</v>
      </c>
      <c r="V50" s="23">
        <v>5.3</v>
      </c>
      <c r="W50" s="23">
        <v>16.2</v>
      </c>
      <c r="X50" s="69" t="s">
        <v>52</v>
      </c>
      <c r="Y50" s="69">
        <v>7</v>
      </c>
      <c r="Z50" s="69" t="s">
        <v>262</v>
      </c>
      <c r="AA50" s="69" t="s">
        <v>262</v>
      </c>
    </row>
    <row r="51" spans="2:27" ht="15.75" x14ac:dyDescent="0.25">
      <c r="B51" s="38">
        <v>5</v>
      </c>
      <c r="C51" s="23">
        <v>5301</v>
      </c>
      <c r="D51" s="23" t="s">
        <v>295</v>
      </c>
      <c r="E51" s="23" t="s">
        <v>297</v>
      </c>
      <c r="F51" s="69" t="s">
        <v>52</v>
      </c>
      <c r="G51" s="69">
        <v>7</v>
      </c>
      <c r="H51" s="81" t="s">
        <v>264</v>
      </c>
      <c r="I51" s="81" t="s">
        <v>265</v>
      </c>
      <c r="J51" s="67"/>
      <c r="K51" s="38">
        <v>5</v>
      </c>
      <c r="L51" s="23">
        <v>5656</v>
      </c>
      <c r="M51" s="23">
        <v>16.2</v>
      </c>
      <c r="N51" s="23">
        <v>67.400000000000006</v>
      </c>
      <c r="O51" s="69" t="s">
        <v>52</v>
      </c>
      <c r="P51" s="69">
        <v>7.6</v>
      </c>
      <c r="Q51" s="69" t="s">
        <v>262</v>
      </c>
      <c r="R51" s="69" t="s">
        <v>262</v>
      </c>
      <c r="S51" s="67"/>
      <c r="T51" s="38">
        <v>5</v>
      </c>
      <c r="U51" s="23">
        <v>5338</v>
      </c>
      <c r="V51" s="23">
        <v>7.9</v>
      </c>
      <c r="W51" s="23">
        <v>16.2</v>
      </c>
      <c r="X51" s="69" t="s">
        <v>52</v>
      </c>
      <c r="Y51" s="69">
        <v>7.1</v>
      </c>
      <c r="Z51" s="69" t="s">
        <v>262</v>
      </c>
      <c r="AA51" s="69" t="s">
        <v>262</v>
      </c>
    </row>
    <row r="52" spans="2:27" ht="15.75" x14ac:dyDescent="0.25">
      <c r="B52" s="38">
        <v>6</v>
      </c>
      <c r="C52" s="23">
        <v>5293</v>
      </c>
      <c r="D52" s="23">
        <v>27.4</v>
      </c>
      <c r="E52" s="23">
        <v>78.8</v>
      </c>
      <c r="F52" s="69" t="s">
        <v>52</v>
      </c>
      <c r="G52" s="69">
        <v>6.85</v>
      </c>
      <c r="H52" s="81" t="s">
        <v>264</v>
      </c>
      <c r="I52" s="81" t="s">
        <v>265</v>
      </c>
      <c r="J52" s="67"/>
      <c r="K52" s="38">
        <v>6</v>
      </c>
      <c r="L52" s="23">
        <v>5681</v>
      </c>
      <c r="M52" s="23">
        <v>5.5</v>
      </c>
      <c r="N52" s="23">
        <v>11</v>
      </c>
      <c r="O52" s="69" t="s">
        <v>52</v>
      </c>
      <c r="P52" s="69">
        <v>7.65</v>
      </c>
      <c r="Q52" s="69" t="s">
        <v>262</v>
      </c>
      <c r="R52" s="69" t="s">
        <v>262</v>
      </c>
      <c r="S52" s="67"/>
      <c r="T52" s="38">
        <v>6</v>
      </c>
      <c r="U52" s="23">
        <v>5337</v>
      </c>
      <c r="V52" s="23">
        <v>6.2</v>
      </c>
      <c r="W52" s="23">
        <v>15.7</v>
      </c>
      <c r="X52" s="69" t="s">
        <v>52</v>
      </c>
      <c r="Y52" s="69">
        <v>7.1</v>
      </c>
      <c r="Z52" s="69" t="s">
        <v>262</v>
      </c>
      <c r="AA52" s="69" t="s">
        <v>262</v>
      </c>
    </row>
    <row r="53" spans="2:27" ht="15.75" x14ac:dyDescent="0.25">
      <c r="B53" s="38"/>
      <c r="C53" s="23"/>
      <c r="D53" s="23"/>
      <c r="E53" s="23"/>
      <c r="F53" s="23"/>
      <c r="G53" s="69"/>
      <c r="H53" s="69"/>
      <c r="I53" s="69"/>
      <c r="J53" s="67"/>
      <c r="K53" s="38"/>
      <c r="L53" s="23"/>
      <c r="M53" s="23"/>
      <c r="N53" s="23"/>
      <c r="O53" s="23"/>
      <c r="P53" s="69"/>
      <c r="Q53" s="69"/>
      <c r="R53" s="69"/>
      <c r="S53" s="67"/>
      <c r="T53" s="38"/>
      <c r="U53" s="23"/>
      <c r="V53" s="23"/>
      <c r="W53" s="23"/>
      <c r="X53" s="23"/>
      <c r="Y53" s="69"/>
      <c r="Z53" s="69"/>
      <c r="AA53" s="69"/>
    </row>
    <row r="54" spans="2:27" ht="15.75" x14ac:dyDescent="0.25">
      <c r="B54" s="38"/>
      <c r="C54" s="23"/>
      <c r="D54" s="23"/>
      <c r="E54" s="23"/>
      <c r="F54" s="23"/>
      <c r="G54" s="69"/>
      <c r="H54" s="69"/>
      <c r="I54" s="69"/>
      <c r="J54" s="67"/>
      <c r="K54" s="38"/>
      <c r="L54" s="23"/>
      <c r="M54" s="23"/>
      <c r="N54" s="23"/>
      <c r="O54" s="23"/>
      <c r="P54" s="69"/>
      <c r="Q54" s="69"/>
      <c r="R54" s="69"/>
      <c r="S54" s="67"/>
      <c r="T54" s="38"/>
      <c r="U54" s="23"/>
      <c r="V54" s="23"/>
      <c r="W54" s="23"/>
      <c r="X54" s="23"/>
      <c r="Y54" s="69"/>
      <c r="Z54" s="69"/>
      <c r="AA54" s="69"/>
    </row>
    <row r="55" spans="2:27" ht="15.75" x14ac:dyDescent="0.25">
      <c r="B55" s="38" t="s">
        <v>249</v>
      </c>
      <c r="C55" s="38" t="s">
        <v>174</v>
      </c>
      <c r="D55" s="38" t="s">
        <v>241</v>
      </c>
      <c r="E55" s="38" t="s">
        <v>242</v>
      </c>
      <c r="F55" s="38" t="s">
        <v>243</v>
      </c>
      <c r="G55" s="38" t="s">
        <v>263</v>
      </c>
      <c r="H55" s="68" t="s">
        <v>244</v>
      </c>
      <c r="I55" s="68" t="s">
        <v>54</v>
      </c>
      <c r="J55" s="67"/>
      <c r="K55" s="38" t="s">
        <v>253</v>
      </c>
      <c r="L55" s="38" t="s">
        <v>174</v>
      </c>
      <c r="M55" s="38" t="s">
        <v>241</v>
      </c>
      <c r="N55" s="38" t="s">
        <v>242</v>
      </c>
      <c r="O55" s="38" t="s">
        <v>243</v>
      </c>
      <c r="P55" s="38" t="s">
        <v>263</v>
      </c>
      <c r="Q55" s="68" t="s">
        <v>244</v>
      </c>
      <c r="R55" s="68" t="s">
        <v>54</v>
      </c>
      <c r="S55" s="67"/>
      <c r="T55" s="38" t="s">
        <v>257</v>
      </c>
      <c r="U55" s="38" t="s">
        <v>174</v>
      </c>
      <c r="V55" s="38" t="s">
        <v>241</v>
      </c>
      <c r="W55" s="38" t="s">
        <v>242</v>
      </c>
      <c r="X55" s="38" t="s">
        <v>243</v>
      </c>
      <c r="Y55" s="38" t="s">
        <v>263</v>
      </c>
      <c r="Z55" s="68" t="s">
        <v>244</v>
      </c>
      <c r="AA55" s="68" t="s">
        <v>54</v>
      </c>
    </row>
    <row r="56" spans="2:27" ht="15.75" x14ac:dyDescent="0.25">
      <c r="B56" s="38">
        <v>1</v>
      </c>
      <c r="C56" s="23">
        <v>5249</v>
      </c>
      <c r="D56" s="23">
        <v>4.7</v>
      </c>
      <c r="E56" s="23">
        <v>9.8000000000000007</v>
      </c>
      <c r="F56" s="69" t="s">
        <v>52</v>
      </c>
      <c r="G56" s="69">
        <v>7</v>
      </c>
      <c r="H56" s="69" t="s">
        <v>262</v>
      </c>
      <c r="I56" s="69" t="s">
        <v>262</v>
      </c>
      <c r="J56" s="67"/>
      <c r="K56" s="38">
        <v>1</v>
      </c>
      <c r="L56" s="23">
        <v>5341</v>
      </c>
      <c r="M56" s="23">
        <v>6.5</v>
      </c>
      <c r="N56" s="23">
        <v>16.3</v>
      </c>
      <c r="O56" s="69" t="s">
        <v>52</v>
      </c>
      <c r="P56" s="69">
        <v>7</v>
      </c>
      <c r="Q56" s="69" t="s">
        <v>262</v>
      </c>
      <c r="R56" s="69" t="s">
        <v>262</v>
      </c>
      <c r="S56" s="67"/>
      <c r="T56" s="38">
        <v>1</v>
      </c>
      <c r="U56" s="23">
        <v>5275</v>
      </c>
      <c r="V56" s="23">
        <v>4.5</v>
      </c>
      <c r="W56" s="23">
        <v>8.1</v>
      </c>
      <c r="X56" s="69" t="s">
        <v>52</v>
      </c>
      <c r="Y56" s="69">
        <v>7.2</v>
      </c>
      <c r="Z56" s="69" t="s">
        <v>262</v>
      </c>
      <c r="AA56" s="69" t="s">
        <v>262</v>
      </c>
    </row>
    <row r="57" spans="2:27" ht="15.75" x14ac:dyDescent="0.25">
      <c r="B57" s="38">
        <v>2</v>
      </c>
      <c r="C57" s="23">
        <v>5186</v>
      </c>
      <c r="D57" s="23">
        <v>6.4</v>
      </c>
      <c r="E57" s="23">
        <v>14.1</v>
      </c>
      <c r="F57" s="69" t="s">
        <v>52</v>
      </c>
      <c r="G57" s="69">
        <v>6.9</v>
      </c>
      <c r="H57" s="69" t="s">
        <v>262</v>
      </c>
      <c r="I57" s="69" t="s">
        <v>262</v>
      </c>
      <c r="J57" s="67"/>
      <c r="K57" s="38">
        <v>2</v>
      </c>
      <c r="L57" s="23">
        <v>5273</v>
      </c>
      <c r="M57" s="23">
        <v>89.5</v>
      </c>
      <c r="N57" s="23">
        <v>878</v>
      </c>
      <c r="O57" s="69" t="s">
        <v>52</v>
      </c>
      <c r="P57" s="69">
        <v>7</v>
      </c>
      <c r="Q57" s="81" t="s">
        <v>264</v>
      </c>
      <c r="R57" s="81" t="s">
        <v>265</v>
      </c>
      <c r="S57" s="67"/>
      <c r="T57" s="38">
        <v>2</v>
      </c>
      <c r="U57" s="23">
        <v>5294</v>
      </c>
      <c r="V57" s="23" t="s">
        <v>298</v>
      </c>
      <c r="W57" s="23" t="s">
        <v>299</v>
      </c>
      <c r="X57" s="69" t="s">
        <v>52</v>
      </c>
      <c r="Y57" s="69">
        <v>7</v>
      </c>
      <c r="Z57" s="81" t="s">
        <v>264</v>
      </c>
      <c r="AA57" s="81" t="s">
        <v>265</v>
      </c>
    </row>
    <row r="58" spans="2:27" ht="15.75" x14ac:dyDescent="0.25">
      <c r="B58" s="38">
        <v>3</v>
      </c>
      <c r="C58" s="23">
        <v>5296</v>
      </c>
      <c r="D58" s="23">
        <v>6.8</v>
      </c>
      <c r="E58" s="23">
        <v>17.5</v>
      </c>
      <c r="F58" s="69" t="s">
        <v>52</v>
      </c>
      <c r="G58" s="69">
        <v>6.9</v>
      </c>
      <c r="H58" s="69" t="s">
        <v>262</v>
      </c>
      <c r="I58" s="69" t="s">
        <v>262</v>
      </c>
      <c r="J58" s="67"/>
      <c r="K58" s="38">
        <v>3</v>
      </c>
      <c r="L58" s="23">
        <v>5279</v>
      </c>
      <c r="M58" s="23">
        <v>28.6</v>
      </c>
      <c r="N58" s="23">
        <v>41.1</v>
      </c>
      <c r="O58" s="69" t="s">
        <v>52</v>
      </c>
      <c r="P58" s="69">
        <v>7</v>
      </c>
      <c r="Q58" s="81" t="s">
        <v>264</v>
      </c>
      <c r="R58" s="81" t="s">
        <v>265</v>
      </c>
      <c r="S58" s="67"/>
      <c r="T58" s="38">
        <v>3</v>
      </c>
      <c r="U58" s="23">
        <v>5268</v>
      </c>
      <c r="V58" s="23">
        <v>16.100000000000001</v>
      </c>
      <c r="W58" s="23">
        <v>31.2</v>
      </c>
      <c r="X58" s="69" t="s">
        <v>52</v>
      </c>
      <c r="Y58" s="69">
        <v>6.9</v>
      </c>
      <c r="Z58" s="69" t="s">
        <v>262</v>
      </c>
      <c r="AA58" s="69" t="s">
        <v>262</v>
      </c>
    </row>
    <row r="59" spans="2:27" ht="15.75" x14ac:dyDescent="0.25">
      <c r="B59" s="38">
        <v>4</v>
      </c>
      <c r="C59" s="23">
        <v>5280</v>
      </c>
      <c r="D59" s="23">
        <v>24.9</v>
      </c>
      <c r="E59" s="23">
        <v>36.5</v>
      </c>
      <c r="F59" s="69" t="s">
        <v>52</v>
      </c>
      <c r="G59" s="69">
        <v>6.9</v>
      </c>
      <c r="H59" s="81" t="s">
        <v>264</v>
      </c>
      <c r="I59" s="81" t="s">
        <v>265</v>
      </c>
      <c r="J59" s="67"/>
      <c r="K59" s="38">
        <v>4</v>
      </c>
      <c r="L59" s="23">
        <v>5340</v>
      </c>
      <c r="M59" s="23">
        <v>7.1</v>
      </c>
      <c r="N59" s="23">
        <v>17.600000000000001</v>
      </c>
      <c r="O59" s="69" t="s">
        <v>52</v>
      </c>
      <c r="P59" s="69">
        <v>7.2</v>
      </c>
      <c r="Q59" s="69" t="s">
        <v>262</v>
      </c>
      <c r="R59" s="69" t="s">
        <v>262</v>
      </c>
      <c r="S59" s="67"/>
      <c r="T59" s="38">
        <v>4</v>
      </c>
      <c r="U59" s="23">
        <v>5267</v>
      </c>
      <c r="V59" s="23">
        <v>21.4</v>
      </c>
      <c r="W59" s="23">
        <v>44</v>
      </c>
      <c r="X59" s="69" t="s">
        <v>52</v>
      </c>
      <c r="Y59" s="69">
        <v>6.9</v>
      </c>
      <c r="Z59" s="69" t="s">
        <v>262</v>
      </c>
      <c r="AA59" s="69" t="s">
        <v>262</v>
      </c>
    </row>
    <row r="60" spans="2:27" ht="15.75" x14ac:dyDescent="0.25">
      <c r="B60" s="38">
        <v>5</v>
      </c>
      <c r="C60" s="23">
        <v>5284</v>
      </c>
      <c r="D60" s="23" t="s">
        <v>293</v>
      </c>
      <c r="E60" s="23">
        <v>1048</v>
      </c>
      <c r="F60" s="69" t="s">
        <v>52</v>
      </c>
      <c r="G60" s="69">
        <v>6.8</v>
      </c>
      <c r="H60" s="81" t="s">
        <v>264</v>
      </c>
      <c r="I60" s="81" t="s">
        <v>265</v>
      </c>
      <c r="J60" s="67"/>
      <c r="K60" s="38">
        <v>5</v>
      </c>
      <c r="L60" s="23">
        <v>5342</v>
      </c>
      <c r="M60" s="23">
        <v>4.9000000000000004</v>
      </c>
      <c r="N60" s="23">
        <v>9.6999999999999993</v>
      </c>
      <c r="O60" s="69" t="s">
        <v>52</v>
      </c>
      <c r="P60" s="69">
        <v>6.95</v>
      </c>
      <c r="Q60" s="69" t="s">
        <v>262</v>
      </c>
      <c r="R60" s="69" t="s">
        <v>262</v>
      </c>
      <c r="S60" s="67"/>
      <c r="T60" s="38">
        <v>5</v>
      </c>
      <c r="U60" s="23">
        <v>5290</v>
      </c>
      <c r="V60" s="23">
        <v>4.5</v>
      </c>
      <c r="W60" s="23">
        <v>13</v>
      </c>
      <c r="X60" s="69" t="s">
        <v>52</v>
      </c>
      <c r="Y60" s="69">
        <v>6.9</v>
      </c>
      <c r="Z60" s="69" t="s">
        <v>262</v>
      </c>
      <c r="AA60" s="69" t="s">
        <v>262</v>
      </c>
    </row>
    <row r="61" spans="2:27" ht="15.75" x14ac:dyDescent="0.25">
      <c r="B61" s="38">
        <v>6</v>
      </c>
      <c r="C61" s="23">
        <v>5299</v>
      </c>
      <c r="D61" s="23">
        <v>16.899999999999999</v>
      </c>
      <c r="E61" s="23">
        <v>36.700000000000003</v>
      </c>
      <c r="F61" s="69" t="s">
        <v>52</v>
      </c>
      <c r="G61" s="69">
        <v>7</v>
      </c>
      <c r="H61" s="69" t="s">
        <v>262</v>
      </c>
      <c r="I61" s="69" t="s">
        <v>262</v>
      </c>
      <c r="J61" s="67"/>
      <c r="K61" s="38">
        <v>6</v>
      </c>
      <c r="L61" s="23">
        <v>5343</v>
      </c>
      <c r="M61" s="23">
        <v>4.4000000000000004</v>
      </c>
      <c r="N61" s="23">
        <v>8.8000000000000007</v>
      </c>
      <c r="O61" s="69" t="s">
        <v>52</v>
      </c>
      <c r="P61" s="69">
        <v>6.9</v>
      </c>
      <c r="Q61" s="69" t="s">
        <v>262</v>
      </c>
      <c r="R61" s="69" t="s">
        <v>262</v>
      </c>
      <c r="S61" s="67"/>
      <c r="T61" s="38">
        <v>6</v>
      </c>
      <c r="U61" s="23">
        <v>5298</v>
      </c>
      <c r="V61" s="23">
        <v>13.1</v>
      </c>
      <c r="W61" s="23">
        <v>23.3</v>
      </c>
      <c r="X61" s="69" t="s">
        <v>52</v>
      </c>
      <c r="Y61" s="69">
        <v>7.1</v>
      </c>
      <c r="Z61" s="69" t="s">
        <v>262</v>
      </c>
      <c r="AA61" s="69" t="s">
        <v>262</v>
      </c>
    </row>
    <row r="62" spans="2:27" ht="15.75" x14ac:dyDescent="0.25">
      <c r="B62" s="38"/>
      <c r="C62" s="23"/>
      <c r="D62" s="23"/>
      <c r="E62" s="23"/>
      <c r="F62" s="23"/>
      <c r="G62" s="69"/>
      <c r="H62" s="69"/>
      <c r="I62" s="69"/>
      <c r="J62" s="67"/>
      <c r="K62" s="38"/>
      <c r="L62" s="23"/>
      <c r="M62" s="23"/>
      <c r="N62" s="23"/>
      <c r="O62" s="23"/>
      <c r="P62" s="69"/>
      <c r="Q62" s="69"/>
      <c r="R62" s="69"/>
      <c r="S62" s="67"/>
      <c r="T62" s="38"/>
      <c r="U62" s="23"/>
      <c r="V62" s="23"/>
      <c r="W62" s="23"/>
      <c r="X62" s="23"/>
      <c r="Y62" s="69"/>
      <c r="Z62" s="69"/>
      <c r="AA62" s="69"/>
    </row>
    <row r="63" spans="2:27" ht="15.75" x14ac:dyDescent="0.25">
      <c r="B63" s="72"/>
      <c r="C63" s="72"/>
      <c r="D63" s="72"/>
      <c r="E63" s="72"/>
      <c r="F63" s="72"/>
      <c r="G63" s="72"/>
      <c r="H63" s="72"/>
      <c r="I63" s="72"/>
      <c r="J63" s="67"/>
      <c r="K63" s="72"/>
      <c r="L63" s="72"/>
      <c r="M63" s="72"/>
      <c r="N63" s="72"/>
      <c r="O63" s="72"/>
      <c r="P63" s="72"/>
      <c r="Q63" s="72"/>
      <c r="R63" s="72"/>
      <c r="S63" s="67"/>
      <c r="T63" s="72"/>
      <c r="U63" s="72"/>
      <c r="V63" s="72"/>
      <c r="W63" s="72"/>
      <c r="X63" s="72"/>
      <c r="Y63" s="72"/>
      <c r="Z63" s="72"/>
      <c r="AA63" s="72"/>
    </row>
    <row r="64" spans="2:27" ht="15.75" x14ac:dyDescent="0.25">
      <c r="B64" s="38" t="s">
        <v>250</v>
      </c>
      <c r="C64" s="38" t="s">
        <v>174</v>
      </c>
      <c r="D64" s="38" t="s">
        <v>241</v>
      </c>
      <c r="E64" s="38" t="s">
        <v>242</v>
      </c>
      <c r="F64" s="38" t="s">
        <v>243</v>
      </c>
      <c r="G64" s="38" t="s">
        <v>263</v>
      </c>
      <c r="H64" s="68" t="s">
        <v>244</v>
      </c>
      <c r="I64" s="68" t="s">
        <v>54</v>
      </c>
      <c r="J64" s="67"/>
      <c r="K64" s="38" t="s">
        <v>254</v>
      </c>
      <c r="L64" s="38" t="s">
        <v>174</v>
      </c>
      <c r="M64" s="38" t="s">
        <v>241</v>
      </c>
      <c r="N64" s="38" t="s">
        <v>242</v>
      </c>
      <c r="O64" s="38" t="s">
        <v>243</v>
      </c>
      <c r="P64" s="38" t="s">
        <v>263</v>
      </c>
      <c r="Q64" s="68" t="s">
        <v>244</v>
      </c>
      <c r="R64" s="68" t="s">
        <v>54</v>
      </c>
      <c r="S64" s="67"/>
      <c r="T64" s="38" t="s">
        <v>258</v>
      </c>
      <c r="U64" s="38" t="s">
        <v>174</v>
      </c>
      <c r="V64" s="38" t="s">
        <v>241</v>
      </c>
      <c r="W64" s="38" t="s">
        <v>242</v>
      </c>
      <c r="X64" s="38" t="s">
        <v>243</v>
      </c>
      <c r="Y64" s="38" t="s">
        <v>263</v>
      </c>
      <c r="Z64" s="68" t="s">
        <v>244</v>
      </c>
      <c r="AA64" s="68" t="s">
        <v>54</v>
      </c>
    </row>
    <row r="65" spans="2:27" ht="15.75" x14ac:dyDescent="0.25">
      <c r="B65" s="38">
        <v>1</v>
      </c>
      <c r="C65" s="23">
        <v>5239</v>
      </c>
      <c r="D65" s="23">
        <v>6.1</v>
      </c>
      <c r="E65" s="23">
        <v>24.2</v>
      </c>
      <c r="F65" s="69" t="s">
        <v>52</v>
      </c>
      <c r="G65" s="69">
        <v>7.6</v>
      </c>
      <c r="H65" s="69" t="s">
        <v>262</v>
      </c>
      <c r="I65" s="69" t="s">
        <v>262</v>
      </c>
      <c r="J65" s="67"/>
      <c r="K65" s="38">
        <v>1</v>
      </c>
      <c r="L65" s="23">
        <v>5385</v>
      </c>
      <c r="M65" s="23">
        <v>10.8</v>
      </c>
      <c r="N65" s="23">
        <v>40.6</v>
      </c>
      <c r="O65" s="69" t="s">
        <v>52</v>
      </c>
      <c r="P65" s="69">
        <v>6.9</v>
      </c>
      <c r="Q65" s="69" t="s">
        <v>262</v>
      </c>
      <c r="R65" s="69" t="s">
        <v>262</v>
      </c>
      <c r="S65" s="67"/>
      <c r="T65" s="38">
        <v>1</v>
      </c>
      <c r="U65" s="23">
        <v>5307</v>
      </c>
      <c r="V65" s="23">
        <v>11.4</v>
      </c>
      <c r="W65" s="23">
        <v>32</v>
      </c>
      <c r="X65" s="69" t="s">
        <v>52</v>
      </c>
      <c r="Y65" s="69">
        <v>7</v>
      </c>
      <c r="Z65" s="69" t="s">
        <v>262</v>
      </c>
      <c r="AA65" s="69" t="s">
        <v>262</v>
      </c>
    </row>
    <row r="66" spans="2:27" ht="15.75" x14ac:dyDescent="0.25">
      <c r="B66" s="38">
        <v>2</v>
      </c>
      <c r="C66" s="23">
        <v>5304</v>
      </c>
      <c r="D66" s="23">
        <v>7</v>
      </c>
      <c r="E66" s="23">
        <v>16</v>
      </c>
      <c r="F66" s="69" t="s">
        <v>52</v>
      </c>
      <c r="G66" s="69">
        <v>7</v>
      </c>
      <c r="H66" s="69" t="s">
        <v>262</v>
      </c>
      <c r="I66" s="69" t="s">
        <v>262</v>
      </c>
      <c r="J66" s="67"/>
      <c r="K66" s="38">
        <v>2</v>
      </c>
      <c r="L66" s="23">
        <v>5384</v>
      </c>
      <c r="M66" s="23">
        <v>9.5</v>
      </c>
      <c r="N66" s="23">
        <v>46.2</v>
      </c>
      <c r="O66" s="69" t="s">
        <v>52</v>
      </c>
      <c r="P66" s="69">
        <v>6.9</v>
      </c>
      <c r="Q66" s="69" t="s">
        <v>262</v>
      </c>
      <c r="R66" s="69" t="s">
        <v>262</v>
      </c>
      <c r="S66" s="67"/>
      <c r="T66" s="38">
        <v>2</v>
      </c>
      <c r="U66" s="23">
        <v>5308</v>
      </c>
      <c r="V66" s="23">
        <v>10</v>
      </c>
      <c r="W66" s="23">
        <v>19.399999999999999</v>
      </c>
      <c r="X66" s="69" t="s">
        <v>52</v>
      </c>
      <c r="Y66" s="69">
        <v>7</v>
      </c>
      <c r="Z66" s="69" t="s">
        <v>262</v>
      </c>
      <c r="AA66" s="69" t="s">
        <v>262</v>
      </c>
    </row>
    <row r="67" spans="2:27" ht="15.75" x14ac:dyDescent="0.25">
      <c r="B67" s="38">
        <v>3</v>
      </c>
      <c r="C67" s="23">
        <v>5269</v>
      </c>
      <c r="D67" s="23">
        <v>25.8</v>
      </c>
      <c r="E67" s="23">
        <v>106.5</v>
      </c>
      <c r="F67" s="69" t="s">
        <v>52</v>
      </c>
      <c r="G67" s="69">
        <v>6.9</v>
      </c>
      <c r="H67" s="69" t="s">
        <v>262</v>
      </c>
      <c r="I67" s="69" t="s">
        <v>262</v>
      </c>
      <c r="J67" s="67"/>
      <c r="K67" s="38">
        <v>3</v>
      </c>
      <c r="L67" s="23">
        <v>5383</v>
      </c>
      <c r="M67" s="23">
        <v>8.8000000000000007</v>
      </c>
      <c r="N67" s="23">
        <v>30</v>
      </c>
      <c r="O67" s="69" t="s">
        <v>52</v>
      </c>
      <c r="P67" s="69">
        <v>6.9</v>
      </c>
      <c r="Q67" s="69" t="s">
        <v>262</v>
      </c>
      <c r="R67" s="69" t="s">
        <v>262</v>
      </c>
      <c r="S67" s="67"/>
      <c r="T67" s="38">
        <v>3</v>
      </c>
      <c r="U67" s="23">
        <v>5309</v>
      </c>
      <c r="V67" s="23">
        <v>11.4</v>
      </c>
      <c r="W67" s="23">
        <v>31.2</v>
      </c>
      <c r="X67" s="69" t="s">
        <v>52</v>
      </c>
      <c r="Y67" s="69">
        <v>7.1</v>
      </c>
      <c r="Z67" s="69" t="s">
        <v>262</v>
      </c>
      <c r="AA67" s="69" t="s">
        <v>262</v>
      </c>
    </row>
    <row r="68" spans="2:27" ht="15.75" x14ac:dyDescent="0.25">
      <c r="B68" s="38">
        <v>4</v>
      </c>
      <c r="C68" s="23">
        <v>5234</v>
      </c>
      <c r="D68" s="23">
        <v>8.8000000000000007</v>
      </c>
      <c r="E68" s="23">
        <v>14.1</v>
      </c>
      <c r="F68" s="69" t="s">
        <v>52</v>
      </c>
      <c r="G68" s="69">
        <v>7.6</v>
      </c>
      <c r="H68" s="69" t="s">
        <v>262</v>
      </c>
      <c r="I68" s="69" t="s">
        <v>262</v>
      </c>
      <c r="J68" s="67"/>
      <c r="K68" s="38">
        <v>4</v>
      </c>
      <c r="L68" s="23">
        <v>5382</v>
      </c>
      <c r="M68" s="23">
        <v>4.9000000000000004</v>
      </c>
      <c r="N68" s="23">
        <v>9.8000000000000007</v>
      </c>
      <c r="O68" s="69" t="s">
        <v>52</v>
      </c>
      <c r="P68" s="69">
        <v>7</v>
      </c>
      <c r="Q68" s="69" t="s">
        <v>262</v>
      </c>
      <c r="R68" s="69" t="s">
        <v>262</v>
      </c>
      <c r="S68" s="67"/>
      <c r="T68" s="38">
        <v>4</v>
      </c>
      <c r="U68" s="23">
        <v>5310</v>
      </c>
      <c r="V68" s="23">
        <v>18</v>
      </c>
      <c r="W68" s="23">
        <v>32.200000000000003</v>
      </c>
      <c r="X68" s="69" t="s">
        <v>52</v>
      </c>
      <c r="Y68" s="69">
        <v>7.2</v>
      </c>
      <c r="Z68" s="69" t="s">
        <v>262</v>
      </c>
      <c r="AA68" s="69" t="s">
        <v>262</v>
      </c>
    </row>
    <row r="69" spans="2:27" ht="15.75" x14ac:dyDescent="0.25">
      <c r="B69" s="38">
        <v>5</v>
      </c>
      <c r="C69" s="23">
        <v>5281</v>
      </c>
      <c r="D69" s="23">
        <v>19</v>
      </c>
      <c r="E69" s="23">
        <v>29.2</v>
      </c>
      <c r="F69" s="69" t="s">
        <v>52</v>
      </c>
      <c r="G69" s="69">
        <v>6.85</v>
      </c>
      <c r="H69" s="69" t="s">
        <v>262</v>
      </c>
      <c r="I69" s="69" t="s">
        <v>262</v>
      </c>
      <c r="J69" s="67"/>
      <c r="K69" s="38">
        <v>5</v>
      </c>
      <c r="L69" s="23">
        <v>5336</v>
      </c>
      <c r="M69" s="23">
        <v>6.4</v>
      </c>
      <c r="N69" s="23">
        <v>20.3</v>
      </c>
      <c r="O69" s="69" t="s">
        <v>52</v>
      </c>
      <c r="P69" s="69">
        <v>7.3</v>
      </c>
      <c r="Q69" s="69" t="s">
        <v>262</v>
      </c>
      <c r="R69" s="69" t="s">
        <v>262</v>
      </c>
      <c r="S69" s="67"/>
      <c r="T69" s="38">
        <v>5</v>
      </c>
      <c r="U69" s="23">
        <v>5667</v>
      </c>
      <c r="V69" s="23">
        <v>11</v>
      </c>
      <c r="W69" s="23">
        <v>34.799999999999997</v>
      </c>
      <c r="X69" s="69" t="s">
        <v>52</v>
      </c>
      <c r="Y69" s="69">
        <v>7</v>
      </c>
      <c r="Z69" s="69" t="s">
        <v>262</v>
      </c>
      <c r="AA69" s="69" t="s">
        <v>262</v>
      </c>
    </row>
    <row r="70" spans="2:27" ht="15.75" x14ac:dyDescent="0.25">
      <c r="B70" s="38">
        <v>6</v>
      </c>
      <c r="C70" s="23">
        <v>5240</v>
      </c>
      <c r="D70" s="23">
        <v>8.4</v>
      </c>
      <c r="E70" s="23">
        <v>13.3</v>
      </c>
      <c r="F70" s="69" t="s">
        <v>52</v>
      </c>
      <c r="G70" s="69">
        <v>7.2</v>
      </c>
      <c r="H70" s="69" t="s">
        <v>262</v>
      </c>
      <c r="I70" s="69" t="s">
        <v>262</v>
      </c>
      <c r="J70" s="67"/>
      <c r="K70" s="38">
        <v>6</v>
      </c>
      <c r="L70" s="23">
        <v>5659</v>
      </c>
      <c r="M70" s="23">
        <v>5.0999999999999996</v>
      </c>
      <c r="N70" s="23">
        <v>11</v>
      </c>
      <c r="O70" s="69" t="s">
        <v>52</v>
      </c>
      <c r="P70" s="69">
        <v>7.6</v>
      </c>
      <c r="Q70" s="81" t="s">
        <v>292</v>
      </c>
      <c r="R70" s="81" t="s">
        <v>265</v>
      </c>
      <c r="S70" s="67"/>
      <c r="T70" s="38">
        <v>6</v>
      </c>
      <c r="U70" s="23">
        <v>5668</v>
      </c>
      <c r="V70" s="23">
        <v>5</v>
      </c>
      <c r="W70" s="23">
        <v>9.6999999999999993</v>
      </c>
      <c r="X70" s="69" t="s">
        <v>52</v>
      </c>
      <c r="Y70" s="69">
        <v>7.5</v>
      </c>
      <c r="Z70" s="69" t="s">
        <v>262</v>
      </c>
      <c r="AA70" s="69" t="s">
        <v>262</v>
      </c>
    </row>
    <row r="71" spans="2:27" ht="15.75" x14ac:dyDescent="0.25">
      <c r="B71" s="38"/>
      <c r="C71" s="23"/>
      <c r="D71" s="23"/>
      <c r="E71" s="23"/>
      <c r="F71" s="23"/>
      <c r="G71" s="69"/>
      <c r="H71" s="69"/>
      <c r="I71" s="69"/>
      <c r="J71" s="67"/>
      <c r="K71" s="38"/>
      <c r="L71" s="23"/>
      <c r="M71" s="23"/>
      <c r="N71" s="23"/>
      <c r="O71" s="23"/>
      <c r="P71" s="69"/>
      <c r="Q71" s="69"/>
      <c r="R71" s="69"/>
      <c r="S71" s="67"/>
      <c r="T71" s="38"/>
      <c r="U71" s="23"/>
      <c r="V71" s="23"/>
      <c r="W71" s="23"/>
      <c r="X71" s="23"/>
      <c r="Y71" s="69"/>
      <c r="Z71" s="69"/>
      <c r="AA71" s="69"/>
    </row>
    <row r="72" spans="2:27" ht="15.75" x14ac:dyDescent="0.25">
      <c r="B72" s="38"/>
      <c r="C72" s="23"/>
      <c r="D72" s="23"/>
      <c r="E72" s="23"/>
      <c r="F72" s="23"/>
      <c r="G72" s="69"/>
      <c r="H72" s="69"/>
      <c r="I72" s="69"/>
      <c r="J72" s="67"/>
      <c r="K72" s="38"/>
      <c r="L72" s="23"/>
      <c r="M72" s="23"/>
      <c r="N72" s="23"/>
      <c r="O72" s="23"/>
      <c r="P72" s="69"/>
      <c r="Q72" s="69"/>
      <c r="R72" s="69"/>
      <c r="S72" s="67"/>
      <c r="T72" s="38"/>
      <c r="U72" s="23"/>
      <c r="V72" s="23"/>
      <c r="W72" s="23"/>
      <c r="X72" s="23"/>
      <c r="Y72" s="69"/>
      <c r="Z72" s="69"/>
      <c r="AA72" s="69"/>
    </row>
    <row r="73" spans="2:27" ht="15.75" x14ac:dyDescent="0.25">
      <c r="B73" s="38" t="s">
        <v>251</v>
      </c>
      <c r="C73" s="38" t="s">
        <v>174</v>
      </c>
      <c r="D73" s="38" t="s">
        <v>241</v>
      </c>
      <c r="E73" s="38" t="s">
        <v>242</v>
      </c>
      <c r="F73" s="38" t="s">
        <v>243</v>
      </c>
      <c r="G73" s="38" t="s">
        <v>263</v>
      </c>
      <c r="H73" s="68" t="s">
        <v>244</v>
      </c>
      <c r="I73" s="68" t="s">
        <v>54</v>
      </c>
      <c r="J73" s="67"/>
      <c r="K73" s="38" t="s">
        <v>255</v>
      </c>
      <c r="L73" s="38" t="s">
        <v>174</v>
      </c>
      <c r="M73" s="38" t="s">
        <v>241</v>
      </c>
      <c r="N73" s="38" t="s">
        <v>242</v>
      </c>
      <c r="O73" s="38" t="s">
        <v>243</v>
      </c>
      <c r="P73" s="38" t="s">
        <v>263</v>
      </c>
      <c r="Q73" s="68" t="s">
        <v>244</v>
      </c>
      <c r="R73" s="68" t="s">
        <v>54</v>
      </c>
      <c r="S73" s="67"/>
      <c r="T73" s="38" t="s">
        <v>259</v>
      </c>
      <c r="U73" s="38" t="s">
        <v>174</v>
      </c>
      <c r="V73" s="38" t="s">
        <v>241</v>
      </c>
      <c r="W73" s="38" t="s">
        <v>242</v>
      </c>
      <c r="X73" s="38" t="s">
        <v>243</v>
      </c>
      <c r="Y73" s="38" t="s">
        <v>263</v>
      </c>
      <c r="Z73" s="68" t="s">
        <v>244</v>
      </c>
      <c r="AA73" s="68" t="s">
        <v>54</v>
      </c>
    </row>
    <row r="74" spans="2:27" ht="15.75" x14ac:dyDescent="0.25">
      <c r="B74" s="38">
        <v>1</v>
      </c>
      <c r="C74" s="23">
        <v>5289</v>
      </c>
      <c r="D74" s="23">
        <v>5</v>
      </c>
      <c r="E74" s="23">
        <v>10.6</v>
      </c>
      <c r="F74" s="69" t="s">
        <v>52</v>
      </c>
      <c r="G74" s="69">
        <v>7</v>
      </c>
      <c r="H74" s="69" t="s">
        <v>262</v>
      </c>
      <c r="I74" s="69" t="s">
        <v>262</v>
      </c>
      <c r="J74" s="67"/>
      <c r="K74" s="38">
        <v>1</v>
      </c>
      <c r="L74" s="23">
        <v>5424</v>
      </c>
      <c r="M74" s="23">
        <v>7.2</v>
      </c>
      <c r="N74" s="23">
        <v>18.100000000000001</v>
      </c>
      <c r="O74" s="69" t="s">
        <v>52</v>
      </c>
      <c r="P74" s="69">
        <v>7</v>
      </c>
      <c r="Q74" s="69" t="s">
        <v>262</v>
      </c>
      <c r="R74" s="69" t="s">
        <v>262</v>
      </c>
      <c r="S74" s="67"/>
      <c r="T74" s="38">
        <v>1</v>
      </c>
      <c r="U74" s="23">
        <v>5238</v>
      </c>
      <c r="V74" s="23">
        <v>4</v>
      </c>
      <c r="W74" s="23">
        <v>9.6</v>
      </c>
      <c r="X74" s="23" t="s">
        <v>52</v>
      </c>
      <c r="Y74" s="69">
        <v>7</v>
      </c>
      <c r="Z74" s="69" t="s">
        <v>262</v>
      </c>
      <c r="AA74" s="69" t="s">
        <v>262</v>
      </c>
    </row>
    <row r="75" spans="2:27" ht="15.75" x14ac:dyDescent="0.25">
      <c r="B75" s="38">
        <v>2</v>
      </c>
      <c r="C75" s="23">
        <v>5236</v>
      </c>
      <c r="D75" s="23">
        <v>5.6</v>
      </c>
      <c r="E75" s="23">
        <v>11</v>
      </c>
      <c r="F75" s="69" t="s">
        <v>52</v>
      </c>
      <c r="G75" s="69">
        <v>7.65</v>
      </c>
      <c r="H75" s="69" t="s">
        <v>262</v>
      </c>
      <c r="I75" s="69" t="s">
        <v>262</v>
      </c>
      <c r="J75" s="67"/>
      <c r="K75" s="38">
        <v>2</v>
      </c>
      <c r="L75" s="23">
        <v>5424</v>
      </c>
      <c r="M75" s="23">
        <v>8.8000000000000007</v>
      </c>
      <c r="N75" s="23">
        <v>17.2</v>
      </c>
      <c r="O75" s="69" t="s">
        <v>52</v>
      </c>
      <c r="P75" s="69">
        <v>7.4</v>
      </c>
      <c r="Q75" s="69" t="s">
        <v>262</v>
      </c>
      <c r="R75" s="69" t="s">
        <v>262</v>
      </c>
      <c r="S75" s="67"/>
      <c r="T75" s="38">
        <v>2</v>
      </c>
      <c r="U75" s="23">
        <v>5266</v>
      </c>
      <c r="V75" s="23">
        <v>6.6</v>
      </c>
      <c r="W75" s="23">
        <v>13.3</v>
      </c>
      <c r="X75" s="23" t="s">
        <v>52</v>
      </c>
      <c r="Y75" s="69">
        <v>7.1</v>
      </c>
      <c r="Z75" s="69" t="s">
        <v>262</v>
      </c>
      <c r="AA75" s="69" t="s">
        <v>262</v>
      </c>
    </row>
    <row r="76" spans="2:27" ht="15.75" x14ac:dyDescent="0.25">
      <c r="B76" s="38">
        <v>3</v>
      </c>
      <c r="C76" s="23">
        <v>5306</v>
      </c>
      <c r="D76" s="23">
        <v>132.19999999999999</v>
      </c>
      <c r="E76" s="23">
        <v>2000</v>
      </c>
      <c r="F76" s="69" t="s">
        <v>52</v>
      </c>
      <c r="G76" s="69">
        <v>7</v>
      </c>
      <c r="H76" s="81" t="s">
        <v>264</v>
      </c>
      <c r="I76" s="81" t="s">
        <v>265</v>
      </c>
      <c r="J76" s="67"/>
      <c r="K76" s="38">
        <v>3</v>
      </c>
      <c r="L76" s="23">
        <v>5425</v>
      </c>
      <c r="M76" s="23">
        <v>13.5</v>
      </c>
      <c r="N76" s="23">
        <v>41.7</v>
      </c>
      <c r="O76" s="69" t="s">
        <v>52</v>
      </c>
      <c r="P76" s="69">
        <v>7.35</v>
      </c>
      <c r="Q76" s="69" t="s">
        <v>262</v>
      </c>
      <c r="R76" s="69" t="s">
        <v>262</v>
      </c>
      <c r="S76" s="67"/>
      <c r="T76" s="38">
        <v>3</v>
      </c>
      <c r="U76" s="23">
        <v>5295</v>
      </c>
      <c r="V76" s="23">
        <v>31.7</v>
      </c>
      <c r="W76" s="23">
        <v>98</v>
      </c>
      <c r="X76" s="23" t="s">
        <v>52</v>
      </c>
      <c r="Y76" s="69">
        <v>7</v>
      </c>
      <c r="Z76" s="69" t="s">
        <v>262</v>
      </c>
      <c r="AA76" s="69" t="s">
        <v>262</v>
      </c>
    </row>
    <row r="77" spans="2:27" ht="15.75" x14ac:dyDescent="0.25">
      <c r="B77" s="38">
        <v>4</v>
      </c>
      <c r="C77" s="23">
        <v>5274</v>
      </c>
      <c r="D77" s="23">
        <v>10.199999999999999</v>
      </c>
      <c r="E77" s="23">
        <v>20</v>
      </c>
      <c r="F77" s="69" t="s">
        <v>52</v>
      </c>
      <c r="G77" s="69">
        <v>7</v>
      </c>
      <c r="H77" s="69" t="s">
        <v>262</v>
      </c>
      <c r="I77" s="69" t="s">
        <v>262</v>
      </c>
      <c r="J77" s="67"/>
      <c r="K77" s="38">
        <v>4</v>
      </c>
      <c r="L77" s="23">
        <v>5426</v>
      </c>
      <c r="M77" s="23">
        <v>18.8</v>
      </c>
      <c r="N77" s="23">
        <v>49</v>
      </c>
      <c r="O77" s="69" t="s">
        <v>52</v>
      </c>
      <c r="P77" s="69">
        <v>7.2</v>
      </c>
      <c r="Q77" s="69" t="s">
        <v>262</v>
      </c>
      <c r="R77" s="69" t="s">
        <v>262</v>
      </c>
      <c r="S77" s="67"/>
      <c r="T77" s="38">
        <v>4</v>
      </c>
      <c r="U77" s="23">
        <v>5288</v>
      </c>
      <c r="V77" s="23">
        <v>20</v>
      </c>
      <c r="W77" s="23">
        <v>145</v>
      </c>
      <c r="X77" s="23" t="s">
        <v>52</v>
      </c>
      <c r="Y77" s="69">
        <v>7.6</v>
      </c>
      <c r="Z77" s="69" t="s">
        <v>262</v>
      </c>
      <c r="AA77" s="69" t="s">
        <v>262</v>
      </c>
    </row>
    <row r="78" spans="2:27" ht="15.75" x14ac:dyDescent="0.25">
      <c r="B78" s="38">
        <v>5</v>
      </c>
      <c r="C78" s="23">
        <v>5278</v>
      </c>
      <c r="D78" s="23">
        <v>14.3</v>
      </c>
      <c r="E78" s="23">
        <v>21.8</v>
      </c>
      <c r="F78" s="69" t="s">
        <v>52</v>
      </c>
      <c r="G78" s="69">
        <v>6.8</v>
      </c>
      <c r="H78" s="81" t="s">
        <v>264</v>
      </c>
      <c r="I78" s="81" t="s">
        <v>265</v>
      </c>
      <c r="J78" s="67"/>
      <c r="K78" s="38">
        <v>5</v>
      </c>
      <c r="L78" s="23">
        <v>5264</v>
      </c>
      <c r="M78" s="23">
        <v>112.2</v>
      </c>
      <c r="N78" s="23">
        <v>978</v>
      </c>
      <c r="O78" s="69" t="s">
        <v>52</v>
      </c>
      <c r="P78" s="69">
        <v>7</v>
      </c>
      <c r="Q78" s="81" t="s">
        <v>264</v>
      </c>
      <c r="R78" s="81" t="s">
        <v>265</v>
      </c>
      <c r="S78" s="67"/>
      <c r="T78" s="38">
        <v>5</v>
      </c>
      <c r="U78" s="23">
        <v>5258</v>
      </c>
      <c r="V78" s="23">
        <v>13.9</v>
      </c>
      <c r="W78" s="23">
        <v>47.5</v>
      </c>
      <c r="X78" s="23" t="s">
        <v>52</v>
      </c>
      <c r="Y78" s="69">
        <v>7.1</v>
      </c>
      <c r="Z78" s="69" t="s">
        <v>262</v>
      </c>
      <c r="AA78" s="69" t="s">
        <v>262</v>
      </c>
    </row>
    <row r="79" spans="2:27" ht="15.75" x14ac:dyDescent="0.25">
      <c r="B79" s="38">
        <v>6</v>
      </c>
      <c r="C79" s="23">
        <v>5303</v>
      </c>
      <c r="D79" s="23">
        <v>9.9</v>
      </c>
      <c r="E79" s="23">
        <v>24.3</v>
      </c>
      <c r="F79" s="69" t="s">
        <v>52</v>
      </c>
      <c r="G79" s="69">
        <v>7</v>
      </c>
      <c r="H79" s="69" t="s">
        <v>262</v>
      </c>
      <c r="I79" s="69" t="s">
        <v>262</v>
      </c>
      <c r="J79" s="67"/>
      <c r="K79" s="38">
        <v>6</v>
      </c>
      <c r="L79" s="23">
        <v>5270</v>
      </c>
      <c r="M79" s="23">
        <v>6.2</v>
      </c>
      <c r="N79" s="23">
        <v>16.7</v>
      </c>
      <c r="O79" s="69" t="s">
        <v>52</v>
      </c>
      <c r="P79" s="69">
        <v>7</v>
      </c>
      <c r="Q79" s="69" t="s">
        <v>262</v>
      </c>
      <c r="R79" s="69" t="s">
        <v>262</v>
      </c>
      <c r="S79" s="67"/>
      <c r="T79" s="38">
        <v>6</v>
      </c>
      <c r="U79" s="23">
        <v>5283</v>
      </c>
      <c r="V79" s="23">
        <v>6.3</v>
      </c>
      <c r="W79" s="23">
        <v>13.3</v>
      </c>
      <c r="X79" s="23" t="s">
        <v>52</v>
      </c>
      <c r="Y79" s="69">
        <v>6.85</v>
      </c>
      <c r="Z79" s="69" t="s">
        <v>262</v>
      </c>
      <c r="AA79" s="69" t="s">
        <v>262</v>
      </c>
    </row>
    <row r="80" spans="2:27" ht="15.75" x14ac:dyDescent="0.25">
      <c r="B80" s="67"/>
      <c r="C80" s="67"/>
      <c r="D80" s="67"/>
      <c r="E80" s="67"/>
      <c r="F80" s="67"/>
      <c r="G80" s="67"/>
      <c r="H80" s="67"/>
      <c r="I80" s="67"/>
      <c r="J80" s="67"/>
      <c r="K80" s="67"/>
      <c r="L80" s="67"/>
      <c r="M80" s="67"/>
      <c r="N80" s="67"/>
      <c r="O80" s="67"/>
      <c r="P80" s="67"/>
      <c r="Q80" s="67"/>
      <c r="R80" s="67"/>
      <c r="S80" s="67"/>
      <c r="T80" s="67"/>
      <c r="U80" s="67"/>
    </row>
    <row r="81" spans="2:21" ht="15.75" x14ac:dyDescent="0.25">
      <c r="B81" s="67"/>
      <c r="C81" s="67"/>
      <c r="D81" s="67"/>
      <c r="E81" s="67"/>
      <c r="F81" s="67"/>
      <c r="G81" s="67"/>
      <c r="H81" s="67"/>
      <c r="I81" s="67"/>
      <c r="J81" s="67"/>
      <c r="K81" s="67"/>
      <c r="L81" s="67"/>
      <c r="M81" s="67"/>
      <c r="N81" s="67"/>
      <c r="O81" s="67"/>
      <c r="P81" s="67"/>
      <c r="Q81" s="67"/>
      <c r="R81" s="67"/>
      <c r="S81" s="67"/>
      <c r="T81" s="67"/>
      <c r="U81" s="67"/>
    </row>
    <row r="82" spans="2:21" ht="15.75" x14ac:dyDescent="0.25">
      <c r="B82" s="67"/>
      <c r="C82" s="67"/>
      <c r="D82" s="67"/>
      <c r="E82" s="67"/>
      <c r="F82" s="67"/>
      <c r="G82" s="67"/>
      <c r="H82" s="67"/>
      <c r="I82" s="67"/>
      <c r="J82" s="67"/>
      <c r="K82" s="67"/>
      <c r="L82" s="67"/>
      <c r="M82" s="67"/>
      <c r="N82" s="67"/>
      <c r="O82" s="67"/>
      <c r="P82" s="67"/>
      <c r="Q82" s="67"/>
      <c r="R82" s="67"/>
      <c r="S82" s="67"/>
      <c r="T82" s="67"/>
      <c r="U82" s="67"/>
    </row>
    <row r="83" spans="2:21" ht="15.75" x14ac:dyDescent="0.25">
      <c r="B83" s="67"/>
      <c r="C83" s="67"/>
      <c r="D83" s="67"/>
      <c r="E83" s="67"/>
      <c r="F83" s="67"/>
      <c r="G83" s="67"/>
      <c r="H83" s="67"/>
      <c r="I83" s="67"/>
      <c r="J83" s="67"/>
      <c r="K83" s="67"/>
      <c r="L83" s="67"/>
      <c r="M83" s="67"/>
      <c r="N83" s="67"/>
      <c r="O83" s="67"/>
      <c r="P83" s="67"/>
      <c r="Q83" s="67"/>
      <c r="R83" s="67"/>
      <c r="S83" s="67"/>
      <c r="T83" s="67"/>
      <c r="U83" s="67"/>
    </row>
    <row r="84" spans="2:21" ht="15.75" x14ac:dyDescent="0.25">
      <c r="B84" s="67"/>
      <c r="C84" s="67"/>
      <c r="D84" s="67"/>
      <c r="E84" s="67"/>
      <c r="F84" s="67"/>
      <c r="G84" s="67"/>
      <c r="H84" s="67"/>
      <c r="I84" s="67"/>
      <c r="J84" s="67"/>
      <c r="K84" s="67"/>
      <c r="L84" s="67"/>
      <c r="M84" s="67"/>
      <c r="N84" s="67"/>
      <c r="O84" s="67"/>
      <c r="P84" s="67"/>
      <c r="Q84" s="67"/>
      <c r="R84" s="67"/>
      <c r="S84" s="67"/>
      <c r="T84" s="67"/>
      <c r="U84" s="67"/>
    </row>
    <row r="85" spans="2:21" ht="15.75" x14ac:dyDescent="0.25">
      <c r="B85" s="67"/>
      <c r="C85" s="67"/>
      <c r="D85" s="67"/>
      <c r="E85" s="67"/>
      <c r="F85" s="67"/>
      <c r="G85" s="67"/>
      <c r="H85" s="67"/>
      <c r="I85" s="67"/>
      <c r="J85" s="67"/>
      <c r="K85" s="67"/>
      <c r="L85" s="67"/>
      <c r="M85" s="67"/>
      <c r="N85" s="67"/>
      <c r="O85" s="67"/>
      <c r="P85" s="67"/>
      <c r="Q85" s="67"/>
      <c r="R85" s="67"/>
      <c r="S85" s="67"/>
      <c r="T85" s="67"/>
      <c r="U85" s="67"/>
    </row>
    <row r="86" spans="2:21" ht="15.75" x14ac:dyDescent="0.25">
      <c r="B86" s="67"/>
      <c r="C86" s="67"/>
      <c r="D86" s="67"/>
      <c r="E86" s="67"/>
      <c r="F86" s="67"/>
      <c r="G86" s="67"/>
      <c r="H86" s="67"/>
      <c r="I86" s="67"/>
      <c r="J86" s="67"/>
      <c r="K86" s="67"/>
      <c r="L86" s="67"/>
      <c r="M86" s="67"/>
      <c r="N86" s="67"/>
      <c r="O86" s="67"/>
      <c r="P86" s="67"/>
      <c r="Q86" s="67"/>
      <c r="R86" s="67"/>
      <c r="S86" s="67"/>
      <c r="T86" s="67"/>
      <c r="U86" s="67"/>
    </row>
    <row r="87" spans="2:21" ht="15.75" x14ac:dyDescent="0.25">
      <c r="B87" s="67"/>
      <c r="C87" s="67"/>
      <c r="D87" s="67"/>
      <c r="E87" s="67"/>
      <c r="F87" s="67"/>
      <c r="G87" s="67"/>
      <c r="H87" s="67"/>
      <c r="I87" s="67"/>
      <c r="J87" s="67"/>
      <c r="K87" s="67"/>
      <c r="L87" s="67"/>
      <c r="M87" s="67"/>
      <c r="N87" s="67"/>
      <c r="O87" s="67"/>
      <c r="P87" s="67"/>
      <c r="Q87" s="67"/>
      <c r="R87" s="67"/>
      <c r="S87" s="67"/>
      <c r="T87" s="67"/>
      <c r="U87" s="67"/>
    </row>
    <row r="88" spans="2:21" ht="15.75" x14ac:dyDescent="0.25">
      <c r="B88" s="67"/>
      <c r="C88" s="67"/>
      <c r="D88" s="67"/>
      <c r="E88" s="67"/>
      <c r="F88" s="67"/>
      <c r="G88" s="67"/>
      <c r="H88" s="67"/>
      <c r="I88" s="67"/>
      <c r="J88" s="67"/>
      <c r="K88" s="67"/>
      <c r="L88" s="67"/>
      <c r="M88" s="67"/>
      <c r="N88" s="67"/>
      <c r="O88" s="67"/>
      <c r="P88" s="67"/>
      <c r="Q88" s="67"/>
      <c r="R88" s="67"/>
      <c r="S88" s="67"/>
      <c r="T88" s="67"/>
      <c r="U88" s="67"/>
    </row>
    <row r="89" spans="2:21" ht="15.75" x14ac:dyDescent="0.25">
      <c r="B89" s="67"/>
      <c r="C89" s="67"/>
      <c r="D89" s="67"/>
      <c r="E89" s="67"/>
      <c r="F89" s="67"/>
      <c r="G89" s="67"/>
      <c r="H89" s="67"/>
      <c r="I89" s="67"/>
      <c r="J89" s="67"/>
      <c r="K89" s="67"/>
      <c r="L89" s="67"/>
      <c r="M89" s="67"/>
      <c r="N89" s="67"/>
      <c r="O89" s="67"/>
      <c r="P89" s="67"/>
      <c r="Q89" s="67"/>
      <c r="R89" s="67"/>
      <c r="S89" s="67"/>
      <c r="T89" s="67"/>
      <c r="U89" s="67"/>
    </row>
    <row r="90" spans="2:21" ht="15.75" x14ac:dyDescent="0.25">
      <c r="B90" s="67"/>
      <c r="C90" s="67"/>
      <c r="D90" s="67"/>
      <c r="E90" s="67"/>
      <c r="F90" s="67"/>
      <c r="G90" s="67"/>
      <c r="H90" s="67"/>
      <c r="I90" s="67"/>
      <c r="J90" s="67"/>
      <c r="K90" s="67"/>
      <c r="L90" s="67"/>
      <c r="M90" s="67"/>
      <c r="N90" s="67"/>
      <c r="O90" s="67"/>
      <c r="P90" s="67"/>
      <c r="Q90" s="67"/>
      <c r="R90" s="67"/>
      <c r="S90" s="67"/>
      <c r="T90" s="67"/>
      <c r="U90" s="67"/>
    </row>
    <row r="91" spans="2:21" ht="15.75" x14ac:dyDescent="0.25">
      <c r="B91" s="67"/>
      <c r="C91" s="67"/>
      <c r="D91" s="67"/>
      <c r="E91" s="67"/>
      <c r="F91" s="67"/>
      <c r="G91" s="67"/>
      <c r="H91" s="67"/>
      <c r="I91" s="67"/>
      <c r="J91" s="67"/>
      <c r="K91" s="67"/>
      <c r="L91" s="67"/>
      <c r="M91" s="67"/>
      <c r="N91" s="67"/>
      <c r="O91" s="67"/>
      <c r="P91" s="67"/>
      <c r="Q91" s="67"/>
      <c r="R91" s="67"/>
      <c r="S91" s="67"/>
      <c r="T91" s="67"/>
      <c r="U91" s="67"/>
    </row>
    <row r="92" spans="2:21" ht="15.75" x14ac:dyDescent="0.25">
      <c r="B92" s="67"/>
      <c r="C92" s="67"/>
      <c r="D92" s="67"/>
      <c r="E92" s="67"/>
      <c r="F92" s="67"/>
      <c r="G92" s="67"/>
      <c r="H92" s="67"/>
      <c r="I92" s="67"/>
      <c r="J92" s="67"/>
      <c r="K92" s="67"/>
      <c r="L92" s="67"/>
      <c r="M92" s="67"/>
      <c r="N92" s="67"/>
      <c r="O92" s="67"/>
      <c r="P92" s="67"/>
      <c r="Q92" s="67"/>
      <c r="R92" s="67"/>
      <c r="S92" s="67"/>
      <c r="T92" s="67"/>
      <c r="U92" s="67"/>
    </row>
    <row r="93" spans="2:21" ht="15.75" x14ac:dyDescent="0.25">
      <c r="B93" s="67"/>
      <c r="C93" s="67"/>
      <c r="D93" s="67"/>
      <c r="E93" s="67"/>
      <c r="F93" s="67"/>
      <c r="G93" s="67"/>
      <c r="H93" s="67"/>
      <c r="I93" s="67"/>
      <c r="J93" s="67"/>
      <c r="K93" s="67"/>
      <c r="L93" s="67"/>
      <c r="M93" s="67"/>
      <c r="N93" s="67"/>
      <c r="O93" s="67"/>
      <c r="P93" s="67"/>
      <c r="Q93" s="67"/>
      <c r="R93" s="67"/>
      <c r="S93" s="67"/>
      <c r="T93" s="67"/>
      <c r="U93" s="67"/>
    </row>
    <row r="94" spans="2:21" ht="15.75" x14ac:dyDescent="0.25">
      <c r="B94" s="67"/>
      <c r="C94" s="67"/>
      <c r="D94" s="67"/>
      <c r="E94" s="67"/>
      <c r="F94" s="67"/>
      <c r="G94" s="67"/>
      <c r="H94" s="67"/>
      <c r="I94" s="67"/>
      <c r="J94" s="67"/>
      <c r="K94" s="67"/>
      <c r="L94" s="67"/>
      <c r="M94" s="67"/>
      <c r="N94" s="67"/>
      <c r="O94" s="67"/>
      <c r="P94" s="67"/>
      <c r="Q94" s="67"/>
      <c r="R94" s="67"/>
      <c r="S94" s="67"/>
      <c r="T94" s="67"/>
      <c r="U94" s="67"/>
    </row>
    <row r="95" spans="2:21" ht="15.75" x14ac:dyDescent="0.25">
      <c r="B95" s="67"/>
      <c r="C95" s="67"/>
      <c r="D95" s="67"/>
      <c r="E95" s="67"/>
      <c r="F95" s="67"/>
      <c r="G95" s="67"/>
      <c r="H95" s="67"/>
      <c r="I95" s="67"/>
      <c r="J95" s="67"/>
      <c r="K95" s="67"/>
      <c r="L95" s="67"/>
      <c r="M95" s="67"/>
      <c r="N95" s="67"/>
      <c r="O95" s="67"/>
      <c r="P95" s="67"/>
      <c r="Q95" s="67"/>
      <c r="R95" s="67"/>
      <c r="S95" s="67"/>
      <c r="T95" s="67"/>
      <c r="U95" s="67"/>
    </row>
    <row r="96" spans="2:21" ht="15.75" x14ac:dyDescent="0.25">
      <c r="B96" s="67"/>
      <c r="C96" s="67"/>
      <c r="D96" s="67"/>
      <c r="E96" s="67"/>
      <c r="F96" s="67"/>
      <c r="G96" s="67"/>
      <c r="H96" s="67"/>
      <c r="I96" s="67"/>
      <c r="J96" s="67"/>
      <c r="K96" s="67"/>
      <c r="L96" s="67"/>
      <c r="M96" s="67"/>
      <c r="N96" s="67"/>
      <c r="O96" s="67"/>
      <c r="P96" s="67"/>
      <c r="Q96" s="67"/>
      <c r="R96" s="67"/>
      <c r="S96" s="67"/>
      <c r="T96" s="67"/>
      <c r="U96" s="67"/>
    </row>
    <row r="97" spans="2:21" ht="15.75" x14ac:dyDescent="0.25">
      <c r="B97" s="67"/>
      <c r="C97" s="67"/>
      <c r="D97" s="67"/>
      <c r="E97" s="67"/>
      <c r="F97" s="67"/>
      <c r="G97" s="67"/>
      <c r="H97" s="67"/>
      <c r="I97" s="67"/>
      <c r="J97" s="67"/>
      <c r="K97" s="67"/>
      <c r="L97" s="67"/>
      <c r="M97" s="67"/>
      <c r="N97" s="67"/>
      <c r="O97" s="67"/>
      <c r="P97" s="67"/>
      <c r="Q97" s="67"/>
      <c r="R97" s="67"/>
      <c r="S97" s="67"/>
      <c r="T97" s="67"/>
      <c r="U97" s="67"/>
    </row>
    <row r="98" spans="2:21" ht="15.75" x14ac:dyDescent="0.25">
      <c r="B98" s="67"/>
      <c r="C98" s="67"/>
      <c r="D98" s="67"/>
      <c r="E98" s="67"/>
      <c r="F98" s="67"/>
      <c r="G98" s="67"/>
      <c r="H98" s="67"/>
      <c r="I98" s="67"/>
      <c r="J98" s="67"/>
      <c r="K98" s="67"/>
      <c r="L98" s="67"/>
      <c r="M98" s="67"/>
      <c r="N98" s="67"/>
      <c r="O98" s="67"/>
      <c r="P98" s="67"/>
      <c r="Q98" s="67"/>
      <c r="R98" s="67"/>
      <c r="S98" s="67"/>
      <c r="T98" s="67"/>
      <c r="U98" s="67"/>
    </row>
    <row r="99" spans="2:21" ht="15.75" x14ac:dyDescent="0.25">
      <c r="B99" s="67"/>
      <c r="C99" s="67"/>
      <c r="D99" s="67"/>
      <c r="E99" s="67"/>
      <c r="F99" s="67"/>
      <c r="G99" s="67"/>
      <c r="H99" s="67"/>
      <c r="I99" s="67"/>
      <c r="J99" s="67"/>
      <c r="K99" s="67"/>
      <c r="L99" s="67"/>
      <c r="M99" s="67"/>
      <c r="N99" s="67"/>
      <c r="O99" s="67"/>
      <c r="P99" s="67"/>
      <c r="Q99" s="67"/>
      <c r="R99" s="67"/>
      <c r="S99" s="67"/>
      <c r="T99" s="67"/>
      <c r="U99" s="67"/>
    </row>
    <row r="100" spans="2:21" ht="15.75" x14ac:dyDescent="0.25">
      <c r="B100" s="67"/>
      <c r="C100" s="67"/>
      <c r="D100" s="67"/>
      <c r="E100" s="67"/>
      <c r="F100" s="67"/>
      <c r="G100" s="67"/>
      <c r="H100" s="67"/>
      <c r="I100" s="67"/>
      <c r="J100" s="67"/>
      <c r="K100" s="67"/>
      <c r="L100" s="67"/>
      <c r="M100" s="67"/>
      <c r="N100" s="67"/>
      <c r="O100" s="67"/>
      <c r="P100" s="67"/>
      <c r="Q100" s="67"/>
      <c r="R100" s="67"/>
      <c r="S100" s="67"/>
      <c r="T100" s="67"/>
      <c r="U100" s="67"/>
    </row>
    <row r="101" spans="2:21" ht="15.75" x14ac:dyDescent="0.25">
      <c r="B101" s="67"/>
      <c r="C101" s="67"/>
      <c r="D101" s="67"/>
      <c r="E101" s="67"/>
      <c r="F101" s="67"/>
      <c r="G101" s="67"/>
      <c r="H101" s="67"/>
      <c r="I101" s="67"/>
      <c r="J101" s="67"/>
      <c r="K101" s="67"/>
      <c r="L101" s="67"/>
      <c r="M101" s="67"/>
      <c r="N101" s="67"/>
      <c r="O101" s="67"/>
      <c r="P101" s="67"/>
      <c r="Q101" s="67"/>
      <c r="R101" s="67"/>
      <c r="S101" s="67"/>
      <c r="T101" s="67"/>
      <c r="U101" s="67"/>
    </row>
    <row r="102" spans="2:21" ht="15.75" x14ac:dyDescent="0.25">
      <c r="B102" s="67"/>
      <c r="C102" s="67"/>
      <c r="D102" s="67"/>
      <c r="E102" s="67"/>
      <c r="F102" s="67"/>
      <c r="G102" s="67"/>
      <c r="H102" s="67"/>
      <c r="I102" s="67"/>
      <c r="J102" s="67"/>
      <c r="K102" s="67"/>
      <c r="L102" s="67"/>
      <c r="M102" s="67"/>
      <c r="N102" s="67"/>
      <c r="O102" s="67"/>
      <c r="P102" s="67"/>
      <c r="Q102" s="67"/>
      <c r="R102" s="67"/>
      <c r="S102" s="67"/>
      <c r="T102" s="67"/>
      <c r="U102" s="67"/>
    </row>
    <row r="103" spans="2:21" ht="15.75" x14ac:dyDescent="0.25">
      <c r="B103" s="67"/>
      <c r="C103" s="67"/>
      <c r="D103" s="67"/>
      <c r="E103" s="67"/>
      <c r="F103" s="67"/>
      <c r="G103" s="67"/>
      <c r="H103" s="67"/>
      <c r="I103" s="67"/>
      <c r="J103" s="67"/>
      <c r="K103" s="67"/>
      <c r="L103" s="67"/>
      <c r="M103" s="67"/>
      <c r="N103" s="67"/>
      <c r="O103" s="67"/>
      <c r="P103" s="67"/>
      <c r="Q103" s="67"/>
      <c r="R103" s="67"/>
      <c r="S103" s="67"/>
      <c r="T103" s="67"/>
      <c r="U103" s="67"/>
    </row>
    <row r="104" spans="2:21" ht="15.75" x14ac:dyDescent="0.25">
      <c r="B104" s="67"/>
      <c r="C104" s="67"/>
      <c r="D104" s="67"/>
      <c r="E104" s="67"/>
      <c r="F104" s="67"/>
      <c r="G104" s="67"/>
      <c r="H104" s="67"/>
      <c r="I104" s="67"/>
      <c r="J104" s="67"/>
      <c r="K104" s="67"/>
      <c r="L104" s="67"/>
      <c r="M104" s="67"/>
      <c r="N104" s="67"/>
      <c r="O104" s="67"/>
      <c r="P104" s="67"/>
      <c r="Q104" s="67"/>
      <c r="R104" s="67"/>
      <c r="S104" s="67"/>
      <c r="T104" s="67"/>
      <c r="U104" s="67"/>
    </row>
    <row r="105" spans="2:21" ht="15.75" x14ac:dyDescent="0.25">
      <c r="B105" s="67"/>
      <c r="C105" s="67"/>
      <c r="D105" s="67"/>
      <c r="E105" s="67"/>
      <c r="F105" s="67"/>
      <c r="G105" s="67"/>
      <c r="H105" s="67"/>
      <c r="I105" s="67"/>
      <c r="J105" s="67"/>
      <c r="K105" s="67"/>
      <c r="L105" s="67"/>
      <c r="M105" s="67"/>
      <c r="N105" s="67"/>
      <c r="O105" s="67"/>
      <c r="P105" s="67"/>
      <c r="Q105" s="67"/>
      <c r="R105" s="67"/>
      <c r="S105" s="67"/>
      <c r="T105" s="67"/>
      <c r="U105" s="67"/>
    </row>
    <row r="106" spans="2:21" ht="15.75" x14ac:dyDescent="0.25">
      <c r="B106" s="67"/>
      <c r="C106" s="67"/>
      <c r="D106" s="67"/>
      <c r="E106" s="67"/>
      <c r="F106" s="67"/>
      <c r="G106" s="67"/>
      <c r="H106" s="67"/>
      <c r="I106" s="67"/>
      <c r="J106" s="67"/>
      <c r="K106" s="67"/>
      <c r="L106" s="67"/>
      <c r="M106" s="67"/>
      <c r="N106" s="67"/>
      <c r="O106" s="67"/>
      <c r="P106" s="67"/>
      <c r="Q106" s="67"/>
      <c r="R106" s="67"/>
      <c r="S106" s="67"/>
      <c r="T106" s="67"/>
      <c r="U106" s="67"/>
    </row>
    <row r="107" spans="2:21" ht="15.75" x14ac:dyDescent="0.25">
      <c r="B107" s="67"/>
      <c r="C107" s="67"/>
      <c r="D107" s="67"/>
      <c r="E107" s="67"/>
      <c r="F107" s="67"/>
      <c r="G107" s="67"/>
      <c r="H107" s="67"/>
      <c r="I107" s="67"/>
      <c r="J107" s="67"/>
      <c r="K107" s="67"/>
      <c r="L107" s="67"/>
      <c r="M107" s="67"/>
      <c r="N107" s="67"/>
      <c r="O107" s="67"/>
      <c r="P107" s="67"/>
      <c r="Q107" s="67"/>
      <c r="R107" s="67"/>
      <c r="S107" s="67"/>
      <c r="T107" s="67"/>
      <c r="U107" s="67"/>
    </row>
    <row r="108" spans="2:21" ht="15.75" x14ac:dyDescent="0.25">
      <c r="B108" s="67"/>
      <c r="C108" s="67"/>
      <c r="D108" s="67"/>
      <c r="E108" s="67"/>
      <c r="F108" s="67"/>
      <c r="G108" s="67"/>
      <c r="H108" s="67"/>
      <c r="I108" s="67"/>
      <c r="J108" s="67"/>
      <c r="K108" s="67"/>
      <c r="L108" s="67"/>
      <c r="M108" s="67"/>
      <c r="N108" s="67"/>
      <c r="O108" s="67"/>
      <c r="P108" s="67"/>
      <c r="Q108" s="67"/>
      <c r="R108" s="67"/>
      <c r="S108" s="67"/>
      <c r="T108" s="67"/>
      <c r="U108" s="67"/>
    </row>
    <row r="109" spans="2:21" ht="15.75" x14ac:dyDescent="0.25">
      <c r="B109" s="67"/>
      <c r="C109" s="67"/>
      <c r="D109" s="67"/>
      <c r="E109" s="67"/>
      <c r="F109" s="67"/>
      <c r="G109" s="67"/>
      <c r="H109" s="67"/>
      <c r="I109" s="67"/>
      <c r="J109" s="67"/>
      <c r="K109" s="67"/>
      <c r="L109" s="67"/>
      <c r="M109" s="67"/>
      <c r="N109" s="67"/>
      <c r="O109" s="67"/>
      <c r="P109" s="67"/>
      <c r="Q109" s="67"/>
      <c r="R109" s="67"/>
      <c r="S109" s="67"/>
      <c r="T109" s="67"/>
      <c r="U109" s="67"/>
    </row>
    <row r="110" spans="2:21" ht="15.75" x14ac:dyDescent="0.25">
      <c r="B110" s="67"/>
      <c r="C110" s="67"/>
      <c r="D110" s="67"/>
      <c r="E110" s="67"/>
      <c r="F110" s="67"/>
      <c r="G110" s="67"/>
      <c r="H110" s="67"/>
      <c r="I110" s="67"/>
      <c r="J110" s="67"/>
      <c r="K110" s="67"/>
      <c r="L110" s="67"/>
      <c r="M110" s="67"/>
      <c r="N110" s="67"/>
      <c r="O110" s="67"/>
      <c r="P110" s="67"/>
      <c r="Q110" s="67"/>
      <c r="R110" s="67"/>
      <c r="S110" s="67"/>
      <c r="T110" s="67"/>
      <c r="U110" s="67"/>
    </row>
    <row r="111" spans="2:21" ht="15.75" x14ac:dyDescent="0.25">
      <c r="B111" s="67"/>
      <c r="C111" s="67"/>
      <c r="D111" s="67"/>
      <c r="E111" s="67"/>
      <c r="F111" s="67"/>
      <c r="G111" s="67"/>
      <c r="H111" s="67"/>
      <c r="I111" s="67"/>
      <c r="J111" s="67"/>
      <c r="K111" s="67"/>
      <c r="L111" s="67"/>
      <c r="M111" s="67"/>
      <c r="N111" s="67"/>
      <c r="O111" s="67"/>
      <c r="P111" s="67"/>
      <c r="Q111" s="67"/>
      <c r="R111" s="67"/>
      <c r="S111" s="67"/>
      <c r="T111" s="67"/>
      <c r="U111" s="67"/>
    </row>
    <row r="112" spans="2:21" ht="15.75" x14ac:dyDescent="0.25">
      <c r="B112" s="67"/>
      <c r="C112" s="67"/>
      <c r="D112" s="67"/>
      <c r="E112" s="67"/>
      <c r="F112" s="67"/>
      <c r="G112" s="67"/>
      <c r="H112" s="67"/>
      <c r="I112" s="67"/>
      <c r="J112" s="67"/>
      <c r="K112" s="67"/>
      <c r="L112" s="67"/>
      <c r="M112" s="67"/>
      <c r="N112" s="67"/>
      <c r="O112" s="67"/>
      <c r="P112" s="67"/>
      <c r="Q112" s="67"/>
      <c r="R112" s="67"/>
      <c r="S112" s="67"/>
      <c r="T112" s="67"/>
      <c r="U112" s="67"/>
    </row>
    <row r="113" spans="2:21" ht="15.75" x14ac:dyDescent="0.25">
      <c r="B113" s="67"/>
      <c r="C113" s="67"/>
      <c r="D113" s="67"/>
      <c r="E113" s="67"/>
      <c r="F113" s="67"/>
      <c r="G113" s="67"/>
      <c r="H113" s="67"/>
      <c r="I113" s="67"/>
      <c r="J113" s="67"/>
      <c r="K113" s="67"/>
      <c r="L113" s="67"/>
      <c r="M113" s="67"/>
      <c r="N113" s="67"/>
      <c r="O113" s="67"/>
      <c r="P113" s="67"/>
      <c r="Q113" s="67"/>
      <c r="R113" s="67"/>
      <c r="S113" s="67"/>
      <c r="T113" s="67"/>
      <c r="U113" s="67"/>
    </row>
    <row r="114" spans="2:21" ht="15.75" x14ac:dyDescent="0.25">
      <c r="B114" s="67"/>
      <c r="C114" s="67"/>
      <c r="D114" s="67"/>
      <c r="E114" s="67"/>
      <c r="F114" s="67"/>
      <c r="G114" s="67"/>
      <c r="H114" s="67"/>
      <c r="I114" s="67"/>
      <c r="J114" s="67"/>
      <c r="K114" s="67"/>
      <c r="L114" s="67"/>
      <c r="M114" s="67"/>
      <c r="N114" s="67"/>
      <c r="O114" s="67"/>
      <c r="P114" s="67"/>
      <c r="Q114" s="67"/>
      <c r="R114" s="67"/>
      <c r="S114" s="67"/>
      <c r="T114" s="67"/>
      <c r="U114" s="67"/>
    </row>
    <row r="115" spans="2:21" ht="15.75" x14ac:dyDescent="0.25">
      <c r="B115" s="67"/>
      <c r="C115" s="67"/>
      <c r="D115" s="67"/>
      <c r="E115" s="67"/>
      <c r="F115" s="67"/>
      <c r="G115" s="67"/>
      <c r="H115" s="67"/>
      <c r="I115" s="67"/>
      <c r="J115" s="67"/>
      <c r="K115" s="67"/>
      <c r="L115" s="67"/>
      <c r="M115" s="67"/>
      <c r="N115" s="67"/>
      <c r="O115" s="67"/>
      <c r="P115" s="67"/>
      <c r="Q115" s="67"/>
      <c r="R115" s="67"/>
      <c r="S115" s="67"/>
      <c r="T115" s="67"/>
      <c r="U115" s="67"/>
    </row>
    <row r="116" spans="2:21" ht="15.75" x14ac:dyDescent="0.25">
      <c r="B116" s="67"/>
      <c r="C116" s="67"/>
      <c r="D116" s="67"/>
      <c r="E116" s="67"/>
      <c r="F116" s="67"/>
      <c r="G116" s="67"/>
      <c r="H116" s="67"/>
      <c r="I116" s="67"/>
      <c r="J116" s="67"/>
      <c r="K116" s="67"/>
      <c r="L116" s="67"/>
      <c r="M116" s="67"/>
      <c r="N116" s="67"/>
      <c r="O116" s="67"/>
      <c r="P116" s="67"/>
      <c r="Q116" s="67"/>
      <c r="R116" s="67"/>
      <c r="S116" s="67"/>
      <c r="T116" s="67"/>
      <c r="U116" s="67"/>
    </row>
    <row r="117" spans="2:21" ht="15.75" x14ac:dyDescent="0.25">
      <c r="B117" s="67"/>
      <c r="C117" s="67"/>
      <c r="D117" s="67"/>
      <c r="E117" s="67"/>
      <c r="F117" s="67"/>
      <c r="G117" s="67"/>
      <c r="H117" s="67"/>
      <c r="I117" s="67"/>
      <c r="J117" s="67"/>
      <c r="K117" s="67"/>
      <c r="L117" s="67"/>
      <c r="M117" s="67"/>
      <c r="N117" s="67"/>
      <c r="O117" s="67"/>
      <c r="P117" s="67"/>
      <c r="Q117" s="67"/>
      <c r="R117" s="67"/>
      <c r="S117" s="67"/>
      <c r="T117" s="67"/>
      <c r="U117" s="67"/>
    </row>
    <row r="118" spans="2:21" ht="15.75" x14ac:dyDescent="0.25">
      <c r="B118" s="67"/>
      <c r="C118" s="67"/>
      <c r="D118" s="67"/>
      <c r="E118" s="67"/>
      <c r="F118" s="67"/>
      <c r="G118" s="67"/>
      <c r="H118" s="67"/>
      <c r="I118" s="67"/>
      <c r="J118" s="67"/>
      <c r="K118" s="67"/>
      <c r="L118" s="67"/>
      <c r="M118" s="67"/>
      <c r="N118" s="67"/>
      <c r="O118" s="67"/>
      <c r="P118" s="67"/>
      <c r="Q118" s="67"/>
      <c r="R118" s="67"/>
      <c r="S118" s="67"/>
      <c r="T118" s="67"/>
      <c r="U118" s="67"/>
    </row>
    <row r="119" spans="2:21" ht="15.75" x14ac:dyDescent="0.25">
      <c r="B119" s="67"/>
      <c r="C119" s="67"/>
      <c r="D119" s="67"/>
      <c r="E119" s="67"/>
      <c r="F119" s="67"/>
      <c r="G119" s="67"/>
      <c r="H119" s="67"/>
      <c r="I119" s="67"/>
      <c r="J119" s="67"/>
      <c r="K119" s="67"/>
      <c r="L119" s="67"/>
      <c r="M119" s="67"/>
      <c r="N119" s="67"/>
      <c r="O119" s="67"/>
      <c r="P119" s="67"/>
      <c r="Q119" s="67"/>
      <c r="R119" s="67"/>
      <c r="S119" s="67"/>
      <c r="T119" s="67"/>
      <c r="U119" s="67"/>
    </row>
    <row r="120" spans="2:21" ht="15.75" x14ac:dyDescent="0.25">
      <c r="B120" s="67"/>
      <c r="C120" s="67"/>
      <c r="D120" s="67"/>
      <c r="E120" s="67"/>
      <c r="F120" s="67"/>
      <c r="G120" s="67"/>
      <c r="H120" s="67"/>
      <c r="I120" s="67"/>
      <c r="J120" s="67"/>
      <c r="K120" s="67"/>
      <c r="L120" s="67"/>
      <c r="M120" s="67"/>
      <c r="N120" s="67"/>
      <c r="O120" s="67"/>
      <c r="P120" s="67"/>
      <c r="Q120" s="67"/>
      <c r="R120" s="67"/>
      <c r="S120" s="67"/>
      <c r="T120" s="67"/>
      <c r="U120" s="67"/>
    </row>
    <row r="121" spans="2:21" ht="15.75" x14ac:dyDescent="0.25">
      <c r="B121" s="67"/>
      <c r="C121" s="67"/>
      <c r="D121" s="67"/>
      <c r="E121" s="67"/>
      <c r="F121" s="67"/>
      <c r="G121" s="67"/>
      <c r="H121" s="67"/>
      <c r="I121" s="67"/>
      <c r="J121" s="67"/>
      <c r="K121" s="67"/>
      <c r="L121" s="67"/>
      <c r="M121" s="67"/>
      <c r="N121" s="67"/>
      <c r="O121" s="67"/>
      <c r="P121" s="67"/>
      <c r="Q121" s="67"/>
      <c r="R121" s="67"/>
      <c r="S121" s="67"/>
      <c r="T121" s="67"/>
      <c r="U121" s="67"/>
    </row>
    <row r="122" spans="2:21" ht="15.75" x14ac:dyDescent="0.25">
      <c r="B122" s="67"/>
      <c r="C122" s="67"/>
      <c r="D122" s="67"/>
      <c r="E122" s="67"/>
      <c r="F122" s="67"/>
      <c r="G122" s="67"/>
      <c r="H122" s="67"/>
      <c r="I122" s="67"/>
      <c r="J122" s="67"/>
      <c r="K122" s="67"/>
      <c r="L122" s="67"/>
      <c r="M122" s="67"/>
      <c r="N122" s="67"/>
      <c r="O122" s="67"/>
      <c r="P122" s="67"/>
      <c r="Q122" s="67"/>
      <c r="R122" s="67"/>
      <c r="S122" s="67"/>
      <c r="T122" s="67"/>
      <c r="U122" s="67"/>
    </row>
    <row r="123" spans="2:21" ht="15.75" x14ac:dyDescent="0.25">
      <c r="B123" s="67"/>
      <c r="C123" s="67"/>
      <c r="D123" s="67"/>
      <c r="E123" s="67"/>
      <c r="F123" s="67"/>
      <c r="G123" s="67"/>
      <c r="H123" s="67"/>
      <c r="I123" s="67"/>
      <c r="J123" s="67"/>
      <c r="K123" s="67"/>
      <c r="L123" s="67"/>
      <c r="M123" s="67"/>
      <c r="N123" s="67"/>
      <c r="O123" s="67"/>
      <c r="P123" s="67"/>
      <c r="Q123" s="67"/>
      <c r="R123" s="67"/>
      <c r="S123" s="67"/>
      <c r="T123" s="67"/>
      <c r="U123" s="67"/>
    </row>
    <row r="124" spans="2:21" ht="15.75" x14ac:dyDescent="0.25">
      <c r="B124" s="67"/>
      <c r="C124" s="67"/>
      <c r="D124" s="67"/>
      <c r="E124" s="67"/>
      <c r="F124" s="67"/>
      <c r="G124" s="67"/>
      <c r="H124" s="67"/>
      <c r="I124" s="67"/>
      <c r="J124" s="67"/>
      <c r="K124" s="67"/>
      <c r="L124" s="67"/>
      <c r="M124" s="67"/>
      <c r="N124" s="67"/>
      <c r="O124" s="67"/>
      <c r="P124" s="67"/>
      <c r="Q124" s="67"/>
      <c r="R124" s="67"/>
      <c r="S124" s="67"/>
      <c r="T124" s="67"/>
      <c r="U124" s="67"/>
    </row>
    <row r="125" spans="2:21" ht="15.75" x14ac:dyDescent="0.25">
      <c r="B125" s="67"/>
      <c r="C125" s="67"/>
      <c r="D125" s="67"/>
      <c r="E125" s="67"/>
      <c r="F125" s="67"/>
      <c r="G125" s="67"/>
      <c r="H125" s="67"/>
      <c r="I125" s="67"/>
      <c r="J125" s="67"/>
      <c r="K125" s="67"/>
      <c r="L125" s="67"/>
      <c r="M125" s="67"/>
      <c r="N125" s="67"/>
      <c r="O125" s="67"/>
      <c r="P125" s="67"/>
      <c r="Q125" s="67"/>
      <c r="R125" s="67"/>
      <c r="S125" s="67"/>
      <c r="T125" s="67"/>
      <c r="U125" s="67"/>
    </row>
    <row r="126" spans="2:21" ht="15.75" x14ac:dyDescent="0.25">
      <c r="B126" s="67"/>
      <c r="C126" s="67"/>
      <c r="D126" s="67"/>
      <c r="E126" s="67"/>
      <c r="F126" s="67"/>
      <c r="G126" s="67"/>
      <c r="H126" s="67"/>
      <c r="I126" s="67"/>
      <c r="J126" s="67"/>
      <c r="K126" s="67"/>
      <c r="L126" s="67"/>
      <c r="M126" s="67"/>
      <c r="N126" s="67"/>
      <c r="O126" s="67"/>
      <c r="P126" s="67"/>
      <c r="Q126" s="67"/>
      <c r="R126" s="67"/>
      <c r="S126" s="67"/>
      <c r="T126" s="67"/>
      <c r="U126" s="67"/>
    </row>
    <row r="127" spans="2:21" ht="15.75" x14ac:dyDescent="0.25">
      <c r="B127" s="67"/>
      <c r="C127" s="67"/>
      <c r="D127" s="67"/>
      <c r="E127" s="67"/>
      <c r="F127" s="67"/>
      <c r="G127" s="67"/>
      <c r="H127" s="67"/>
      <c r="I127" s="67"/>
      <c r="J127" s="67"/>
      <c r="K127" s="67"/>
      <c r="L127" s="67"/>
      <c r="M127" s="67"/>
      <c r="N127" s="67"/>
      <c r="O127" s="67"/>
      <c r="P127" s="67"/>
      <c r="Q127" s="67"/>
      <c r="R127" s="67"/>
      <c r="S127" s="67"/>
      <c r="T127" s="67"/>
      <c r="U127" s="67"/>
    </row>
    <row r="128" spans="2:21" ht="15.75" x14ac:dyDescent="0.25">
      <c r="B128" s="67"/>
      <c r="C128" s="67"/>
      <c r="D128" s="67"/>
      <c r="E128" s="67"/>
      <c r="F128" s="67"/>
      <c r="G128" s="67"/>
      <c r="H128" s="67"/>
      <c r="I128" s="67"/>
      <c r="J128" s="67"/>
      <c r="K128" s="67"/>
      <c r="L128" s="67"/>
      <c r="M128" s="67"/>
      <c r="N128" s="67"/>
      <c r="O128" s="67"/>
      <c r="P128" s="67"/>
      <c r="Q128" s="67"/>
      <c r="R128" s="67"/>
      <c r="S128" s="67"/>
      <c r="T128" s="67"/>
      <c r="U128" s="67"/>
    </row>
    <row r="129" spans="2:21" ht="15.75" x14ac:dyDescent="0.25">
      <c r="B129" s="67"/>
      <c r="C129" s="67"/>
      <c r="D129" s="67"/>
      <c r="E129" s="67"/>
      <c r="F129" s="67"/>
      <c r="G129" s="67"/>
      <c r="H129" s="67"/>
      <c r="I129" s="67"/>
      <c r="J129" s="67"/>
      <c r="K129" s="67"/>
      <c r="L129" s="67"/>
      <c r="M129" s="67"/>
      <c r="N129" s="67"/>
      <c r="O129" s="67"/>
      <c r="P129" s="67"/>
      <c r="Q129" s="67"/>
      <c r="R129" s="67"/>
      <c r="S129" s="67"/>
      <c r="T129" s="67"/>
      <c r="U129" s="67"/>
    </row>
    <row r="130" spans="2:21" ht="15.75" x14ac:dyDescent="0.25">
      <c r="B130" s="67"/>
      <c r="C130" s="67"/>
      <c r="D130" s="67"/>
      <c r="E130" s="67"/>
      <c r="F130" s="67"/>
      <c r="G130" s="67"/>
      <c r="H130" s="67"/>
      <c r="I130" s="67"/>
      <c r="J130" s="67"/>
      <c r="K130" s="67"/>
      <c r="L130" s="67"/>
      <c r="M130" s="67"/>
      <c r="N130" s="67"/>
      <c r="O130" s="67"/>
      <c r="P130" s="67"/>
      <c r="Q130" s="67"/>
      <c r="R130" s="67"/>
      <c r="S130" s="67"/>
      <c r="T130" s="67"/>
      <c r="U130" s="67"/>
    </row>
    <row r="131" spans="2:21" ht="15.75" x14ac:dyDescent="0.25">
      <c r="B131" s="67"/>
      <c r="C131" s="67"/>
      <c r="D131" s="67"/>
      <c r="E131" s="67"/>
      <c r="F131" s="67"/>
      <c r="G131" s="67"/>
      <c r="H131" s="67"/>
      <c r="I131" s="67"/>
      <c r="J131" s="67"/>
      <c r="K131" s="67"/>
      <c r="L131" s="67"/>
      <c r="M131" s="67"/>
      <c r="N131" s="67"/>
      <c r="O131" s="67"/>
      <c r="P131" s="67"/>
      <c r="Q131" s="67"/>
      <c r="R131" s="67"/>
      <c r="S131" s="67"/>
      <c r="T131" s="67"/>
      <c r="U131" s="67"/>
    </row>
    <row r="132" spans="2:21" ht="15.75" x14ac:dyDescent="0.25">
      <c r="B132" s="67"/>
      <c r="C132" s="67"/>
      <c r="D132" s="67"/>
      <c r="E132" s="67"/>
      <c r="F132" s="67"/>
      <c r="G132" s="67"/>
      <c r="H132" s="67"/>
      <c r="I132" s="67"/>
      <c r="J132" s="67"/>
      <c r="K132" s="67"/>
      <c r="L132" s="67"/>
      <c r="M132" s="67"/>
      <c r="N132" s="67"/>
      <c r="O132" s="67"/>
      <c r="P132" s="67"/>
      <c r="Q132" s="67"/>
      <c r="R132" s="67"/>
      <c r="S132" s="67"/>
      <c r="T132" s="67"/>
      <c r="U132" s="67"/>
    </row>
    <row r="133" spans="2:21" ht="15.75" x14ac:dyDescent="0.25">
      <c r="B133" s="67"/>
      <c r="C133" s="67"/>
      <c r="D133" s="67"/>
      <c r="E133" s="67"/>
      <c r="F133" s="67"/>
      <c r="G133" s="67"/>
      <c r="H133" s="67"/>
      <c r="I133" s="67"/>
      <c r="J133" s="67"/>
      <c r="K133" s="67"/>
      <c r="L133" s="67"/>
      <c r="M133" s="67"/>
      <c r="N133" s="67"/>
      <c r="O133" s="67"/>
      <c r="P133" s="67"/>
      <c r="Q133" s="67"/>
      <c r="R133" s="67"/>
      <c r="S133" s="67"/>
      <c r="T133" s="67"/>
      <c r="U133" s="67"/>
    </row>
    <row r="134" spans="2:21" ht="15.75" x14ac:dyDescent="0.25">
      <c r="B134" s="67"/>
      <c r="C134" s="67"/>
      <c r="D134" s="67"/>
      <c r="E134" s="67"/>
      <c r="F134" s="67"/>
      <c r="G134" s="67"/>
      <c r="H134" s="67"/>
      <c r="I134" s="67"/>
      <c r="J134" s="67"/>
      <c r="K134" s="67"/>
      <c r="L134" s="67"/>
      <c r="M134" s="67"/>
      <c r="N134" s="67"/>
      <c r="O134" s="67"/>
      <c r="P134" s="67"/>
      <c r="Q134" s="67"/>
      <c r="R134" s="67"/>
      <c r="S134" s="67"/>
      <c r="T134" s="67"/>
      <c r="U134" s="67"/>
    </row>
    <row r="135" spans="2:21" ht="15.75" x14ac:dyDescent="0.25">
      <c r="B135" s="67"/>
      <c r="C135" s="67"/>
      <c r="D135" s="67"/>
      <c r="E135" s="67"/>
      <c r="F135" s="67"/>
      <c r="G135" s="67"/>
      <c r="H135" s="67"/>
      <c r="I135" s="67"/>
      <c r="J135" s="67"/>
      <c r="K135" s="67"/>
      <c r="L135" s="67"/>
      <c r="M135" s="67"/>
      <c r="N135" s="67"/>
      <c r="O135" s="67"/>
      <c r="P135" s="67"/>
      <c r="Q135" s="67"/>
      <c r="R135" s="67"/>
      <c r="S135" s="67"/>
      <c r="T135" s="67"/>
      <c r="U135" s="67"/>
    </row>
    <row r="136" spans="2:21" ht="15.75" x14ac:dyDescent="0.25">
      <c r="B136" s="67"/>
      <c r="C136" s="67"/>
      <c r="D136" s="67"/>
      <c r="E136" s="67"/>
      <c r="F136" s="67"/>
      <c r="G136" s="67"/>
      <c r="H136" s="67"/>
      <c r="I136" s="67"/>
      <c r="J136" s="67"/>
      <c r="K136" s="67"/>
      <c r="L136" s="67"/>
      <c r="M136" s="67"/>
      <c r="N136" s="67"/>
      <c r="O136" s="67"/>
      <c r="P136" s="67"/>
      <c r="Q136" s="67"/>
      <c r="R136" s="67"/>
      <c r="S136" s="67"/>
      <c r="T136" s="67"/>
      <c r="U136" s="67"/>
    </row>
    <row r="137" spans="2:21" ht="15.75" x14ac:dyDescent="0.25">
      <c r="B137" s="67"/>
      <c r="C137" s="67"/>
      <c r="D137" s="67"/>
      <c r="E137" s="67"/>
      <c r="F137" s="67"/>
      <c r="G137" s="67"/>
      <c r="H137" s="67"/>
      <c r="I137" s="67"/>
      <c r="J137" s="67"/>
      <c r="K137" s="67"/>
      <c r="L137" s="67"/>
      <c r="M137" s="67"/>
      <c r="N137" s="67"/>
      <c r="O137" s="67"/>
      <c r="P137" s="67"/>
      <c r="Q137" s="67"/>
      <c r="R137" s="67"/>
      <c r="S137" s="67"/>
      <c r="T137" s="67"/>
      <c r="U137" s="67"/>
    </row>
    <row r="138" spans="2:21" ht="15.75" x14ac:dyDescent="0.25">
      <c r="B138" s="67"/>
      <c r="C138" s="67"/>
      <c r="D138" s="67"/>
      <c r="E138" s="67"/>
      <c r="F138" s="67"/>
      <c r="G138" s="67"/>
      <c r="H138" s="67"/>
      <c r="I138" s="67"/>
      <c r="J138" s="67"/>
      <c r="K138" s="67"/>
      <c r="L138" s="67"/>
      <c r="M138" s="67"/>
      <c r="N138" s="67"/>
      <c r="O138" s="67"/>
      <c r="P138" s="67"/>
      <c r="Q138" s="67"/>
      <c r="R138" s="67"/>
      <c r="S138" s="67"/>
      <c r="T138" s="67"/>
      <c r="U138" s="67"/>
    </row>
    <row r="139" spans="2:21" ht="15.75" x14ac:dyDescent="0.25">
      <c r="B139" s="67"/>
      <c r="C139" s="67"/>
      <c r="D139" s="67"/>
      <c r="E139" s="67"/>
      <c r="F139" s="67"/>
      <c r="G139" s="67"/>
      <c r="H139" s="67"/>
      <c r="I139" s="67"/>
      <c r="J139" s="67"/>
      <c r="K139" s="67"/>
      <c r="L139" s="67"/>
      <c r="M139" s="67"/>
      <c r="N139" s="67"/>
      <c r="O139" s="67"/>
      <c r="P139" s="67"/>
      <c r="Q139" s="67"/>
      <c r="R139" s="67"/>
      <c r="S139" s="67"/>
      <c r="T139" s="67"/>
      <c r="U139" s="67"/>
    </row>
    <row r="140" spans="2:21" ht="15.75" x14ac:dyDescent="0.25">
      <c r="B140" s="67"/>
      <c r="C140" s="67"/>
      <c r="D140" s="67"/>
      <c r="E140" s="67"/>
      <c r="F140" s="67"/>
      <c r="G140" s="67"/>
      <c r="H140" s="67"/>
      <c r="I140" s="67"/>
      <c r="J140" s="67"/>
      <c r="K140" s="67"/>
      <c r="L140" s="67"/>
      <c r="M140" s="67"/>
      <c r="N140" s="67"/>
      <c r="O140" s="67"/>
      <c r="P140" s="67"/>
      <c r="Q140" s="67"/>
      <c r="R140" s="67"/>
      <c r="S140" s="67"/>
      <c r="T140" s="67"/>
      <c r="U140" s="67"/>
    </row>
    <row r="141" spans="2:21" ht="15.75" x14ac:dyDescent="0.25">
      <c r="B141" s="67"/>
      <c r="C141" s="67"/>
      <c r="D141" s="67"/>
      <c r="E141" s="67"/>
      <c r="F141" s="67"/>
      <c r="G141" s="67"/>
      <c r="H141" s="67"/>
      <c r="I141" s="67"/>
      <c r="J141" s="67"/>
      <c r="K141" s="67"/>
      <c r="L141" s="67"/>
      <c r="M141" s="67"/>
      <c r="N141" s="67"/>
      <c r="O141" s="67"/>
      <c r="P141" s="67"/>
      <c r="Q141" s="67"/>
      <c r="R141" s="67"/>
      <c r="S141" s="67"/>
      <c r="T141" s="67"/>
      <c r="U141" s="67"/>
    </row>
    <row r="142" spans="2:21" ht="15.75" x14ac:dyDescent="0.25">
      <c r="B142" s="67"/>
      <c r="C142" s="67"/>
      <c r="D142" s="67"/>
      <c r="E142" s="67"/>
      <c r="F142" s="67"/>
      <c r="G142" s="67"/>
      <c r="H142" s="67"/>
      <c r="I142" s="67"/>
      <c r="J142" s="67"/>
      <c r="K142" s="67"/>
      <c r="L142" s="67"/>
      <c r="M142" s="67"/>
      <c r="N142" s="67"/>
      <c r="O142" s="67"/>
      <c r="P142" s="67"/>
      <c r="Q142" s="67"/>
      <c r="R142" s="67"/>
      <c r="S142" s="67"/>
      <c r="T142" s="67"/>
      <c r="U142" s="67"/>
    </row>
    <row r="143" spans="2:21" ht="15.75" x14ac:dyDescent="0.25">
      <c r="B143" s="67"/>
      <c r="C143" s="67"/>
      <c r="D143" s="67"/>
      <c r="E143" s="67"/>
      <c r="F143" s="67"/>
      <c r="G143" s="67"/>
      <c r="H143" s="67"/>
      <c r="I143" s="67"/>
      <c r="J143" s="67"/>
      <c r="K143" s="67"/>
      <c r="L143" s="67"/>
      <c r="M143" s="67"/>
      <c r="N143" s="67"/>
      <c r="O143" s="67"/>
      <c r="P143" s="67"/>
      <c r="Q143" s="67"/>
      <c r="R143" s="67"/>
      <c r="S143" s="67"/>
      <c r="T143" s="67"/>
      <c r="U143" s="67"/>
    </row>
    <row r="144" spans="2:21" ht="15.75" x14ac:dyDescent="0.25">
      <c r="B144" s="67"/>
      <c r="C144" s="67"/>
      <c r="D144" s="67"/>
      <c r="E144" s="67"/>
      <c r="F144" s="67"/>
      <c r="G144" s="67"/>
      <c r="H144" s="67"/>
      <c r="I144" s="67"/>
      <c r="J144" s="67"/>
      <c r="K144" s="67"/>
      <c r="L144" s="67"/>
      <c r="M144" s="67"/>
      <c r="N144" s="67"/>
      <c r="O144" s="67"/>
      <c r="P144" s="67"/>
      <c r="Q144" s="67"/>
      <c r="R144" s="67"/>
      <c r="S144" s="67"/>
      <c r="T144" s="67"/>
      <c r="U144" s="67"/>
    </row>
    <row r="145" spans="2:21" ht="15.75" x14ac:dyDescent="0.25">
      <c r="B145" s="67"/>
      <c r="C145" s="67"/>
      <c r="D145" s="67"/>
      <c r="E145" s="67"/>
      <c r="F145" s="67"/>
      <c r="G145" s="67"/>
      <c r="H145" s="67"/>
      <c r="I145" s="67"/>
      <c r="J145" s="67"/>
      <c r="K145" s="67"/>
      <c r="L145" s="67"/>
      <c r="M145" s="67"/>
      <c r="N145" s="67"/>
      <c r="O145" s="67"/>
      <c r="P145" s="67"/>
      <c r="Q145" s="67"/>
      <c r="R145" s="67"/>
      <c r="S145" s="67"/>
      <c r="T145" s="67"/>
      <c r="U145" s="67"/>
    </row>
    <row r="146" spans="2:21" ht="15.75" x14ac:dyDescent="0.25">
      <c r="B146" s="67"/>
      <c r="C146" s="67"/>
      <c r="D146" s="67"/>
      <c r="E146" s="67"/>
      <c r="F146" s="67"/>
      <c r="G146" s="67"/>
      <c r="H146" s="67"/>
      <c r="I146" s="67"/>
      <c r="J146" s="67"/>
      <c r="K146" s="67"/>
      <c r="L146" s="67"/>
      <c r="M146" s="67"/>
      <c r="N146" s="67"/>
      <c r="O146" s="67"/>
      <c r="P146" s="67"/>
      <c r="Q146" s="67"/>
      <c r="R146" s="67"/>
      <c r="S146" s="67"/>
      <c r="T146" s="67"/>
      <c r="U146" s="67"/>
    </row>
    <row r="147" spans="2:21" ht="15.75" x14ac:dyDescent="0.25">
      <c r="B147" s="67"/>
      <c r="C147" s="67"/>
      <c r="D147" s="67"/>
      <c r="E147" s="67"/>
      <c r="F147" s="67"/>
      <c r="G147" s="67"/>
      <c r="H147" s="67"/>
      <c r="I147" s="67"/>
      <c r="J147" s="67"/>
      <c r="K147" s="67"/>
      <c r="L147" s="67"/>
      <c r="M147" s="67"/>
      <c r="N147" s="67"/>
      <c r="O147" s="67"/>
      <c r="P147" s="67"/>
      <c r="Q147" s="67"/>
      <c r="R147" s="67"/>
      <c r="S147" s="67"/>
      <c r="T147" s="67"/>
      <c r="U147" s="67"/>
    </row>
    <row r="148" spans="2:21" ht="15.75" x14ac:dyDescent="0.25">
      <c r="B148" s="67"/>
      <c r="C148" s="67"/>
      <c r="D148" s="67"/>
      <c r="E148" s="67"/>
      <c r="F148" s="67"/>
      <c r="G148" s="67"/>
      <c r="H148" s="67"/>
      <c r="I148" s="67"/>
      <c r="J148" s="67"/>
      <c r="K148" s="67"/>
      <c r="L148" s="67"/>
      <c r="M148" s="67"/>
      <c r="N148" s="67"/>
      <c r="O148" s="67"/>
      <c r="P148" s="67"/>
      <c r="Q148" s="67"/>
      <c r="R148" s="67"/>
      <c r="S148" s="67"/>
      <c r="T148" s="67"/>
      <c r="U148" s="67"/>
    </row>
    <row r="149" spans="2:21" ht="15.75" x14ac:dyDescent="0.25">
      <c r="B149" s="67"/>
      <c r="C149" s="67"/>
      <c r="D149" s="67"/>
      <c r="E149" s="67"/>
      <c r="F149" s="67"/>
      <c r="G149" s="67"/>
      <c r="H149" s="67"/>
      <c r="I149" s="67"/>
      <c r="J149" s="67"/>
      <c r="K149" s="67"/>
      <c r="L149" s="67"/>
      <c r="M149" s="67"/>
      <c r="N149" s="67"/>
      <c r="O149" s="67"/>
      <c r="P149" s="67"/>
      <c r="Q149" s="67"/>
      <c r="R149" s="67"/>
      <c r="S149" s="67"/>
      <c r="T149" s="67"/>
      <c r="U149" s="67"/>
    </row>
    <row r="150" spans="2:21" ht="15.75" x14ac:dyDescent="0.25">
      <c r="B150" s="67"/>
      <c r="C150" s="67"/>
      <c r="D150" s="67"/>
      <c r="E150" s="67"/>
      <c r="F150" s="67"/>
      <c r="G150" s="67"/>
      <c r="H150" s="67"/>
      <c r="I150" s="67"/>
      <c r="J150" s="67"/>
      <c r="K150" s="67"/>
      <c r="L150" s="67"/>
      <c r="M150" s="67"/>
      <c r="N150" s="67"/>
      <c r="O150" s="67"/>
      <c r="P150" s="67"/>
      <c r="Q150" s="67"/>
      <c r="R150" s="67"/>
      <c r="S150" s="67"/>
      <c r="T150" s="67"/>
      <c r="U150" s="67"/>
    </row>
    <row r="151" spans="2:21" ht="15.75" x14ac:dyDescent="0.25">
      <c r="B151" s="67"/>
      <c r="C151" s="67"/>
      <c r="D151" s="67"/>
      <c r="E151" s="67"/>
      <c r="F151" s="67"/>
      <c r="G151" s="67"/>
      <c r="H151" s="67"/>
      <c r="I151" s="67"/>
      <c r="J151" s="67"/>
      <c r="K151" s="67"/>
      <c r="L151" s="67"/>
      <c r="M151" s="67"/>
      <c r="N151" s="67"/>
      <c r="O151" s="67"/>
      <c r="P151" s="67"/>
      <c r="Q151" s="67"/>
      <c r="R151" s="67"/>
      <c r="S151" s="67"/>
      <c r="T151" s="67"/>
      <c r="U151" s="67"/>
    </row>
    <row r="152" spans="2:21" ht="15.75" x14ac:dyDescent="0.25">
      <c r="B152" s="67"/>
      <c r="C152" s="67"/>
      <c r="D152" s="67"/>
      <c r="E152" s="67"/>
      <c r="F152" s="67"/>
      <c r="G152" s="67"/>
      <c r="H152" s="67"/>
      <c r="I152" s="67"/>
      <c r="J152" s="67"/>
      <c r="K152" s="67"/>
      <c r="L152" s="67"/>
      <c r="M152" s="67"/>
      <c r="N152" s="67"/>
      <c r="O152" s="67"/>
      <c r="P152" s="67"/>
      <c r="Q152" s="67"/>
      <c r="R152" s="67"/>
      <c r="S152" s="67"/>
      <c r="T152" s="67"/>
      <c r="U152" s="67"/>
    </row>
    <row r="153" spans="2:21" ht="15.75" x14ac:dyDescent="0.25">
      <c r="B153" s="67"/>
      <c r="C153" s="67"/>
      <c r="D153" s="67"/>
      <c r="E153" s="67"/>
      <c r="F153" s="67"/>
      <c r="G153" s="67"/>
      <c r="H153" s="67"/>
      <c r="I153" s="67"/>
      <c r="J153" s="67"/>
      <c r="K153" s="67"/>
      <c r="L153" s="67"/>
      <c r="M153" s="67"/>
      <c r="N153" s="67"/>
      <c r="O153" s="67"/>
      <c r="P153" s="67"/>
      <c r="Q153" s="67"/>
      <c r="R153" s="67"/>
      <c r="S153" s="67"/>
      <c r="T153" s="67"/>
      <c r="U153" s="67"/>
    </row>
    <row r="154" spans="2:21" ht="15.75" x14ac:dyDescent="0.25">
      <c r="B154" s="67"/>
      <c r="C154" s="67"/>
      <c r="D154" s="67"/>
      <c r="E154" s="67"/>
      <c r="F154" s="67"/>
      <c r="G154" s="67"/>
      <c r="H154" s="67"/>
      <c r="I154" s="67"/>
      <c r="J154" s="67"/>
      <c r="K154" s="67"/>
      <c r="L154" s="67"/>
      <c r="M154" s="67"/>
      <c r="N154" s="67"/>
      <c r="O154" s="67"/>
      <c r="P154" s="67"/>
      <c r="Q154" s="67"/>
      <c r="R154" s="67"/>
      <c r="S154" s="67"/>
      <c r="T154" s="67"/>
      <c r="U154" s="67"/>
    </row>
    <row r="155" spans="2:21" ht="15.75" x14ac:dyDescent="0.25">
      <c r="B155" s="67"/>
      <c r="C155" s="67"/>
      <c r="D155" s="67"/>
      <c r="E155" s="67"/>
      <c r="F155" s="67"/>
      <c r="G155" s="67"/>
      <c r="H155" s="67"/>
      <c r="I155" s="67"/>
      <c r="J155" s="67"/>
      <c r="K155" s="67"/>
      <c r="L155" s="67"/>
      <c r="M155" s="67"/>
      <c r="N155" s="67"/>
      <c r="O155" s="67"/>
      <c r="P155" s="67"/>
      <c r="Q155" s="67"/>
      <c r="R155" s="67"/>
      <c r="S155" s="67"/>
      <c r="T155" s="67"/>
      <c r="U155" s="67"/>
    </row>
    <row r="156" spans="2:21" ht="15.75" x14ac:dyDescent="0.25">
      <c r="B156" s="67"/>
      <c r="C156" s="67"/>
      <c r="D156" s="67"/>
      <c r="E156" s="67"/>
      <c r="F156" s="67"/>
      <c r="G156" s="67"/>
      <c r="H156" s="67"/>
      <c r="I156" s="67"/>
      <c r="J156" s="67"/>
      <c r="K156" s="67"/>
      <c r="L156" s="67"/>
      <c r="M156" s="67"/>
      <c r="N156" s="67"/>
      <c r="O156" s="67"/>
      <c r="P156" s="67"/>
      <c r="Q156" s="67"/>
      <c r="R156" s="67"/>
      <c r="S156" s="67"/>
      <c r="T156" s="67"/>
      <c r="U156" s="67"/>
    </row>
    <row r="157" spans="2:21" ht="15.75" x14ac:dyDescent="0.25">
      <c r="B157" s="67"/>
      <c r="C157" s="67"/>
      <c r="D157" s="67"/>
      <c r="E157" s="67"/>
      <c r="F157" s="67"/>
      <c r="G157" s="67"/>
      <c r="H157" s="67"/>
      <c r="I157" s="67"/>
      <c r="J157" s="67"/>
      <c r="K157" s="67"/>
      <c r="L157" s="67"/>
      <c r="M157" s="67"/>
      <c r="N157" s="67"/>
      <c r="O157" s="67"/>
      <c r="P157" s="67"/>
      <c r="Q157" s="67"/>
      <c r="R157" s="67"/>
      <c r="S157" s="67"/>
      <c r="T157" s="67"/>
      <c r="U157" s="67"/>
    </row>
    <row r="158" spans="2:21" ht="15.75" x14ac:dyDescent="0.25">
      <c r="B158" s="67"/>
      <c r="C158" s="67"/>
      <c r="D158" s="67"/>
      <c r="E158" s="67"/>
      <c r="F158" s="67"/>
      <c r="G158" s="67"/>
      <c r="H158" s="67"/>
      <c r="I158" s="67"/>
      <c r="J158" s="67"/>
      <c r="K158" s="67"/>
      <c r="L158" s="67"/>
      <c r="M158" s="67"/>
      <c r="N158" s="67"/>
      <c r="O158" s="67"/>
      <c r="P158" s="67"/>
      <c r="Q158" s="67"/>
      <c r="R158" s="67"/>
      <c r="S158" s="67"/>
      <c r="T158" s="67"/>
      <c r="U158" s="67"/>
    </row>
    <row r="159" spans="2:21" ht="15.75" x14ac:dyDescent="0.25">
      <c r="B159" s="67"/>
      <c r="C159" s="67"/>
      <c r="D159" s="67"/>
      <c r="E159" s="67"/>
      <c r="F159" s="67"/>
      <c r="G159" s="67"/>
      <c r="H159" s="67"/>
      <c r="I159" s="67"/>
      <c r="J159" s="67"/>
      <c r="K159" s="67"/>
      <c r="L159" s="67"/>
      <c r="M159" s="67"/>
      <c r="N159" s="67"/>
      <c r="O159" s="67"/>
      <c r="P159" s="67"/>
      <c r="Q159" s="67"/>
      <c r="R159" s="67"/>
      <c r="S159" s="67"/>
      <c r="T159" s="67"/>
      <c r="U159" s="67"/>
    </row>
    <row r="160" spans="2:21" ht="15.75" x14ac:dyDescent="0.25">
      <c r="B160" s="67"/>
      <c r="C160" s="67"/>
      <c r="D160" s="67"/>
      <c r="E160" s="67"/>
      <c r="F160" s="67"/>
      <c r="G160" s="67"/>
      <c r="H160" s="67"/>
      <c r="I160" s="67"/>
      <c r="J160" s="67"/>
      <c r="K160" s="67"/>
      <c r="L160" s="67"/>
      <c r="M160" s="67"/>
      <c r="N160" s="67"/>
      <c r="O160" s="67"/>
      <c r="P160" s="67"/>
      <c r="Q160" s="67"/>
      <c r="R160" s="67"/>
      <c r="S160" s="67"/>
      <c r="T160" s="67"/>
      <c r="U160" s="67"/>
    </row>
    <row r="161" spans="2:21" ht="15.75" x14ac:dyDescent="0.25">
      <c r="B161" s="67"/>
      <c r="C161" s="67"/>
      <c r="D161" s="67"/>
      <c r="E161" s="67"/>
      <c r="F161" s="67"/>
      <c r="G161" s="67"/>
      <c r="H161" s="67"/>
      <c r="I161" s="67"/>
      <c r="J161" s="67"/>
      <c r="K161" s="67"/>
      <c r="L161" s="67"/>
      <c r="M161" s="67"/>
      <c r="N161" s="67"/>
      <c r="O161" s="67"/>
      <c r="P161" s="67"/>
      <c r="Q161" s="67"/>
      <c r="R161" s="67"/>
      <c r="S161" s="67"/>
      <c r="T161" s="67"/>
      <c r="U161" s="67"/>
    </row>
    <row r="162" spans="2:21" ht="15.75" x14ac:dyDescent="0.25">
      <c r="B162" s="67"/>
      <c r="C162" s="67"/>
      <c r="D162" s="67"/>
      <c r="E162" s="67"/>
      <c r="F162" s="67"/>
      <c r="G162" s="67"/>
      <c r="H162" s="67"/>
      <c r="I162" s="67"/>
      <c r="J162" s="67"/>
      <c r="K162" s="67"/>
      <c r="L162" s="67"/>
      <c r="M162" s="67"/>
      <c r="N162" s="67"/>
      <c r="O162" s="67"/>
      <c r="P162" s="67"/>
      <c r="Q162" s="67"/>
      <c r="R162" s="67"/>
      <c r="S162" s="67"/>
      <c r="T162" s="67"/>
      <c r="U162" s="67"/>
    </row>
    <row r="163" spans="2:21" ht="15.75" x14ac:dyDescent="0.25">
      <c r="B163" s="67"/>
      <c r="C163" s="67"/>
      <c r="D163" s="67"/>
      <c r="E163" s="67"/>
      <c r="F163" s="67"/>
      <c r="G163" s="67"/>
      <c r="H163" s="67"/>
      <c r="I163" s="67"/>
      <c r="J163" s="67"/>
      <c r="K163" s="67"/>
      <c r="L163" s="67"/>
      <c r="M163" s="67"/>
      <c r="N163" s="67"/>
      <c r="O163" s="67"/>
      <c r="P163" s="67"/>
      <c r="Q163" s="67"/>
      <c r="R163" s="67"/>
      <c r="S163" s="67"/>
      <c r="T163" s="67"/>
      <c r="U163" s="67"/>
    </row>
    <row r="164" spans="2:21" ht="15.75" x14ac:dyDescent="0.25">
      <c r="B164" s="67"/>
      <c r="C164" s="67"/>
      <c r="D164" s="67"/>
      <c r="E164" s="67"/>
      <c r="F164" s="67"/>
      <c r="G164" s="67"/>
      <c r="H164" s="67"/>
      <c r="I164" s="67"/>
      <c r="J164" s="67"/>
      <c r="K164" s="67"/>
      <c r="L164" s="67"/>
      <c r="M164" s="67"/>
      <c r="N164" s="67"/>
      <c r="O164" s="67"/>
      <c r="P164" s="67"/>
      <c r="Q164" s="67"/>
      <c r="R164" s="67"/>
      <c r="S164" s="67"/>
      <c r="T164" s="67"/>
      <c r="U164" s="67"/>
    </row>
    <row r="165" spans="2:21" ht="15.75" x14ac:dyDescent="0.25">
      <c r="B165" s="67"/>
      <c r="C165" s="67"/>
      <c r="D165" s="67"/>
      <c r="E165" s="67"/>
      <c r="F165" s="67"/>
      <c r="G165" s="67"/>
      <c r="H165" s="67"/>
      <c r="I165" s="67"/>
      <c r="J165" s="67"/>
      <c r="K165" s="67"/>
      <c r="L165" s="67"/>
      <c r="M165" s="67"/>
      <c r="N165" s="67"/>
      <c r="O165" s="67"/>
      <c r="P165" s="67"/>
      <c r="Q165" s="67"/>
      <c r="R165" s="67"/>
      <c r="S165" s="67"/>
      <c r="T165" s="67"/>
      <c r="U165" s="67"/>
    </row>
    <row r="166" spans="2:21" ht="15.75" x14ac:dyDescent="0.25">
      <c r="B166" s="67"/>
      <c r="C166" s="67"/>
      <c r="D166" s="67"/>
      <c r="E166" s="67"/>
      <c r="F166" s="67"/>
      <c r="G166" s="67"/>
      <c r="H166" s="67"/>
      <c r="I166" s="67"/>
      <c r="J166" s="67"/>
      <c r="K166" s="67"/>
      <c r="L166" s="67"/>
      <c r="M166" s="67"/>
      <c r="N166" s="67"/>
      <c r="O166" s="67"/>
      <c r="P166" s="67"/>
      <c r="Q166" s="67"/>
      <c r="R166" s="67"/>
      <c r="S166" s="67"/>
      <c r="T166" s="67"/>
      <c r="U166" s="67"/>
    </row>
    <row r="167" spans="2:21" ht="15.75" x14ac:dyDescent="0.25">
      <c r="B167" s="67"/>
      <c r="C167" s="67"/>
      <c r="D167" s="67"/>
      <c r="E167" s="67"/>
      <c r="F167" s="67"/>
      <c r="G167" s="67"/>
      <c r="H167" s="67"/>
      <c r="I167" s="67"/>
      <c r="J167" s="67"/>
      <c r="K167" s="67"/>
      <c r="L167" s="67"/>
      <c r="M167" s="67"/>
      <c r="N167" s="67"/>
      <c r="O167" s="67"/>
      <c r="P167" s="67"/>
      <c r="Q167" s="67"/>
      <c r="R167" s="67"/>
      <c r="S167" s="67"/>
      <c r="T167" s="67"/>
      <c r="U167" s="67"/>
    </row>
    <row r="168" spans="2:21" ht="15.75" x14ac:dyDescent="0.25">
      <c r="B168" s="67"/>
      <c r="C168" s="67"/>
      <c r="D168" s="67"/>
      <c r="E168" s="67"/>
      <c r="F168" s="67"/>
      <c r="G168" s="67"/>
      <c r="H168" s="67"/>
      <c r="I168" s="67"/>
      <c r="J168" s="67"/>
      <c r="K168" s="67"/>
      <c r="L168" s="67"/>
      <c r="M168" s="67"/>
      <c r="N168" s="67"/>
      <c r="O168" s="67"/>
      <c r="P168" s="67"/>
      <c r="Q168" s="67"/>
      <c r="R168" s="67"/>
      <c r="S168" s="67"/>
      <c r="T168" s="67"/>
      <c r="U168" s="67"/>
    </row>
    <row r="169" spans="2:21" ht="15.75" x14ac:dyDescent="0.25">
      <c r="B169" s="67"/>
      <c r="C169" s="67"/>
      <c r="D169" s="67"/>
      <c r="E169" s="67"/>
      <c r="F169" s="67"/>
      <c r="G169" s="67"/>
      <c r="H169" s="67"/>
      <c r="I169" s="67"/>
      <c r="J169" s="67"/>
      <c r="K169" s="67"/>
      <c r="L169" s="67"/>
      <c r="M169" s="67"/>
      <c r="N169" s="67"/>
      <c r="O169" s="67"/>
      <c r="P169" s="67"/>
      <c r="Q169" s="67"/>
      <c r="R169" s="67"/>
      <c r="S169" s="67"/>
      <c r="T169" s="67"/>
      <c r="U169" s="67"/>
    </row>
  </sheetData>
  <pageMargins left="0.7" right="0.7" top="0.75" bottom="0.75" header="0.3" footer="0.3"/>
  <pageSetup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9"/>
  <sheetViews>
    <sheetView windowProtection="1" topLeftCell="A2" workbookViewId="0">
      <selection activeCell="J16" sqref="J16:O21"/>
    </sheetView>
  </sheetViews>
  <sheetFormatPr defaultRowHeight="15" x14ac:dyDescent="0.25"/>
  <cols>
    <col min="3" max="3" width="11.140625" customWidth="1"/>
    <col min="4" max="4" width="26" customWidth="1"/>
    <col min="5" max="5" width="21" customWidth="1"/>
    <col min="6" max="6" width="9.85546875" customWidth="1"/>
    <col min="7" max="7" width="10.7109375" customWidth="1"/>
    <col min="11" max="11" width="11.140625" customWidth="1"/>
    <col min="12" max="12" width="26" customWidth="1"/>
    <col min="13" max="13" width="21" customWidth="1"/>
    <col min="14" max="14" width="9.85546875" customWidth="1"/>
    <col min="15" max="15" width="10.7109375" customWidth="1"/>
  </cols>
  <sheetData>
    <row r="1" spans="1:16" ht="26.25" x14ac:dyDescent="0.4">
      <c r="A1" s="84" t="s">
        <v>301</v>
      </c>
      <c r="B1" s="84"/>
      <c r="C1" s="84"/>
      <c r="D1" s="84"/>
    </row>
    <row r="2" spans="1:16" ht="26.25" x14ac:dyDescent="0.4">
      <c r="A2" s="84"/>
      <c r="B2" s="84"/>
      <c r="C2" s="84"/>
      <c r="D2" s="84"/>
    </row>
    <row r="3" spans="1:16" ht="18.75" x14ac:dyDescent="0.3">
      <c r="A3" s="73" t="s">
        <v>283</v>
      </c>
      <c r="B3" s="73"/>
      <c r="C3" s="73"/>
      <c r="D3" s="73"/>
      <c r="E3" s="73"/>
      <c r="F3" s="73"/>
      <c r="G3" s="73"/>
    </row>
    <row r="5" spans="1:16" x14ac:dyDescent="0.25">
      <c r="D5" s="20" t="s">
        <v>285</v>
      </c>
      <c r="E5" s="56" t="s">
        <v>291</v>
      </c>
      <c r="L5" s="20" t="s">
        <v>286</v>
      </c>
      <c r="M5" s="56" t="s">
        <v>300</v>
      </c>
    </row>
    <row r="6" spans="1:16" x14ac:dyDescent="0.25">
      <c r="A6" s="86"/>
      <c r="B6" s="86"/>
      <c r="C6" s="86"/>
      <c r="D6" s="86"/>
      <c r="E6" s="86"/>
      <c r="F6" s="86"/>
      <c r="G6" s="86"/>
      <c r="H6" s="86"/>
      <c r="I6" s="86"/>
      <c r="J6" s="86"/>
      <c r="K6" s="86"/>
      <c r="L6" s="86"/>
      <c r="M6" s="86"/>
      <c r="N6" s="86"/>
      <c r="O6" s="86"/>
      <c r="P6" s="86"/>
    </row>
    <row r="7" spans="1:16" x14ac:dyDescent="0.25">
      <c r="A7" s="86"/>
      <c r="B7" s="87" t="s">
        <v>41</v>
      </c>
      <c r="C7" s="87" t="s">
        <v>133</v>
      </c>
      <c r="D7" s="87" t="s">
        <v>131</v>
      </c>
      <c r="E7" s="87" t="s">
        <v>132</v>
      </c>
      <c r="F7" s="87" t="s">
        <v>284</v>
      </c>
      <c r="G7" s="87" t="s">
        <v>15</v>
      </c>
      <c r="H7" s="86"/>
      <c r="I7" s="86"/>
      <c r="J7" s="87" t="s">
        <v>41</v>
      </c>
      <c r="K7" s="87" t="s">
        <v>133</v>
      </c>
      <c r="L7" s="87" t="s">
        <v>131</v>
      </c>
      <c r="M7" s="87" t="s">
        <v>132</v>
      </c>
      <c r="N7" s="87" t="s">
        <v>284</v>
      </c>
      <c r="O7" s="87" t="s">
        <v>15</v>
      </c>
      <c r="P7" s="86"/>
    </row>
    <row r="8" spans="1:16" x14ac:dyDescent="0.25">
      <c r="A8" s="86"/>
      <c r="B8" s="26" t="s">
        <v>134</v>
      </c>
      <c r="C8" s="26">
        <v>5389</v>
      </c>
      <c r="D8" s="26"/>
      <c r="E8" s="26"/>
      <c r="F8" s="26"/>
      <c r="G8" s="26"/>
      <c r="H8" s="86"/>
      <c r="I8" s="86"/>
      <c r="J8" s="26" t="s">
        <v>134</v>
      </c>
      <c r="K8" s="26">
        <v>5289</v>
      </c>
      <c r="L8" s="26"/>
      <c r="M8" s="26"/>
      <c r="N8" s="26"/>
      <c r="O8" s="26"/>
      <c r="P8" s="86"/>
    </row>
    <row r="9" spans="1:16" x14ac:dyDescent="0.25">
      <c r="A9" s="86"/>
      <c r="B9" s="26" t="s">
        <v>135</v>
      </c>
      <c r="C9" s="26">
        <v>5281</v>
      </c>
      <c r="D9" s="26"/>
      <c r="E9" s="26"/>
      <c r="F9" s="26"/>
      <c r="G9" s="26"/>
      <c r="H9" s="85"/>
      <c r="I9" s="86"/>
      <c r="J9" s="26" t="s">
        <v>135</v>
      </c>
      <c r="K9" s="26">
        <v>5270</v>
      </c>
      <c r="L9" s="26"/>
      <c r="M9" s="26"/>
      <c r="N9" s="26"/>
      <c r="O9" s="26"/>
      <c r="P9" s="86"/>
    </row>
    <row r="10" spans="1:16" x14ac:dyDescent="0.25">
      <c r="A10" s="86"/>
      <c r="B10" s="26" t="s">
        <v>136</v>
      </c>
      <c r="C10" s="26">
        <v>5311</v>
      </c>
      <c r="D10" s="26" t="s">
        <v>290</v>
      </c>
      <c r="E10" s="26" t="s">
        <v>52</v>
      </c>
      <c r="F10" s="26">
        <v>40.56</v>
      </c>
      <c r="G10" s="26" t="s">
        <v>18</v>
      </c>
      <c r="H10" s="85"/>
      <c r="I10" s="86"/>
      <c r="J10" s="26" t="s">
        <v>136</v>
      </c>
      <c r="K10" s="26">
        <v>5424</v>
      </c>
      <c r="L10" s="26" t="s">
        <v>304</v>
      </c>
      <c r="M10" s="26" t="s">
        <v>52</v>
      </c>
      <c r="N10" s="26">
        <v>40.049999999999997</v>
      </c>
      <c r="O10" s="26" t="s">
        <v>18</v>
      </c>
      <c r="P10" s="86"/>
    </row>
    <row r="11" spans="1:16" x14ac:dyDescent="0.25">
      <c r="A11" s="86"/>
      <c r="B11" s="26" t="s">
        <v>137</v>
      </c>
      <c r="C11" s="26">
        <v>2335</v>
      </c>
      <c r="D11" s="26"/>
      <c r="E11" s="26"/>
      <c r="F11" s="26"/>
      <c r="G11" s="26"/>
      <c r="H11" s="85"/>
      <c r="I11" s="86"/>
      <c r="J11" s="26" t="s">
        <v>137</v>
      </c>
      <c r="K11" s="26">
        <v>5336</v>
      </c>
      <c r="L11" s="26"/>
      <c r="M11" s="26"/>
      <c r="N11" s="26"/>
      <c r="O11" s="26"/>
      <c r="P11" s="86"/>
    </row>
    <row r="12" spans="1:16" x14ac:dyDescent="0.25">
      <c r="A12" s="86"/>
      <c r="B12" s="26" t="s">
        <v>138</v>
      </c>
      <c r="C12" s="26">
        <v>5240</v>
      </c>
      <c r="D12" s="26"/>
      <c r="E12" s="26"/>
      <c r="F12" s="26"/>
      <c r="G12" s="26"/>
      <c r="H12" s="85"/>
      <c r="I12" s="86"/>
      <c r="J12" s="26" t="s">
        <v>138</v>
      </c>
      <c r="K12" s="26">
        <v>5385</v>
      </c>
      <c r="L12" s="26"/>
      <c r="M12" s="26"/>
      <c r="N12" s="26"/>
      <c r="O12" s="26"/>
      <c r="P12" s="86"/>
    </row>
    <row r="13" spans="1:16" x14ac:dyDescent="0.25">
      <c r="A13" s="86"/>
      <c r="B13" s="26" t="s">
        <v>139</v>
      </c>
      <c r="C13" s="26">
        <v>5304</v>
      </c>
      <c r="D13" s="26"/>
      <c r="E13" s="26"/>
      <c r="F13" s="26"/>
      <c r="G13" s="26"/>
      <c r="H13" s="86"/>
      <c r="I13" s="86"/>
      <c r="J13" s="26" t="s">
        <v>139</v>
      </c>
      <c r="K13" s="26">
        <v>5383</v>
      </c>
      <c r="L13" s="26"/>
      <c r="M13" s="26"/>
      <c r="N13" s="26"/>
      <c r="O13" s="26"/>
      <c r="P13" s="86"/>
    </row>
    <row r="14" spans="1:16" x14ac:dyDescent="0.25">
      <c r="A14" s="86"/>
      <c r="B14" s="88"/>
      <c r="C14" s="88"/>
      <c r="D14" s="88"/>
      <c r="E14" s="88"/>
      <c r="F14" s="88"/>
      <c r="G14" s="88"/>
      <c r="H14" s="89"/>
      <c r="I14" s="89"/>
      <c r="J14" s="88"/>
      <c r="K14" s="88"/>
      <c r="L14" s="88"/>
      <c r="M14" s="88"/>
      <c r="N14" s="88"/>
      <c r="O14" s="88"/>
      <c r="P14" s="86"/>
    </row>
    <row r="15" spans="1:16" x14ac:dyDescent="0.25">
      <c r="A15" s="86"/>
      <c r="B15" s="90" t="s">
        <v>47</v>
      </c>
      <c r="C15" s="88"/>
      <c r="D15" s="88"/>
      <c r="E15" s="88"/>
      <c r="F15" s="88"/>
      <c r="G15" s="88"/>
      <c r="H15" s="89"/>
      <c r="I15" s="89"/>
      <c r="J15" s="90" t="s">
        <v>47</v>
      </c>
      <c r="K15" s="88"/>
      <c r="L15" s="88"/>
      <c r="M15" s="88"/>
      <c r="N15" s="88"/>
      <c r="O15" s="88"/>
      <c r="P15" s="86"/>
    </row>
    <row r="16" spans="1:16" x14ac:dyDescent="0.25">
      <c r="A16" s="86"/>
      <c r="B16" s="26" t="s">
        <v>134</v>
      </c>
      <c r="C16" s="26">
        <v>5307</v>
      </c>
      <c r="D16" s="26"/>
      <c r="E16" s="26"/>
      <c r="F16" s="26"/>
      <c r="G16" s="26"/>
      <c r="H16" s="86"/>
      <c r="I16" s="86"/>
      <c r="J16" s="26" t="s">
        <v>134</v>
      </c>
      <c r="K16" s="26">
        <v>5343</v>
      </c>
      <c r="L16" s="26"/>
      <c r="M16" s="26"/>
      <c r="N16" s="26"/>
      <c r="O16" s="26"/>
      <c r="P16" s="86"/>
    </row>
    <row r="17" spans="1:16" x14ac:dyDescent="0.25">
      <c r="A17" s="86"/>
      <c r="B17" s="26" t="s">
        <v>135</v>
      </c>
      <c r="C17" s="26">
        <v>5393</v>
      </c>
      <c r="D17" s="26"/>
      <c r="E17" s="26"/>
      <c r="F17" s="26"/>
      <c r="G17" s="26"/>
      <c r="H17" s="86"/>
      <c r="I17" s="86"/>
      <c r="J17" s="26" t="s">
        <v>135</v>
      </c>
      <c r="K17" s="26">
        <v>5186</v>
      </c>
      <c r="L17" s="26"/>
      <c r="M17" s="26"/>
      <c r="N17" s="26"/>
      <c r="O17" s="26"/>
      <c r="P17" s="86"/>
    </row>
    <row r="18" spans="1:16" x14ac:dyDescent="0.25">
      <c r="A18" s="86"/>
      <c r="B18" s="26" t="s">
        <v>136</v>
      </c>
      <c r="C18" s="26">
        <v>5288</v>
      </c>
      <c r="D18" s="26" t="s">
        <v>288</v>
      </c>
      <c r="E18" s="26" t="s">
        <v>52</v>
      </c>
      <c r="F18" s="26">
        <v>41.07</v>
      </c>
      <c r="G18" s="26" t="s">
        <v>18</v>
      </c>
      <c r="H18" s="86"/>
      <c r="I18" s="86"/>
      <c r="J18" s="26" t="s">
        <v>136</v>
      </c>
      <c r="K18" s="26">
        <v>5317</v>
      </c>
      <c r="L18" s="26" t="s">
        <v>302</v>
      </c>
      <c r="M18" s="26" t="s">
        <v>52</v>
      </c>
      <c r="N18" s="26">
        <v>40.04</v>
      </c>
      <c r="O18" s="26" t="s">
        <v>18</v>
      </c>
      <c r="P18" s="86"/>
    </row>
    <row r="19" spans="1:16" x14ac:dyDescent="0.25">
      <c r="A19" s="86"/>
      <c r="B19" s="26" t="s">
        <v>137</v>
      </c>
      <c r="C19" s="26">
        <v>2503</v>
      </c>
      <c r="D19" s="26"/>
      <c r="E19" s="26"/>
      <c r="F19" s="26"/>
      <c r="G19" s="26"/>
      <c r="H19" s="86"/>
      <c r="I19" s="86"/>
      <c r="J19" s="26" t="s">
        <v>137</v>
      </c>
      <c r="K19" s="26">
        <v>5303</v>
      </c>
      <c r="L19" s="26"/>
      <c r="M19" s="26"/>
      <c r="N19" s="26"/>
      <c r="O19" s="26"/>
      <c r="P19" s="86"/>
    </row>
    <row r="20" spans="1:16" x14ac:dyDescent="0.25">
      <c r="A20" s="86"/>
      <c r="B20" s="26" t="s">
        <v>138</v>
      </c>
      <c r="C20" s="26">
        <v>2511</v>
      </c>
      <c r="D20" s="26"/>
      <c r="E20" s="26"/>
      <c r="F20" s="26"/>
      <c r="G20" s="26"/>
      <c r="H20" s="86"/>
      <c r="I20" s="86"/>
      <c r="J20" s="26" t="s">
        <v>138</v>
      </c>
      <c r="K20" s="26">
        <v>5337</v>
      </c>
      <c r="L20" s="26"/>
      <c r="M20" s="26"/>
      <c r="N20" s="26"/>
      <c r="O20" s="26"/>
      <c r="P20" s="86"/>
    </row>
    <row r="21" spans="1:16" x14ac:dyDescent="0.25">
      <c r="A21" s="86"/>
      <c r="B21" s="26" t="s">
        <v>139</v>
      </c>
      <c r="C21" s="26">
        <v>5309</v>
      </c>
      <c r="D21" s="26"/>
      <c r="E21" s="26"/>
      <c r="F21" s="26"/>
      <c r="G21" s="26"/>
      <c r="H21" s="86"/>
      <c r="I21" s="86"/>
      <c r="J21" s="26" t="s">
        <v>139</v>
      </c>
      <c r="K21" s="26">
        <v>5382</v>
      </c>
      <c r="L21" s="26"/>
      <c r="M21" s="26"/>
      <c r="N21" s="26"/>
      <c r="O21" s="26"/>
      <c r="P21" s="86"/>
    </row>
    <row r="22" spans="1:16" x14ac:dyDescent="0.25">
      <c r="A22" s="86"/>
      <c r="B22" s="88"/>
      <c r="C22" s="88"/>
      <c r="D22" s="88"/>
      <c r="E22" s="88"/>
      <c r="F22" s="88"/>
      <c r="G22" s="88"/>
      <c r="H22" s="89"/>
      <c r="I22" s="89"/>
      <c r="J22" s="88"/>
      <c r="K22" s="88"/>
      <c r="L22" s="88"/>
      <c r="M22" s="88"/>
      <c r="N22" s="88"/>
      <c r="O22" s="88"/>
      <c r="P22" s="86"/>
    </row>
    <row r="23" spans="1:16" x14ac:dyDescent="0.25">
      <c r="A23" s="86"/>
      <c r="B23" s="90" t="s">
        <v>48</v>
      </c>
      <c r="C23" s="88"/>
      <c r="D23" s="88"/>
      <c r="E23" s="88"/>
      <c r="F23" s="88"/>
      <c r="G23" s="88"/>
      <c r="H23" s="89"/>
      <c r="I23" s="89"/>
      <c r="J23" s="90" t="s">
        <v>48</v>
      </c>
      <c r="K23" s="88"/>
      <c r="L23" s="88"/>
      <c r="M23" s="88"/>
      <c r="N23" s="88"/>
      <c r="O23" s="88"/>
      <c r="P23" s="86"/>
    </row>
    <row r="24" spans="1:16" x14ac:dyDescent="0.25">
      <c r="A24" s="86"/>
      <c r="B24" s="26" t="s">
        <v>134</v>
      </c>
      <c r="C24" s="26">
        <v>5283</v>
      </c>
      <c r="D24" s="26"/>
      <c r="E24" s="26"/>
      <c r="F24" s="26"/>
      <c r="G24" s="26"/>
      <c r="H24" s="86"/>
      <c r="I24" s="86"/>
      <c r="J24" s="26" t="s">
        <v>134</v>
      </c>
      <c r="K24" s="26">
        <v>5290</v>
      </c>
      <c r="L24" s="26"/>
      <c r="M24" s="26"/>
      <c r="N24" s="26"/>
      <c r="O24" s="26"/>
      <c r="P24" s="86"/>
    </row>
    <row r="25" spans="1:16" x14ac:dyDescent="0.25">
      <c r="A25" s="86"/>
      <c r="B25" s="26" t="s">
        <v>135</v>
      </c>
      <c r="C25" s="26">
        <v>5330</v>
      </c>
      <c r="D25" s="26"/>
      <c r="E25" s="26"/>
      <c r="F25" s="26"/>
      <c r="G25" s="26"/>
      <c r="H25" s="86"/>
      <c r="I25" s="86"/>
      <c r="J25" s="26" t="s">
        <v>135</v>
      </c>
      <c r="K25" s="26">
        <v>5297</v>
      </c>
      <c r="L25" s="26"/>
      <c r="M25" s="26"/>
      <c r="N25" s="26"/>
      <c r="O25" s="26"/>
      <c r="P25" s="86"/>
    </row>
    <row r="26" spans="1:16" x14ac:dyDescent="0.25">
      <c r="A26" s="86"/>
      <c r="B26" s="26" t="s">
        <v>136</v>
      </c>
      <c r="C26" s="26">
        <v>5295</v>
      </c>
      <c r="D26" s="26" t="s">
        <v>287</v>
      </c>
      <c r="E26" s="26" t="s">
        <v>52</v>
      </c>
      <c r="F26" s="26">
        <v>41.08</v>
      </c>
      <c r="G26" s="26" t="s">
        <v>18</v>
      </c>
      <c r="H26" s="86"/>
      <c r="I26" s="86"/>
      <c r="J26" s="26" t="s">
        <v>136</v>
      </c>
      <c r="K26" s="26">
        <v>5423</v>
      </c>
      <c r="L26" s="26" t="s">
        <v>303</v>
      </c>
      <c r="M26" s="26" t="s">
        <v>52</v>
      </c>
      <c r="N26" s="26">
        <v>40</v>
      </c>
      <c r="O26" s="26" t="s">
        <v>18</v>
      </c>
      <c r="P26" s="86"/>
    </row>
    <row r="27" spans="1:16" x14ac:dyDescent="0.25">
      <c r="A27" s="86"/>
      <c r="B27" s="26" t="s">
        <v>137</v>
      </c>
      <c r="C27" s="26">
        <v>5238</v>
      </c>
      <c r="D27" s="26"/>
      <c r="E27" s="26"/>
      <c r="F27" s="26"/>
      <c r="G27" s="26"/>
      <c r="H27" s="86"/>
      <c r="I27" s="86"/>
      <c r="J27" s="26" t="s">
        <v>137</v>
      </c>
      <c r="K27" s="26">
        <v>5384</v>
      </c>
      <c r="L27" s="26"/>
      <c r="M27" s="26"/>
      <c r="N27" s="26"/>
      <c r="O27" s="26"/>
      <c r="P27" s="86"/>
    </row>
    <row r="28" spans="1:16" x14ac:dyDescent="0.25">
      <c r="A28" s="86"/>
      <c r="B28" s="26" t="s">
        <v>138</v>
      </c>
      <c r="C28" s="26">
        <v>5269</v>
      </c>
      <c r="D28" s="26"/>
      <c r="E28" s="26"/>
      <c r="F28" s="26"/>
      <c r="G28" s="26"/>
      <c r="H28" s="86"/>
      <c r="I28" s="86"/>
      <c r="J28" s="26" t="s">
        <v>138</v>
      </c>
      <c r="K28" s="26">
        <v>5236</v>
      </c>
      <c r="L28" s="26"/>
      <c r="M28" s="26"/>
      <c r="N28" s="26"/>
      <c r="O28" s="26"/>
      <c r="P28" s="86"/>
    </row>
    <row r="29" spans="1:16" x14ac:dyDescent="0.25">
      <c r="A29" s="86"/>
      <c r="B29" s="26" t="s">
        <v>139</v>
      </c>
      <c r="C29" s="26">
        <v>5255</v>
      </c>
      <c r="D29" s="26"/>
      <c r="E29" s="26"/>
      <c r="F29" s="26"/>
      <c r="G29" s="26"/>
      <c r="H29" s="86"/>
      <c r="I29" s="86"/>
      <c r="J29" s="26" t="s">
        <v>139</v>
      </c>
      <c r="K29" s="26">
        <v>5249</v>
      </c>
      <c r="L29" s="26"/>
      <c r="M29" s="26"/>
      <c r="N29" s="26"/>
      <c r="O29" s="26"/>
      <c r="P29" s="86"/>
    </row>
    <row r="30" spans="1:16" x14ac:dyDescent="0.25">
      <c r="A30" s="86"/>
      <c r="B30" s="85"/>
      <c r="C30" s="85"/>
      <c r="D30" s="85"/>
      <c r="E30" s="85"/>
      <c r="F30" s="85"/>
      <c r="G30" s="85"/>
      <c r="H30" s="86"/>
      <c r="I30" s="86"/>
      <c r="J30" s="85"/>
      <c r="K30" s="85"/>
      <c r="L30" s="85"/>
      <c r="M30" s="85"/>
      <c r="N30" s="85"/>
      <c r="O30" s="85"/>
      <c r="P30" s="86"/>
    </row>
    <row r="31" spans="1:16" x14ac:dyDescent="0.25">
      <c r="A31" s="86"/>
      <c r="B31" s="87" t="s">
        <v>49</v>
      </c>
      <c r="C31" s="85"/>
      <c r="D31" s="85"/>
      <c r="E31" s="85"/>
      <c r="F31" s="85"/>
      <c r="G31" s="85"/>
      <c r="H31" s="86"/>
      <c r="I31" s="86"/>
      <c r="J31" s="87" t="s">
        <v>49</v>
      </c>
      <c r="K31" s="85"/>
      <c r="L31" s="85"/>
      <c r="M31" s="85"/>
      <c r="N31" s="85"/>
      <c r="O31" s="85"/>
      <c r="P31" s="86"/>
    </row>
    <row r="32" spans="1:16" x14ac:dyDescent="0.25">
      <c r="A32" s="86"/>
      <c r="B32" s="26" t="s">
        <v>134</v>
      </c>
      <c r="C32" s="26">
        <v>5314</v>
      </c>
      <c r="D32" s="26"/>
      <c r="E32" s="26"/>
      <c r="F32" s="26"/>
      <c r="G32" s="26"/>
      <c r="H32" s="86"/>
      <c r="I32" s="86"/>
      <c r="J32" s="26" t="s">
        <v>134</v>
      </c>
      <c r="K32" s="26">
        <v>5339</v>
      </c>
      <c r="L32" s="26"/>
      <c r="M32" s="26"/>
      <c r="N32" s="26"/>
      <c r="O32" s="26"/>
      <c r="P32" s="86"/>
    </row>
    <row r="33" spans="1:16" x14ac:dyDescent="0.25">
      <c r="A33" s="86"/>
      <c r="B33" s="26" t="s">
        <v>135</v>
      </c>
      <c r="C33" s="26">
        <v>5392</v>
      </c>
      <c r="D33" s="25"/>
      <c r="E33" s="25"/>
      <c r="F33" s="25"/>
      <c r="G33" s="25"/>
      <c r="H33" s="86"/>
      <c r="I33" s="86"/>
      <c r="J33" s="26" t="s">
        <v>135</v>
      </c>
      <c r="K33" s="26">
        <v>5296</v>
      </c>
      <c r="L33" s="25"/>
      <c r="M33" s="25"/>
      <c r="N33" s="25"/>
      <c r="O33" s="25"/>
      <c r="P33" s="86"/>
    </row>
    <row r="34" spans="1:16" x14ac:dyDescent="0.25">
      <c r="A34" s="86"/>
      <c r="B34" s="26" t="s">
        <v>136</v>
      </c>
      <c r="C34" s="26">
        <v>5331</v>
      </c>
      <c r="D34" s="26" t="s">
        <v>289</v>
      </c>
      <c r="E34" s="26" t="s">
        <v>52</v>
      </c>
      <c r="F34" s="26">
        <v>41.21</v>
      </c>
      <c r="G34" s="26" t="s">
        <v>18</v>
      </c>
      <c r="H34" s="86"/>
      <c r="I34" s="86"/>
      <c r="J34" s="26" t="s">
        <v>136</v>
      </c>
      <c r="K34" s="26">
        <v>5341</v>
      </c>
      <c r="L34" s="26" t="s">
        <v>302</v>
      </c>
      <c r="M34" s="26" t="s">
        <v>52</v>
      </c>
      <c r="N34" s="26">
        <v>40.340000000000003</v>
      </c>
      <c r="O34" s="26" t="s">
        <v>18</v>
      </c>
      <c r="P34" s="86"/>
    </row>
    <row r="35" spans="1:16" x14ac:dyDescent="0.25">
      <c r="A35" s="86"/>
      <c r="B35" s="26" t="s">
        <v>137</v>
      </c>
      <c r="C35" s="26">
        <v>5407</v>
      </c>
      <c r="D35" s="25"/>
      <c r="E35" s="25"/>
      <c r="F35" s="25"/>
      <c r="G35" s="25"/>
      <c r="H35" s="86"/>
      <c r="I35" s="86"/>
      <c r="J35" s="26" t="s">
        <v>137</v>
      </c>
      <c r="K35" s="26">
        <v>5340</v>
      </c>
      <c r="L35" s="25"/>
      <c r="M35" s="25"/>
      <c r="N35" s="25"/>
      <c r="O35" s="25"/>
      <c r="P35" s="86"/>
    </row>
    <row r="36" spans="1:16" x14ac:dyDescent="0.25">
      <c r="A36" s="86"/>
      <c r="B36" s="26" t="s">
        <v>138</v>
      </c>
      <c r="C36" s="26">
        <v>2510</v>
      </c>
      <c r="D36" s="25"/>
      <c r="E36" s="25"/>
      <c r="F36" s="25"/>
      <c r="G36" s="25"/>
      <c r="H36" s="86"/>
      <c r="I36" s="86"/>
      <c r="J36" s="26" t="s">
        <v>138</v>
      </c>
      <c r="K36" s="26">
        <v>5275</v>
      </c>
      <c r="L36" s="25"/>
      <c r="M36" s="25"/>
      <c r="N36" s="25"/>
      <c r="O36" s="25"/>
      <c r="P36" s="86"/>
    </row>
    <row r="37" spans="1:16" x14ac:dyDescent="0.25">
      <c r="A37" s="86"/>
      <c r="B37" s="26" t="s">
        <v>139</v>
      </c>
      <c r="C37" s="26">
        <v>5239</v>
      </c>
      <c r="D37" s="25"/>
      <c r="E37" s="25"/>
      <c r="F37" s="25"/>
      <c r="G37" s="25"/>
      <c r="H37" s="86"/>
      <c r="I37" s="86"/>
      <c r="J37" s="26" t="s">
        <v>139</v>
      </c>
      <c r="K37" s="26">
        <v>5342</v>
      </c>
      <c r="L37" s="25"/>
      <c r="M37" s="25"/>
      <c r="N37" s="25"/>
      <c r="O37" s="25"/>
      <c r="P37" s="86"/>
    </row>
    <row r="38" spans="1:16" x14ac:dyDescent="0.25">
      <c r="A38" s="86"/>
      <c r="B38" s="86"/>
      <c r="C38" s="86"/>
      <c r="D38" s="86"/>
      <c r="E38" s="86"/>
      <c r="F38" s="86"/>
      <c r="G38" s="86"/>
      <c r="H38" s="86"/>
      <c r="I38" s="86"/>
      <c r="J38" s="86"/>
      <c r="K38" s="86"/>
      <c r="L38" s="86"/>
      <c r="M38" s="86"/>
      <c r="N38" s="86"/>
      <c r="O38" s="86"/>
      <c r="P38" s="86"/>
    </row>
    <row r="39" spans="1:16" x14ac:dyDescent="0.25">
      <c r="A39" s="86"/>
      <c r="B39" s="86"/>
      <c r="C39" s="86"/>
      <c r="D39" s="86"/>
      <c r="E39" s="86"/>
      <c r="F39" s="86"/>
      <c r="G39" s="86"/>
      <c r="H39" s="86"/>
      <c r="I39" s="86"/>
      <c r="J39" s="86"/>
      <c r="K39" s="86"/>
      <c r="L39" s="86"/>
      <c r="M39" s="86"/>
      <c r="N39" s="86"/>
      <c r="O39" s="86"/>
      <c r="P39" s="86"/>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T64"/>
  <sheetViews>
    <sheetView windowProtection="1" topLeftCell="A28" workbookViewId="0">
      <selection activeCell="K35" sqref="K35"/>
    </sheetView>
  </sheetViews>
  <sheetFormatPr defaultRowHeight="15" x14ac:dyDescent="0.25"/>
  <cols>
    <col min="4" max="4" width="11.140625" customWidth="1"/>
    <col min="5" max="5" width="7.42578125" customWidth="1"/>
    <col min="6" max="6" width="14" customWidth="1"/>
    <col min="7" max="7" width="14.140625" customWidth="1"/>
    <col min="9" max="9" width="11.7109375" style="18" customWidth="1"/>
    <col min="10" max="10" width="9.140625" style="1"/>
    <col min="15" max="15" width="9.140625" customWidth="1"/>
    <col min="16" max="16" width="11" customWidth="1"/>
    <col min="17" max="17" width="8.85546875" customWidth="1"/>
    <col min="18" max="18" width="11.7109375" customWidth="1"/>
    <col min="19" max="19" width="11" style="1" customWidth="1"/>
    <col min="20" max="20" width="12.42578125" customWidth="1"/>
  </cols>
  <sheetData>
    <row r="2" spans="2:20" ht="23.25" x14ac:dyDescent="0.35">
      <c r="B2" s="42" t="s">
        <v>40</v>
      </c>
      <c r="C2" s="42"/>
      <c r="D2" s="42"/>
      <c r="E2" s="42"/>
      <c r="F2" s="42"/>
      <c r="G2" s="42"/>
      <c r="H2" s="22"/>
    </row>
    <row r="3" spans="2:20" ht="23.25" x14ac:dyDescent="0.35">
      <c r="B3" s="93"/>
      <c r="C3" s="93"/>
      <c r="D3" s="93"/>
      <c r="E3" s="93"/>
      <c r="F3" s="93"/>
      <c r="G3" s="93"/>
      <c r="H3" s="18"/>
    </row>
    <row r="4" spans="2:20" ht="23.25" x14ac:dyDescent="0.35">
      <c r="B4" s="42" t="s">
        <v>321</v>
      </c>
      <c r="C4" s="42"/>
      <c r="D4" s="42"/>
      <c r="E4" s="42"/>
      <c r="F4" s="42"/>
      <c r="G4" s="42"/>
      <c r="H4" s="20"/>
    </row>
    <row r="5" spans="2:20" x14ac:dyDescent="0.25">
      <c r="B5" s="19"/>
      <c r="C5" s="19"/>
      <c r="D5" s="19"/>
      <c r="E5" s="19"/>
      <c r="F5" s="19"/>
      <c r="G5" s="19"/>
      <c r="H5" s="20"/>
    </row>
    <row r="6" spans="2:20" x14ac:dyDescent="0.25">
      <c r="B6" s="19"/>
      <c r="C6" s="19"/>
      <c r="D6" s="19"/>
      <c r="E6" s="19"/>
      <c r="F6" s="19"/>
      <c r="G6" s="19"/>
      <c r="H6" s="20"/>
    </row>
    <row r="7" spans="2:20" x14ac:dyDescent="0.25">
      <c r="F7" s="19" t="s">
        <v>305</v>
      </c>
      <c r="R7" s="19" t="s">
        <v>315</v>
      </c>
      <c r="T7" s="18"/>
    </row>
    <row r="8" spans="2:20" x14ac:dyDescent="0.25">
      <c r="R8" s="20"/>
      <c r="S8" s="20"/>
      <c r="T8" s="18"/>
    </row>
    <row r="9" spans="2:20" x14ac:dyDescent="0.25">
      <c r="B9" s="20" t="s">
        <v>41</v>
      </c>
      <c r="C9" s="24" t="s">
        <v>42</v>
      </c>
      <c r="D9" s="24" t="s">
        <v>51</v>
      </c>
      <c r="E9" s="92" t="s">
        <v>175</v>
      </c>
      <c r="F9" s="24" t="s">
        <v>43</v>
      </c>
      <c r="G9" s="24" t="s">
        <v>44</v>
      </c>
      <c r="H9" s="24" t="s">
        <v>45</v>
      </c>
      <c r="I9" s="24" t="s">
        <v>46</v>
      </c>
      <c r="J9" s="24" t="s">
        <v>54</v>
      </c>
      <c r="N9" s="20" t="s">
        <v>41</v>
      </c>
      <c r="O9" s="24" t="s">
        <v>42</v>
      </c>
      <c r="P9" s="24" t="s">
        <v>51</v>
      </c>
      <c r="Q9" s="92" t="s">
        <v>175</v>
      </c>
      <c r="R9" s="24" t="s">
        <v>43</v>
      </c>
      <c r="S9" s="24" t="s">
        <v>44</v>
      </c>
      <c r="T9" s="24" t="s">
        <v>319</v>
      </c>
    </row>
    <row r="10" spans="2:20" x14ac:dyDescent="0.25">
      <c r="C10" s="25"/>
      <c r="D10" s="25"/>
      <c r="E10" s="25"/>
      <c r="F10" s="25"/>
      <c r="G10" s="25"/>
      <c r="H10" s="26"/>
      <c r="I10" s="26"/>
      <c r="J10" s="46"/>
      <c r="O10" s="25"/>
      <c r="P10" s="25"/>
      <c r="Q10" s="25"/>
      <c r="R10" s="25"/>
      <c r="S10" s="46"/>
      <c r="T10" s="26"/>
    </row>
    <row r="11" spans="2:20" ht="15.75" x14ac:dyDescent="0.25">
      <c r="B11" s="21"/>
      <c r="C11" s="23">
        <v>1</v>
      </c>
      <c r="D11" s="23">
        <v>3506</v>
      </c>
      <c r="E11" s="23" t="s">
        <v>376</v>
      </c>
      <c r="F11" s="23">
        <v>20.8</v>
      </c>
      <c r="G11" s="23">
        <v>33.94</v>
      </c>
      <c r="H11" s="23" t="s">
        <v>306</v>
      </c>
      <c r="I11" s="23">
        <v>7.32</v>
      </c>
      <c r="J11" s="46" t="s">
        <v>262</v>
      </c>
      <c r="N11" s="21"/>
      <c r="O11" s="23">
        <v>1</v>
      </c>
      <c r="P11" s="23">
        <v>3506</v>
      </c>
      <c r="Q11" s="23" t="s">
        <v>376</v>
      </c>
      <c r="R11" s="23" t="s">
        <v>322</v>
      </c>
      <c r="S11" s="23" t="s">
        <v>323</v>
      </c>
      <c r="T11" s="23">
        <v>50.35</v>
      </c>
    </row>
    <row r="12" spans="2:20" ht="15.75" x14ac:dyDescent="0.25">
      <c r="B12" s="21"/>
      <c r="C12" s="23">
        <v>2</v>
      </c>
      <c r="D12" s="23">
        <v>3006</v>
      </c>
      <c r="E12" s="23" t="s">
        <v>307</v>
      </c>
      <c r="F12" s="23">
        <v>13.6</v>
      </c>
      <c r="G12" s="23">
        <v>26.2</v>
      </c>
      <c r="H12" s="23" t="s">
        <v>306</v>
      </c>
      <c r="I12" s="23">
        <v>7.24</v>
      </c>
      <c r="J12" s="23" t="s">
        <v>262</v>
      </c>
      <c r="N12" s="21"/>
      <c r="O12" s="23">
        <v>2</v>
      </c>
      <c r="P12" s="23">
        <v>3006</v>
      </c>
      <c r="Q12" s="23" t="s">
        <v>307</v>
      </c>
      <c r="R12" s="23" t="s">
        <v>324</v>
      </c>
      <c r="S12" s="23" t="s">
        <v>325</v>
      </c>
      <c r="T12" s="23">
        <v>50.75</v>
      </c>
    </row>
    <row r="13" spans="2:20" ht="15.75" x14ac:dyDescent="0.25">
      <c r="B13" s="21"/>
      <c r="C13" s="23">
        <v>3</v>
      </c>
      <c r="D13" s="23">
        <v>3205</v>
      </c>
      <c r="E13" s="23" t="s">
        <v>307</v>
      </c>
      <c r="F13" s="23">
        <v>34</v>
      </c>
      <c r="G13" s="23">
        <v>65</v>
      </c>
      <c r="H13" s="23" t="s">
        <v>306</v>
      </c>
      <c r="I13" s="26">
        <v>7.2</v>
      </c>
      <c r="J13" s="46" t="s">
        <v>262</v>
      </c>
      <c r="N13" s="21"/>
      <c r="O13" s="23">
        <v>3</v>
      </c>
      <c r="P13" s="23">
        <v>3205</v>
      </c>
      <c r="Q13" s="23" t="s">
        <v>307</v>
      </c>
      <c r="R13" s="23" t="s">
        <v>326</v>
      </c>
      <c r="S13" s="23" t="s">
        <v>327</v>
      </c>
      <c r="T13" s="26">
        <v>51.25</v>
      </c>
    </row>
    <row r="14" spans="2:20" ht="15.75" x14ac:dyDescent="0.25">
      <c r="B14" s="21"/>
      <c r="C14" s="23">
        <v>4</v>
      </c>
      <c r="D14" s="23">
        <v>3290</v>
      </c>
      <c r="E14" s="23" t="s">
        <v>178</v>
      </c>
      <c r="F14" s="23">
        <v>28.4</v>
      </c>
      <c r="G14" s="23">
        <v>68.400000000000006</v>
      </c>
      <c r="H14" s="23" t="s">
        <v>306</v>
      </c>
      <c r="I14" s="26">
        <v>7.4</v>
      </c>
      <c r="J14" s="46" t="s">
        <v>262</v>
      </c>
      <c r="N14" s="21"/>
      <c r="O14" s="23">
        <v>4</v>
      </c>
      <c r="P14" s="23">
        <v>3290</v>
      </c>
      <c r="Q14" s="23" t="s">
        <v>178</v>
      </c>
      <c r="R14" s="23" t="s">
        <v>328</v>
      </c>
      <c r="S14" s="23" t="s">
        <v>329</v>
      </c>
      <c r="T14" s="26">
        <v>51.3</v>
      </c>
    </row>
    <row r="15" spans="2:20" ht="15.75" x14ac:dyDescent="0.25">
      <c r="B15" s="21"/>
      <c r="C15" s="23">
        <v>5</v>
      </c>
      <c r="D15" s="23">
        <v>3170</v>
      </c>
      <c r="E15" s="23" t="s">
        <v>307</v>
      </c>
      <c r="F15" s="23">
        <v>3.1</v>
      </c>
      <c r="G15" s="23">
        <v>5.0999999999999996</v>
      </c>
      <c r="H15" s="23" t="s">
        <v>306</v>
      </c>
      <c r="I15" s="26">
        <v>7.12</v>
      </c>
      <c r="J15" s="46" t="s">
        <v>262</v>
      </c>
      <c r="N15" s="21"/>
      <c r="O15" s="23">
        <v>5</v>
      </c>
      <c r="P15" s="23">
        <v>3170</v>
      </c>
      <c r="Q15" s="23" t="s">
        <v>307</v>
      </c>
      <c r="R15" s="23" t="s">
        <v>330</v>
      </c>
      <c r="S15" s="23" t="s">
        <v>331</v>
      </c>
      <c r="T15" s="26">
        <v>51.8</v>
      </c>
    </row>
    <row r="16" spans="2:20" ht="15.75" x14ac:dyDescent="0.25">
      <c r="B16" s="21"/>
      <c r="C16" s="23">
        <v>6</v>
      </c>
      <c r="D16" s="23">
        <v>3209</v>
      </c>
      <c r="E16" s="23" t="s">
        <v>307</v>
      </c>
      <c r="F16" s="23">
        <v>38.1</v>
      </c>
      <c r="G16" s="23">
        <v>73.3</v>
      </c>
      <c r="H16" s="23" t="s">
        <v>306</v>
      </c>
      <c r="I16" s="23">
        <v>7.84</v>
      </c>
      <c r="J16" s="26" t="s">
        <v>262</v>
      </c>
      <c r="N16" s="21"/>
      <c r="O16" s="23">
        <v>6</v>
      </c>
      <c r="P16" s="23">
        <v>3209</v>
      </c>
      <c r="Q16" s="23" t="s">
        <v>307</v>
      </c>
      <c r="R16" s="23" t="s">
        <v>332</v>
      </c>
      <c r="S16" s="23" t="s">
        <v>333</v>
      </c>
      <c r="T16" s="23">
        <v>50.55</v>
      </c>
    </row>
    <row r="17" spans="2:20" ht="15.75" x14ac:dyDescent="0.25">
      <c r="B17" s="21"/>
      <c r="C17" s="21"/>
      <c r="D17" s="21"/>
      <c r="E17" s="21"/>
      <c r="F17" s="21"/>
      <c r="G17" s="21"/>
      <c r="H17" s="21"/>
      <c r="I17" s="21"/>
      <c r="J17" s="21"/>
      <c r="N17" s="21"/>
      <c r="O17" s="21"/>
      <c r="P17" s="21"/>
      <c r="Q17" s="21"/>
      <c r="R17" s="21"/>
      <c r="S17" s="21"/>
      <c r="T17" s="21"/>
    </row>
    <row r="18" spans="2:20" x14ac:dyDescent="0.25">
      <c r="B18" s="20" t="s">
        <v>47</v>
      </c>
      <c r="C18" s="24" t="s">
        <v>42</v>
      </c>
      <c r="D18" s="24" t="s">
        <v>51</v>
      </c>
      <c r="E18" s="24"/>
      <c r="F18" s="24" t="s">
        <v>43</v>
      </c>
      <c r="G18" s="24" t="s">
        <v>44</v>
      </c>
      <c r="H18" s="24" t="s">
        <v>45</v>
      </c>
      <c r="I18" s="24" t="s">
        <v>46</v>
      </c>
      <c r="J18" s="24" t="s">
        <v>54</v>
      </c>
      <c r="N18" s="20" t="s">
        <v>47</v>
      </c>
      <c r="O18" s="24" t="s">
        <v>42</v>
      </c>
      <c r="P18" s="24" t="s">
        <v>51</v>
      </c>
      <c r="Q18" s="24"/>
      <c r="R18" s="24"/>
      <c r="S18" s="26"/>
      <c r="T18" s="24"/>
    </row>
    <row r="19" spans="2:20" x14ac:dyDescent="0.25">
      <c r="C19" s="25"/>
      <c r="D19" s="25"/>
      <c r="E19" s="25"/>
      <c r="F19" s="25"/>
      <c r="G19" s="25"/>
      <c r="H19" s="26"/>
      <c r="I19" s="26"/>
      <c r="J19" s="26"/>
      <c r="O19" s="25"/>
      <c r="P19" s="25"/>
      <c r="Q19" s="25"/>
      <c r="R19" s="25"/>
      <c r="S19" s="46"/>
      <c r="T19" s="26"/>
    </row>
    <row r="20" spans="2:20" ht="15.75" x14ac:dyDescent="0.25">
      <c r="B20" s="21"/>
      <c r="C20" s="23">
        <v>1</v>
      </c>
      <c r="D20" s="23">
        <v>2502</v>
      </c>
      <c r="E20" s="23" t="s">
        <v>308</v>
      </c>
      <c r="F20" s="23">
        <v>13.6</v>
      </c>
      <c r="G20" s="23">
        <v>27.9</v>
      </c>
      <c r="H20" s="23" t="s">
        <v>306</v>
      </c>
      <c r="I20" s="26">
        <v>7.1</v>
      </c>
      <c r="J20" s="46" t="s">
        <v>262</v>
      </c>
      <c r="N20" s="21"/>
      <c r="O20" s="23">
        <v>1</v>
      </c>
      <c r="P20" s="23">
        <v>2502</v>
      </c>
      <c r="Q20" s="23" t="s">
        <v>308</v>
      </c>
      <c r="R20" s="23" t="s">
        <v>334</v>
      </c>
      <c r="S20" s="23" t="s">
        <v>335</v>
      </c>
      <c r="T20" s="26">
        <v>51.5</v>
      </c>
    </row>
    <row r="21" spans="2:20" ht="15.75" x14ac:dyDescent="0.25">
      <c r="B21" s="21"/>
      <c r="C21" s="23">
        <v>2</v>
      </c>
      <c r="D21" s="23">
        <v>3507</v>
      </c>
      <c r="E21" s="23" t="s">
        <v>178</v>
      </c>
      <c r="F21" s="23">
        <v>24.7</v>
      </c>
      <c r="G21" s="23">
        <v>41</v>
      </c>
      <c r="H21" s="23" t="s">
        <v>306</v>
      </c>
      <c r="I21" s="23">
        <v>7.2</v>
      </c>
      <c r="J21" s="23" t="s">
        <v>262</v>
      </c>
      <c r="N21" s="21"/>
      <c r="O21" s="23">
        <v>2</v>
      </c>
      <c r="P21" s="23">
        <v>3507</v>
      </c>
      <c r="Q21" s="23" t="s">
        <v>178</v>
      </c>
      <c r="R21" s="23" t="s">
        <v>336</v>
      </c>
      <c r="S21" s="23" t="s">
        <v>337</v>
      </c>
      <c r="T21" s="23">
        <v>50.55</v>
      </c>
    </row>
    <row r="22" spans="2:20" ht="15.75" x14ac:dyDescent="0.25">
      <c r="B22" s="21"/>
      <c r="C22" s="23">
        <v>3</v>
      </c>
      <c r="D22" s="23">
        <v>3187</v>
      </c>
      <c r="E22" s="23" t="s">
        <v>307</v>
      </c>
      <c r="F22" s="23">
        <v>12.3</v>
      </c>
      <c r="G22" s="23">
        <v>23.3</v>
      </c>
      <c r="H22" s="23" t="s">
        <v>306</v>
      </c>
      <c r="I22" s="23">
        <v>8.1999999999999993</v>
      </c>
      <c r="J22" s="46" t="s">
        <v>262</v>
      </c>
      <c r="N22" s="21"/>
      <c r="O22" s="23">
        <v>3</v>
      </c>
      <c r="P22" s="23">
        <v>3187</v>
      </c>
      <c r="Q22" s="23" t="s">
        <v>307</v>
      </c>
      <c r="R22" s="23" t="s">
        <v>338</v>
      </c>
      <c r="S22" s="23" t="s">
        <v>339</v>
      </c>
      <c r="T22" s="23">
        <v>50.75</v>
      </c>
    </row>
    <row r="23" spans="2:20" ht="15.75" x14ac:dyDescent="0.25">
      <c r="B23" s="21"/>
      <c r="C23" s="23">
        <v>4</v>
      </c>
      <c r="D23" s="23">
        <v>2509</v>
      </c>
      <c r="E23" s="23" t="s">
        <v>308</v>
      </c>
      <c r="F23" s="23">
        <v>5.8</v>
      </c>
      <c r="G23" s="23">
        <v>10.5</v>
      </c>
      <c r="H23" s="23" t="s">
        <v>306</v>
      </c>
      <c r="I23" s="23">
        <v>7.1</v>
      </c>
      <c r="J23" s="46" t="s">
        <v>262</v>
      </c>
      <c r="N23" s="21"/>
      <c r="O23" s="23">
        <v>4</v>
      </c>
      <c r="P23" s="23">
        <v>2509</v>
      </c>
      <c r="Q23" s="23" t="s">
        <v>308</v>
      </c>
      <c r="R23" s="23" t="s">
        <v>340</v>
      </c>
      <c r="S23" s="23" t="s">
        <v>341</v>
      </c>
      <c r="T23" s="23">
        <v>50.05</v>
      </c>
    </row>
    <row r="24" spans="2:20" ht="15.75" x14ac:dyDescent="0.25">
      <c r="B24" s="21"/>
      <c r="C24" s="23">
        <v>5</v>
      </c>
      <c r="D24" s="23">
        <v>2492</v>
      </c>
      <c r="E24" s="23" t="s">
        <v>308</v>
      </c>
      <c r="F24" s="23">
        <v>42.1</v>
      </c>
      <c r="G24" s="23">
        <v>84.2</v>
      </c>
      <c r="H24" s="23" t="s">
        <v>306</v>
      </c>
      <c r="I24" s="23">
        <v>8.1</v>
      </c>
      <c r="J24" s="46" t="s">
        <v>262</v>
      </c>
      <c r="N24" s="21"/>
      <c r="O24" s="23">
        <v>5</v>
      </c>
      <c r="P24" s="23">
        <v>2492</v>
      </c>
      <c r="Q24" s="23" t="s">
        <v>308</v>
      </c>
      <c r="R24" s="23" t="s">
        <v>342</v>
      </c>
      <c r="S24" s="23" t="s">
        <v>343</v>
      </c>
      <c r="T24" s="23">
        <v>51.5</v>
      </c>
    </row>
    <row r="25" spans="2:20" ht="15.75" x14ac:dyDescent="0.25">
      <c r="B25" s="21"/>
      <c r="C25" s="23">
        <v>6</v>
      </c>
      <c r="D25" s="23">
        <v>2508</v>
      </c>
      <c r="E25" s="23" t="s">
        <v>308</v>
      </c>
      <c r="F25" s="23">
        <v>5.2</v>
      </c>
      <c r="G25" s="23">
        <v>10.8</v>
      </c>
      <c r="H25" s="23" t="s">
        <v>306</v>
      </c>
      <c r="I25" s="23">
        <v>7</v>
      </c>
      <c r="J25" s="26" t="s">
        <v>262</v>
      </c>
      <c r="N25" s="21"/>
      <c r="O25" s="23">
        <v>6</v>
      </c>
      <c r="P25" s="23">
        <v>2508</v>
      </c>
      <c r="Q25" s="23" t="s">
        <v>308</v>
      </c>
      <c r="R25" s="23" t="s">
        <v>345</v>
      </c>
      <c r="S25" s="23" t="s">
        <v>344</v>
      </c>
      <c r="T25" s="23">
        <v>50.05</v>
      </c>
    </row>
    <row r="26" spans="2:20" ht="15.75" x14ac:dyDescent="0.25">
      <c r="B26" s="21"/>
      <c r="C26" s="21"/>
      <c r="D26" s="21"/>
      <c r="E26" s="21"/>
      <c r="F26" s="21"/>
      <c r="G26" s="21"/>
      <c r="H26" s="21"/>
      <c r="I26" s="21"/>
      <c r="N26" s="21"/>
      <c r="O26" s="21"/>
      <c r="P26" s="21"/>
      <c r="Q26" s="21"/>
      <c r="R26" s="21"/>
      <c r="S26" s="21"/>
      <c r="T26" s="21"/>
    </row>
    <row r="27" spans="2:20" x14ac:dyDescent="0.25">
      <c r="B27" s="20" t="s">
        <v>48</v>
      </c>
      <c r="C27" s="24" t="s">
        <v>42</v>
      </c>
      <c r="D27" s="24" t="s">
        <v>51</v>
      </c>
      <c r="E27" s="24"/>
      <c r="F27" s="24" t="s">
        <v>43</v>
      </c>
      <c r="G27" s="24" t="s">
        <v>44</v>
      </c>
      <c r="H27" s="24" t="s">
        <v>45</v>
      </c>
      <c r="I27" s="24" t="s">
        <v>46</v>
      </c>
      <c r="J27" s="91" t="s">
        <v>54</v>
      </c>
      <c r="N27" s="20" t="s">
        <v>48</v>
      </c>
      <c r="O27" s="24" t="s">
        <v>42</v>
      </c>
      <c r="P27" s="24" t="s">
        <v>51</v>
      </c>
      <c r="Q27" s="24"/>
      <c r="R27" s="24"/>
      <c r="S27" s="26"/>
      <c r="T27" s="24"/>
    </row>
    <row r="28" spans="2:20" x14ac:dyDescent="0.25">
      <c r="C28" s="25"/>
      <c r="D28" s="25"/>
      <c r="E28" s="25"/>
      <c r="F28" s="25"/>
      <c r="G28" s="25"/>
      <c r="H28" s="26"/>
      <c r="I28" s="26"/>
      <c r="J28" s="46"/>
      <c r="O28" s="25"/>
      <c r="P28" s="25"/>
      <c r="Q28" s="25"/>
      <c r="R28" s="25"/>
      <c r="S28" s="46"/>
      <c r="T28" s="26"/>
    </row>
    <row r="29" spans="2:20" ht="15.75" x14ac:dyDescent="0.25">
      <c r="B29" s="21"/>
      <c r="C29" s="23">
        <v>1</v>
      </c>
      <c r="D29" s="23">
        <v>5718</v>
      </c>
      <c r="E29" s="23" t="s">
        <v>314</v>
      </c>
      <c r="F29" s="23">
        <v>25.1</v>
      </c>
      <c r="G29" s="23">
        <v>138.5</v>
      </c>
      <c r="H29" s="23" t="s">
        <v>306</v>
      </c>
      <c r="I29" s="23">
        <v>7.2</v>
      </c>
      <c r="J29" s="46" t="s">
        <v>262</v>
      </c>
      <c r="N29" s="21"/>
      <c r="O29" s="23">
        <v>1</v>
      </c>
      <c r="P29" s="23">
        <v>5718</v>
      </c>
      <c r="Q29" s="23" t="s">
        <v>314</v>
      </c>
      <c r="R29" s="23" t="s">
        <v>346</v>
      </c>
      <c r="S29" s="23" t="s">
        <v>347</v>
      </c>
      <c r="T29" s="23">
        <v>50.3</v>
      </c>
    </row>
    <row r="30" spans="2:20" ht="15.75" x14ac:dyDescent="0.25">
      <c r="B30" s="21"/>
      <c r="C30" s="23">
        <v>2</v>
      </c>
      <c r="D30" s="23">
        <v>2351</v>
      </c>
      <c r="E30" s="23" t="s">
        <v>377</v>
      </c>
      <c r="F30" s="23">
        <v>6.5</v>
      </c>
      <c r="G30" s="23">
        <v>11.8</v>
      </c>
      <c r="H30" s="23" t="s">
        <v>306</v>
      </c>
      <c r="I30" s="23">
        <v>8.24</v>
      </c>
      <c r="J30" s="46" t="s">
        <v>262</v>
      </c>
      <c r="N30" s="21"/>
      <c r="O30" s="23">
        <v>2</v>
      </c>
      <c r="P30" s="23">
        <v>2351</v>
      </c>
      <c r="Q30" s="23" t="s">
        <v>377</v>
      </c>
      <c r="R30" s="23" t="s">
        <v>348</v>
      </c>
      <c r="S30" s="23" t="s">
        <v>349</v>
      </c>
      <c r="T30" s="23">
        <v>50.25</v>
      </c>
    </row>
    <row r="31" spans="2:20" ht="15.75" x14ac:dyDescent="0.25">
      <c r="B31" s="21"/>
      <c r="C31" s="23">
        <v>3</v>
      </c>
      <c r="D31" s="23">
        <v>5685</v>
      </c>
      <c r="E31" s="23" t="s">
        <v>311</v>
      </c>
      <c r="F31" s="23" t="s">
        <v>309</v>
      </c>
      <c r="G31" s="23" t="s">
        <v>310</v>
      </c>
      <c r="H31" s="23" t="s">
        <v>306</v>
      </c>
      <c r="I31" s="23">
        <v>6.92</v>
      </c>
      <c r="J31" s="80" t="s">
        <v>265</v>
      </c>
      <c r="N31" s="21"/>
      <c r="O31" s="23">
        <v>3</v>
      </c>
      <c r="P31" s="23">
        <v>5685</v>
      </c>
      <c r="Q31" s="23" t="s">
        <v>311</v>
      </c>
      <c r="R31" s="23" t="s">
        <v>351</v>
      </c>
      <c r="S31" s="46" t="s">
        <v>350</v>
      </c>
      <c r="T31" s="23">
        <v>50.3</v>
      </c>
    </row>
    <row r="32" spans="2:20" ht="15.75" x14ac:dyDescent="0.25">
      <c r="B32" s="21"/>
      <c r="C32" s="23">
        <v>4</v>
      </c>
      <c r="D32" s="23">
        <v>5637</v>
      </c>
      <c r="E32" s="23" t="s">
        <v>314</v>
      </c>
      <c r="F32" s="23">
        <v>36</v>
      </c>
      <c r="G32" s="23">
        <v>104</v>
      </c>
      <c r="H32" s="23" t="s">
        <v>306</v>
      </c>
      <c r="I32" s="23">
        <v>7.64</v>
      </c>
      <c r="J32" s="46" t="s">
        <v>262</v>
      </c>
      <c r="N32" s="21"/>
      <c r="O32" s="23">
        <v>4</v>
      </c>
      <c r="P32" s="23">
        <v>5637</v>
      </c>
      <c r="Q32" s="23" t="s">
        <v>314</v>
      </c>
      <c r="R32" s="23" t="s">
        <v>352</v>
      </c>
      <c r="S32" s="46" t="s">
        <v>353</v>
      </c>
      <c r="T32" s="23">
        <v>49.95</v>
      </c>
    </row>
    <row r="33" spans="2:20" ht="15.75" x14ac:dyDescent="0.25">
      <c r="B33" s="21"/>
      <c r="C33" s="23">
        <v>5</v>
      </c>
      <c r="D33" s="23">
        <v>5670</v>
      </c>
      <c r="E33" s="23" t="s">
        <v>314</v>
      </c>
      <c r="F33" s="23" t="s">
        <v>313</v>
      </c>
      <c r="G33" s="27" t="s">
        <v>312</v>
      </c>
      <c r="H33" s="23" t="s">
        <v>306</v>
      </c>
      <c r="I33" s="23">
        <v>7.6</v>
      </c>
      <c r="J33" s="80" t="s">
        <v>265</v>
      </c>
      <c r="N33" s="21"/>
      <c r="O33" s="23">
        <v>5</v>
      </c>
      <c r="P33" s="23">
        <v>5670</v>
      </c>
      <c r="Q33" s="23" t="s">
        <v>314</v>
      </c>
      <c r="R33" s="23" t="s">
        <v>316</v>
      </c>
      <c r="S33" s="46" t="s">
        <v>316</v>
      </c>
      <c r="T33" s="23"/>
    </row>
    <row r="34" spans="2:20" ht="15.75" x14ac:dyDescent="0.25">
      <c r="B34" s="21"/>
      <c r="C34" s="23">
        <v>6</v>
      </c>
      <c r="D34" s="23">
        <v>5650</v>
      </c>
      <c r="E34" s="23" t="s">
        <v>314</v>
      </c>
      <c r="F34" s="23">
        <v>5.0999999999999996</v>
      </c>
      <c r="G34" s="23">
        <v>9.1999999999999993</v>
      </c>
      <c r="H34" s="23" t="s">
        <v>306</v>
      </c>
      <c r="I34" s="23">
        <v>7.68</v>
      </c>
      <c r="J34" s="46" t="s">
        <v>262</v>
      </c>
      <c r="N34" s="21"/>
      <c r="O34" s="23">
        <v>6</v>
      </c>
      <c r="P34" s="23">
        <v>5650</v>
      </c>
      <c r="Q34" s="23" t="s">
        <v>314</v>
      </c>
      <c r="R34" s="23" t="s">
        <v>356</v>
      </c>
      <c r="S34" s="27" t="s">
        <v>312</v>
      </c>
      <c r="T34" s="23">
        <v>50.45</v>
      </c>
    </row>
    <row r="35" spans="2:20" ht="15.75" x14ac:dyDescent="0.25">
      <c r="B35" s="21"/>
      <c r="C35" s="21"/>
      <c r="D35" s="21"/>
      <c r="E35" s="21"/>
      <c r="F35" s="21"/>
      <c r="G35" s="21"/>
      <c r="H35" s="21"/>
      <c r="I35" s="21"/>
      <c r="N35" s="21"/>
      <c r="O35" s="21"/>
      <c r="P35" s="21"/>
      <c r="Q35" s="21"/>
      <c r="R35" s="21"/>
      <c r="S35" s="21"/>
      <c r="T35" s="21"/>
    </row>
    <row r="36" spans="2:20" x14ac:dyDescent="0.25">
      <c r="B36" s="20" t="s">
        <v>49</v>
      </c>
      <c r="C36" s="24" t="s">
        <v>42</v>
      </c>
      <c r="D36" s="24" t="s">
        <v>51</v>
      </c>
      <c r="E36" s="24"/>
      <c r="F36" s="24" t="s">
        <v>43</v>
      </c>
      <c r="G36" s="24" t="s">
        <v>44</v>
      </c>
      <c r="H36" s="24" t="s">
        <v>45</v>
      </c>
      <c r="I36" s="24" t="s">
        <v>46</v>
      </c>
      <c r="J36" s="91" t="s">
        <v>54</v>
      </c>
      <c r="N36" s="20" t="s">
        <v>49</v>
      </c>
      <c r="O36" s="24" t="s">
        <v>42</v>
      </c>
      <c r="P36" s="24" t="s">
        <v>51</v>
      </c>
      <c r="Q36" s="24"/>
      <c r="R36" s="24"/>
      <c r="S36" s="26"/>
      <c r="T36" s="24"/>
    </row>
    <row r="37" spans="2:20" x14ac:dyDescent="0.25">
      <c r="C37" s="25"/>
      <c r="D37" s="25"/>
      <c r="E37" s="25"/>
      <c r="F37" s="25"/>
      <c r="G37" s="25"/>
      <c r="H37" s="26"/>
      <c r="I37" s="26"/>
      <c r="J37" s="46"/>
      <c r="O37" s="25"/>
      <c r="P37" s="25"/>
      <c r="Q37" s="25"/>
      <c r="R37" s="25"/>
      <c r="S37" s="46"/>
      <c r="T37" s="26"/>
    </row>
    <row r="38" spans="2:20" ht="15.75" x14ac:dyDescent="0.25">
      <c r="B38" s="21"/>
      <c r="C38" s="23">
        <v>1</v>
      </c>
      <c r="D38" s="23">
        <v>3015</v>
      </c>
      <c r="E38" s="23" t="s">
        <v>307</v>
      </c>
      <c r="F38" s="23">
        <v>86</v>
      </c>
      <c r="G38" s="23">
        <v>153</v>
      </c>
      <c r="H38" s="23" t="s">
        <v>306</v>
      </c>
      <c r="I38" s="23">
        <v>7.12</v>
      </c>
      <c r="J38" s="46" t="s">
        <v>262</v>
      </c>
      <c r="N38" s="21"/>
      <c r="O38" s="23">
        <v>1</v>
      </c>
      <c r="P38" s="23">
        <v>3015</v>
      </c>
      <c r="Q38" s="23" t="s">
        <v>307</v>
      </c>
      <c r="R38" s="23" t="s">
        <v>357</v>
      </c>
      <c r="S38" s="23" t="s">
        <v>358</v>
      </c>
      <c r="T38" s="23">
        <v>50.25</v>
      </c>
    </row>
    <row r="39" spans="2:20" ht="15.75" x14ac:dyDescent="0.25">
      <c r="B39" s="21"/>
      <c r="C39" s="23">
        <v>2</v>
      </c>
      <c r="D39" s="23">
        <v>3230</v>
      </c>
      <c r="E39" s="23" t="s">
        <v>307</v>
      </c>
      <c r="F39" s="23">
        <v>16</v>
      </c>
      <c r="G39" s="23">
        <v>40</v>
      </c>
      <c r="H39" s="23" t="s">
        <v>306</v>
      </c>
      <c r="I39" s="23">
        <v>7.08</v>
      </c>
      <c r="J39" s="46" t="s">
        <v>262</v>
      </c>
      <c r="N39" s="21"/>
      <c r="O39" s="23">
        <v>2</v>
      </c>
      <c r="P39" s="23">
        <v>3230</v>
      </c>
      <c r="Q39" s="23" t="s">
        <v>307</v>
      </c>
      <c r="R39" s="23" t="s">
        <v>359</v>
      </c>
      <c r="S39" s="23" t="s">
        <v>360</v>
      </c>
      <c r="T39" s="23">
        <v>50.6</v>
      </c>
    </row>
    <row r="40" spans="2:20" ht="15.75" x14ac:dyDescent="0.25">
      <c r="B40" s="21"/>
      <c r="C40" s="23">
        <v>3</v>
      </c>
      <c r="D40" s="23">
        <v>3233</v>
      </c>
      <c r="E40" s="23" t="s">
        <v>307</v>
      </c>
      <c r="F40" s="23" t="s">
        <v>317</v>
      </c>
      <c r="G40" s="23" t="s">
        <v>318</v>
      </c>
      <c r="H40" s="23" t="s">
        <v>306</v>
      </c>
      <c r="I40" s="23">
        <v>7.12</v>
      </c>
      <c r="J40" s="80" t="s">
        <v>265</v>
      </c>
      <c r="N40" s="21"/>
      <c r="O40" s="23">
        <v>3</v>
      </c>
      <c r="P40" s="23">
        <v>3233</v>
      </c>
      <c r="Q40" s="23" t="s">
        <v>307</v>
      </c>
      <c r="R40" s="23" t="s">
        <v>361</v>
      </c>
      <c r="S40" s="23" t="s">
        <v>362</v>
      </c>
      <c r="T40" s="23">
        <v>50.2</v>
      </c>
    </row>
    <row r="41" spans="2:20" ht="15.75" x14ac:dyDescent="0.25">
      <c r="B41" s="21"/>
      <c r="C41" s="23">
        <v>4</v>
      </c>
      <c r="D41" s="23">
        <v>3203</v>
      </c>
      <c r="E41" s="23" t="s">
        <v>307</v>
      </c>
      <c r="F41" s="23">
        <v>68</v>
      </c>
      <c r="G41" s="23">
        <v>115</v>
      </c>
      <c r="H41" s="23" t="s">
        <v>306</v>
      </c>
      <c r="I41" s="23">
        <v>7.08</v>
      </c>
      <c r="J41" s="46" t="s">
        <v>262</v>
      </c>
      <c r="N41" s="21"/>
      <c r="O41" s="23">
        <v>4</v>
      </c>
      <c r="P41" s="23">
        <v>3203</v>
      </c>
      <c r="Q41" s="23" t="s">
        <v>307</v>
      </c>
      <c r="R41" s="23" t="s">
        <v>364</v>
      </c>
      <c r="S41" s="23" t="s">
        <v>363</v>
      </c>
      <c r="T41" s="23">
        <v>50.5</v>
      </c>
    </row>
    <row r="42" spans="2:20" ht="15.75" x14ac:dyDescent="0.25">
      <c r="B42" s="21"/>
      <c r="C42" s="23">
        <v>5</v>
      </c>
      <c r="D42" s="23">
        <v>3204</v>
      </c>
      <c r="E42" s="23" t="s">
        <v>307</v>
      </c>
      <c r="F42" s="23">
        <v>70</v>
      </c>
      <c r="G42" s="23">
        <v>108</v>
      </c>
      <c r="H42" s="23" t="s">
        <v>306</v>
      </c>
      <c r="I42" s="23">
        <v>7</v>
      </c>
      <c r="J42" s="46" t="s">
        <v>262</v>
      </c>
      <c r="N42" s="21"/>
      <c r="O42" s="23">
        <v>5</v>
      </c>
      <c r="P42" s="23">
        <v>3204</v>
      </c>
      <c r="Q42" s="23" t="s">
        <v>307</v>
      </c>
      <c r="R42" s="23" t="s">
        <v>365</v>
      </c>
      <c r="S42" s="23" t="s">
        <v>366</v>
      </c>
      <c r="T42" s="23">
        <v>51.3</v>
      </c>
    </row>
    <row r="43" spans="2:20" ht="15.75" x14ac:dyDescent="0.25">
      <c r="B43" s="21"/>
      <c r="C43" s="23">
        <v>6</v>
      </c>
      <c r="D43" s="23">
        <v>3232</v>
      </c>
      <c r="E43" s="23" t="s">
        <v>307</v>
      </c>
      <c r="F43" s="23">
        <v>51.4</v>
      </c>
      <c r="G43" s="23">
        <v>117</v>
      </c>
      <c r="H43" s="23" t="s">
        <v>306</v>
      </c>
      <c r="I43" s="23">
        <v>7.2</v>
      </c>
      <c r="J43" s="26" t="s">
        <v>262</v>
      </c>
      <c r="N43" s="21"/>
      <c r="O43" s="23">
        <v>6</v>
      </c>
      <c r="P43" s="23">
        <v>3232</v>
      </c>
      <c r="Q43" s="23" t="s">
        <v>307</v>
      </c>
      <c r="R43" s="23" t="s">
        <v>367</v>
      </c>
      <c r="S43" s="23" t="s">
        <v>368</v>
      </c>
      <c r="T43" s="23">
        <v>50.6</v>
      </c>
    </row>
    <row r="44" spans="2:20" x14ac:dyDescent="0.25">
      <c r="H44" s="18"/>
      <c r="T44" s="18"/>
    </row>
    <row r="45" spans="2:20" x14ac:dyDescent="0.25">
      <c r="H45" s="18"/>
      <c r="T45" s="18"/>
    </row>
    <row r="46" spans="2:20" x14ac:dyDescent="0.25">
      <c r="B46" t="s">
        <v>354</v>
      </c>
      <c r="H46" s="18"/>
      <c r="N46" t="s">
        <v>355</v>
      </c>
      <c r="T46" s="18"/>
    </row>
    <row r="47" spans="2:20" x14ac:dyDescent="0.25">
      <c r="H47" s="18"/>
      <c r="N47" t="s">
        <v>320</v>
      </c>
      <c r="T47" s="18"/>
    </row>
    <row r="48" spans="2:20" x14ac:dyDescent="0.25">
      <c r="T48" s="18"/>
    </row>
    <row r="52" spans="4:4" ht="21" x14ac:dyDescent="0.35">
      <c r="D52" s="94" t="s">
        <v>369</v>
      </c>
    </row>
    <row r="54" spans="4:4" x14ac:dyDescent="0.25">
      <c r="D54" t="s">
        <v>370</v>
      </c>
    </row>
    <row r="56" spans="4:4" x14ac:dyDescent="0.25">
      <c r="D56" t="s">
        <v>371</v>
      </c>
    </row>
    <row r="58" spans="4:4" x14ac:dyDescent="0.25">
      <c r="D58" t="s">
        <v>372</v>
      </c>
    </row>
    <row r="60" spans="4:4" x14ac:dyDescent="0.25">
      <c r="D60" t="s">
        <v>375</v>
      </c>
    </row>
    <row r="62" spans="4:4" x14ac:dyDescent="0.25">
      <c r="D62" t="s">
        <v>373</v>
      </c>
    </row>
    <row r="64" spans="4:4" x14ac:dyDescent="0.25">
      <c r="D64" t="s">
        <v>374</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24"/>
  <sheetViews>
    <sheetView windowProtection="1" topLeftCell="A37" workbookViewId="0">
      <selection activeCell="D100" sqref="D100"/>
    </sheetView>
  </sheetViews>
  <sheetFormatPr defaultRowHeight="15" x14ac:dyDescent="0.25"/>
  <cols>
    <col min="2" max="3" width="13.28515625" customWidth="1"/>
    <col min="4" max="4" width="12.42578125" style="50" customWidth="1"/>
    <col min="5" max="7" width="13.28515625" style="98" customWidth="1"/>
    <col min="8" max="10" width="12.7109375" customWidth="1"/>
    <col min="11" max="11" width="14.7109375" customWidth="1"/>
    <col min="12" max="15" width="12.7109375" customWidth="1"/>
  </cols>
  <sheetData>
    <row r="1" spans="1:12" ht="23.25" x14ac:dyDescent="0.35">
      <c r="A1" s="105" t="s">
        <v>378</v>
      </c>
      <c r="B1" s="105"/>
      <c r="C1" s="105"/>
      <c r="D1" s="113"/>
      <c r="E1" s="106"/>
      <c r="F1" s="106"/>
    </row>
    <row r="2" spans="1:12" ht="23.25" x14ac:dyDescent="0.35">
      <c r="A2" s="105"/>
      <c r="B2" s="105"/>
      <c r="C2" s="105"/>
      <c r="D2" s="114" t="s">
        <v>385</v>
      </c>
      <c r="E2" s="107"/>
      <c r="F2" s="108"/>
    </row>
    <row r="3" spans="1:12" ht="23.25" x14ac:dyDescent="0.35">
      <c r="A3" s="105" t="s">
        <v>384</v>
      </c>
      <c r="B3" s="105"/>
      <c r="C3" s="105"/>
      <c r="D3" s="113"/>
      <c r="E3" s="106"/>
      <c r="F3" s="106"/>
    </row>
    <row r="4" spans="1:12" ht="23.25" x14ac:dyDescent="0.35">
      <c r="A4" s="105" t="s">
        <v>383</v>
      </c>
      <c r="B4" s="105"/>
      <c r="C4" s="105"/>
      <c r="D4" s="113"/>
      <c r="E4" s="106"/>
      <c r="F4" s="106"/>
    </row>
    <row r="5" spans="1:12" ht="23.25" x14ac:dyDescent="0.35">
      <c r="A5" s="105"/>
      <c r="B5" s="105"/>
      <c r="C5" s="105"/>
      <c r="D5" s="113"/>
      <c r="E5" s="106"/>
      <c r="F5" s="106"/>
    </row>
    <row r="6" spans="1:12" ht="23.25" x14ac:dyDescent="0.35">
      <c r="A6" s="105"/>
      <c r="B6" s="105" t="s">
        <v>523</v>
      </c>
      <c r="C6" s="105"/>
      <c r="D6" s="113"/>
      <c r="E6" s="106"/>
      <c r="F6" s="106"/>
    </row>
    <row r="7" spans="1:12" ht="24" thickBot="1" x14ac:dyDescent="0.4">
      <c r="A7" s="105"/>
      <c r="B7" s="105"/>
      <c r="C7" s="105"/>
      <c r="D7" s="113"/>
      <c r="E7" s="106"/>
      <c r="F7" s="106"/>
      <c r="K7" s="20" t="s">
        <v>583</v>
      </c>
      <c r="L7" s="20" t="s">
        <v>581</v>
      </c>
    </row>
    <row r="8" spans="1:12" x14ac:dyDescent="0.25">
      <c r="A8" s="95" t="s">
        <v>42</v>
      </c>
      <c r="B8" s="101" t="s">
        <v>175</v>
      </c>
      <c r="C8" s="101" t="s">
        <v>379</v>
      </c>
      <c r="D8" s="115" t="s">
        <v>51</v>
      </c>
      <c r="E8" s="102" t="s">
        <v>380</v>
      </c>
      <c r="F8" s="109" t="s">
        <v>381</v>
      </c>
      <c r="G8" s="110" t="s">
        <v>382</v>
      </c>
      <c r="H8" s="20"/>
      <c r="I8" s="20"/>
      <c r="J8" s="20"/>
      <c r="K8" s="20"/>
    </row>
    <row r="9" spans="1:12" x14ac:dyDescent="0.25">
      <c r="A9" s="96"/>
      <c r="B9" s="24"/>
      <c r="C9" s="24"/>
      <c r="D9" s="116"/>
      <c r="E9" s="100" t="s">
        <v>239</v>
      </c>
      <c r="F9" s="100" t="s">
        <v>239</v>
      </c>
      <c r="G9" s="111" t="s">
        <v>239</v>
      </c>
      <c r="H9" s="20"/>
      <c r="I9" s="20"/>
      <c r="J9" s="20"/>
      <c r="K9" s="20"/>
    </row>
    <row r="10" spans="1:12" x14ac:dyDescent="0.25">
      <c r="A10" s="96">
        <v>1</v>
      </c>
      <c r="B10" s="24">
        <v>1925</v>
      </c>
      <c r="C10" s="24">
        <v>333870</v>
      </c>
      <c r="D10" s="116">
        <v>163</v>
      </c>
      <c r="E10" s="100">
        <v>4.0999999999999996</v>
      </c>
      <c r="F10" s="100">
        <v>5.3</v>
      </c>
      <c r="G10" s="111">
        <v>6</v>
      </c>
      <c r="H10" s="20"/>
      <c r="I10" s="20"/>
      <c r="J10" s="20"/>
      <c r="K10" s="20"/>
    </row>
    <row r="11" spans="1:12" x14ac:dyDescent="0.25">
      <c r="A11" s="96">
        <v>2</v>
      </c>
      <c r="B11" s="24">
        <v>1925</v>
      </c>
      <c r="C11" s="24">
        <v>333870</v>
      </c>
      <c r="D11" s="116">
        <v>225</v>
      </c>
      <c r="E11" s="100">
        <v>2.9</v>
      </c>
      <c r="F11" s="100">
        <v>4.9000000000000004</v>
      </c>
      <c r="G11" s="111">
        <v>17.600000000000001</v>
      </c>
      <c r="H11" s="20"/>
      <c r="I11" s="20"/>
      <c r="J11" s="20"/>
      <c r="K11" s="20"/>
    </row>
    <row r="12" spans="1:12" x14ac:dyDescent="0.25">
      <c r="A12" s="96">
        <v>3</v>
      </c>
      <c r="B12" s="24">
        <v>1925</v>
      </c>
      <c r="C12" s="24">
        <v>333870</v>
      </c>
      <c r="D12" s="116">
        <v>183</v>
      </c>
      <c r="E12" s="100">
        <v>8.8000000000000007</v>
      </c>
      <c r="F12" s="100">
        <v>12.2</v>
      </c>
      <c r="G12" s="111">
        <v>13.9</v>
      </c>
      <c r="H12" s="20"/>
      <c r="I12" s="20"/>
      <c r="J12" s="20"/>
      <c r="K12" s="20"/>
    </row>
    <row r="13" spans="1:12" x14ac:dyDescent="0.25">
      <c r="A13" s="96">
        <v>4</v>
      </c>
      <c r="B13" s="24">
        <v>1925</v>
      </c>
      <c r="C13" s="24">
        <v>333870</v>
      </c>
      <c r="D13" s="116">
        <v>174</v>
      </c>
      <c r="E13" s="100">
        <v>3.5</v>
      </c>
      <c r="F13" s="100">
        <v>4.5</v>
      </c>
      <c r="G13" s="111">
        <v>5</v>
      </c>
      <c r="H13" s="20"/>
      <c r="I13" s="20"/>
      <c r="J13" s="20"/>
      <c r="K13" s="20"/>
    </row>
    <row r="14" spans="1:12" x14ac:dyDescent="0.25">
      <c r="A14" s="96">
        <v>5</v>
      </c>
      <c r="B14" s="24">
        <v>1925</v>
      </c>
      <c r="C14" s="24">
        <v>333870</v>
      </c>
      <c r="D14" s="116">
        <v>168</v>
      </c>
      <c r="E14" s="100">
        <v>2.5</v>
      </c>
      <c r="F14" s="100">
        <v>10.3</v>
      </c>
      <c r="G14" s="111">
        <v>28.3</v>
      </c>
      <c r="H14" s="20"/>
      <c r="I14" s="20"/>
      <c r="J14" s="20"/>
      <c r="K14" s="20"/>
    </row>
    <row r="15" spans="1:12" x14ac:dyDescent="0.25">
      <c r="A15" s="96">
        <v>6</v>
      </c>
      <c r="B15" s="24">
        <v>1925</v>
      </c>
      <c r="C15" s="24">
        <v>333870</v>
      </c>
      <c r="D15" s="116">
        <v>186</v>
      </c>
      <c r="E15" s="100">
        <v>2.1</v>
      </c>
      <c r="F15" s="100">
        <v>3.1</v>
      </c>
      <c r="G15" s="111">
        <v>3.5</v>
      </c>
      <c r="H15" s="20"/>
      <c r="I15" s="20"/>
      <c r="J15" s="20"/>
      <c r="K15" s="20"/>
    </row>
    <row r="16" spans="1:12" x14ac:dyDescent="0.25">
      <c r="A16" s="96">
        <v>7</v>
      </c>
      <c r="B16" s="24">
        <v>1925</v>
      </c>
      <c r="C16" s="24">
        <v>333870</v>
      </c>
      <c r="D16" s="116">
        <v>204</v>
      </c>
      <c r="E16" s="100">
        <v>2.4</v>
      </c>
      <c r="F16" s="100">
        <v>3.7</v>
      </c>
      <c r="G16" s="111">
        <v>4.5</v>
      </c>
      <c r="H16" s="20"/>
      <c r="I16" s="20"/>
      <c r="J16" s="20"/>
      <c r="K16" s="20"/>
    </row>
    <row r="17" spans="1:14" x14ac:dyDescent="0.25">
      <c r="A17" s="96">
        <v>8</v>
      </c>
      <c r="B17" s="24">
        <v>1925</v>
      </c>
      <c r="C17" s="24">
        <v>333870</v>
      </c>
      <c r="D17" s="116">
        <v>202</v>
      </c>
      <c r="E17" s="100">
        <v>3.4</v>
      </c>
      <c r="F17" s="100">
        <v>5</v>
      </c>
      <c r="G17" s="111">
        <v>5.6</v>
      </c>
      <c r="H17" s="20"/>
      <c r="I17" s="20"/>
      <c r="J17" s="20"/>
      <c r="K17" s="20"/>
    </row>
    <row r="18" spans="1:14" x14ac:dyDescent="0.25">
      <c r="A18" s="96">
        <v>9</v>
      </c>
      <c r="B18" s="24">
        <v>1925</v>
      </c>
      <c r="C18" s="24">
        <v>333870</v>
      </c>
      <c r="D18" s="116">
        <v>166</v>
      </c>
      <c r="E18" s="100">
        <v>3.6</v>
      </c>
      <c r="F18" s="100">
        <v>5.3</v>
      </c>
      <c r="G18" s="111">
        <v>6.1</v>
      </c>
      <c r="H18" s="20"/>
      <c r="I18" s="20"/>
      <c r="J18" s="20"/>
      <c r="K18" s="20"/>
    </row>
    <row r="19" spans="1:14" x14ac:dyDescent="0.25">
      <c r="A19" s="96">
        <v>10</v>
      </c>
      <c r="B19" s="24">
        <v>1925</v>
      </c>
      <c r="C19" s="24">
        <v>333870</v>
      </c>
      <c r="D19" s="116" t="s">
        <v>386</v>
      </c>
      <c r="E19" s="100">
        <v>3</v>
      </c>
      <c r="F19" s="100">
        <v>4.0999999999999996</v>
      </c>
      <c r="G19" s="111">
        <v>4.5999999999999996</v>
      </c>
      <c r="H19" s="20"/>
      <c r="I19" s="20"/>
      <c r="J19" s="20"/>
      <c r="K19" s="20"/>
    </row>
    <row r="20" spans="1:14" x14ac:dyDescent="0.25">
      <c r="A20" s="96">
        <v>11</v>
      </c>
      <c r="B20" s="24">
        <v>1925</v>
      </c>
      <c r="C20" s="24">
        <v>333870</v>
      </c>
      <c r="D20" s="116" t="s">
        <v>387</v>
      </c>
      <c r="E20" s="100">
        <v>2.7</v>
      </c>
      <c r="F20" s="100">
        <v>3.8</v>
      </c>
      <c r="G20" s="111">
        <v>4.8</v>
      </c>
      <c r="H20" s="20"/>
      <c r="I20" s="20"/>
      <c r="J20" s="20"/>
      <c r="K20" s="20"/>
    </row>
    <row r="21" spans="1:14" x14ac:dyDescent="0.25">
      <c r="A21" s="96">
        <v>12</v>
      </c>
      <c r="B21" s="24">
        <v>1925</v>
      </c>
      <c r="C21" s="24">
        <v>333870</v>
      </c>
      <c r="D21" s="116" t="s">
        <v>388</v>
      </c>
      <c r="E21" s="100">
        <v>2.2000000000000002</v>
      </c>
      <c r="F21" s="100">
        <v>3.1</v>
      </c>
      <c r="G21" s="111">
        <v>3.4</v>
      </c>
      <c r="H21" s="20"/>
      <c r="I21" s="20"/>
      <c r="J21" s="20"/>
      <c r="K21" s="20"/>
    </row>
    <row r="22" spans="1:14" x14ac:dyDescent="0.25">
      <c r="A22" s="96">
        <v>13</v>
      </c>
      <c r="B22" s="24">
        <v>1925</v>
      </c>
      <c r="C22" s="24">
        <v>333870</v>
      </c>
      <c r="D22" s="116" t="s">
        <v>389</v>
      </c>
      <c r="E22" s="100">
        <v>2.1</v>
      </c>
      <c r="F22" s="100">
        <v>3</v>
      </c>
      <c r="G22" s="111">
        <v>3.3</v>
      </c>
      <c r="H22" s="20"/>
      <c r="I22" s="20"/>
      <c r="J22" s="20"/>
      <c r="K22" s="20"/>
    </row>
    <row r="23" spans="1:14" x14ac:dyDescent="0.25">
      <c r="A23" s="96">
        <v>14</v>
      </c>
      <c r="B23" s="24">
        <v>1925</v>
      </c>
      <c r="C23" s="24">
        <v>333870</v>
      </c>
      <c r="D23" s="116" t="s">
        <v>390</v>
      </c>
      <c r="E23" s="100">
        <v>2.5</v>
      </c>
      <c r="F23" s="100">
        <v>3.3</v>
      </c>
      <c r="G23" s="111">
        <v>3.9</v>
      </c>
      <c r="H23" s="20"/>
      <c r="I23" s="20"/>
      <c r="J23" s="20"/>
      <c r="K23" s="20"/>
    </row>
    <row r="24" spans="1:14" x14ac:dyDescent="0.25">
      <c r="A24" s="96">
        <v>15</v>
      </c>
      <c r="B24" s="24">
        <v>1925</v>
      </c>
      <c r="C24" s="24">
        <v>333870</v>
      </c>
      <c r="D24" s="116" t="s">
        <v>391</v>
      </c>
      <c r="E24" s="100">
        <v>1.9</v>
      </c>
      <c r="F24" s="100">
        <v>2.7</v>
      </c>
      <c r="G24" s="111">
        <v>3.1</v>
      </c>
      <c r="H24" s="20"/>
      <c r="I24" s="20"/>
      <c r="J24" s="20"/>
      <c r="K24" s="20"/>
    </row>
    <row r="25" spans="1:14" x14ac:dyDescent="0.25">
      <c r="A25" s="96">
        <v>16</v>
      </c>
      <c r="B25" s="24">
        <v>1925</v>
      </c>
      <c r="C25" s="24">
        <v>333870</v>
      </c>
      <c r="D25" s="116" t="s">
        <v>392</v>
      </c>
      <c r="E25" s="100">
        <v>2.4</v>
      </c>
      <c r="F25" s="100">
        <v>3.2</v>
      </c>
      <c r="G25" s="111">
        <v>3.8</v>
      </c>
      <c r="H25" s="20"/>
      <c r="I25" s="20"/>
      <c r="J25" s="20"/>
      <c r="K25" s="20"/>
    </row>
    <row r="26" spans="1:14" x14ac:dyDescent="0.25">
      <c r="A26" s="96">
        <v>17</v>
      </c>
      <c r="B26" s="24">
        <v>1925</v>
      </c>
      <c r="C26" s="24">
        <v>333870</v>
      </c>
      <c r="D26" s="116" t="s">
        <v>393</v>
      </c>
      <c r="E26" s="100">
        <v>2.8</v>
      </c>
      <c r="F26" s="100">
        <v>10.6</v>
      </c>
      <c r="G26" s="125">
        <v>68.400000000000006</v>
      </c>
      <c r="H26" s="20"/>
      <c r="I26" s="20"/>
      <c r="J26" s="20"/>
      <c r="K26" s="20"/>
    </row>
    <row r="27" spans="1:14" x14ac:dyDescent="0.25">
      <c r="A27" s="96">
        <v>18</v>
      </c>
      <c r="B27" s="24">
        <v>1925</v>
      </c>
      <c r="C27" s="24">
        <v>333870</v>
      </c>
      <c r="D27" s="116" t="s">
        <v>394</v>
      </c>
      <c r="E27" s="100">
        <v>3.6</v>
      </c>
      <c r="F27" s="100">
        <v>4.9000000000000004</v>
      </c>
      <c r="G27" s="111">
        <v>5.4</v>
      </c>
      <c r="H27" s="20"/>
      <c r="I27" s="20"/>
      <c r="J27" s="20"/>
      <c r="K27" s="20"/>
    </row>
    <row r="28" spans="1:14" x14ac:dyDescent="0.25">
      <c r="A28" s="96">
        <v>19</v>
      </c>
      <c r="B28" s="24">
        <v>1925</v>
      </c>
      <c r="C28" s="24">
        <v>333870</v>
      </c>
      <c r="D28" s="116" t="s">
        <v>395</v>
      </c>
      <c r="E28" s="100">
        <v>3.6</v>
      </c>
      <c r="F28" s="100">
        <v>5</v>
      </c>
      <c r="G28" s="111">
        <v>5.6</v>
      </c>
      <c r="H28" s="20"/>
      <c r="I28" s="126"/>
      <c r="J28" s="126"/>
      <c r="K28" s="126"/>
      <c r="L28" s="127"/>
      <c r="M28" s="127"/>
      <c r="N28" s="127"/>
    </row>
    <row r="29" spans="1:14" x14ac:dyDescent="0.25">
      <c r="A29" s="96">
        <v>20</v>
      </c>
      <c r="B29" s="24">
        <v>1925</v>
      </c>
      <c r="C29" s="24">
        <v>333870</v>
      </c>
      <c r="D29" s="116" t="s">
        <v>396</v>
      </c>
      <c r="E29" s="100">
        <v>5.8</v>
      </c>
      <c r="F29" s="100">
        <v>12.7</v>
      </c>
      <c r="G29" s="111">
        <v>16.3</v>
      </c>
      <c r="H29" s="20"/>
      <c r="I29" s="126"/>
      <c r="J29" s="126"/>
      <c r="K29" s="126"/>
      <c r="L29" s="127"/>
      <c r="M29" s="127"/>
      <c r="N29" s="127"/>
    </row>
    <row r="30" spans="1:14" x14ac:dyDescent="0.25">
      <c r="A30" s="96">
        <v>21</v>
      </c>
      <c r="B30" s="24">
        <v>1925</v>
      </c>
      <c r="C30" s="24">
        <v>333870</v>
      </c>
      <c r="D30" s="116" t="s">
        <v>397</v>
      </c>
      <c r="E30" s="100">
        <v>2.7</v>
      </c>
      <c r="F30" s="100">
        <v>5</v>
      </c>
      <c r="G30" s="111">
        <v>6.9</v>
      </c>
      <c r="H30" s="20"/>
      <c r="I30" s="126"/>
      <c r="J30" s="126"/>
      <c r="K30" s="126"/>
      <c r="L30" s="127"/>
      <c r="M30" s="127"/>
      <c r="N30" s="127"/>
    </row>
    <row r="31" spans="1:14" x14ac:dyDescent="0.25">
      <c r="A31" s="96">
        <v>22</v>
      </c>
      <c r="B31" s="24">
        <v>1925</v>
      </c>
      <c r="C31" s="24">
        <v>333870</v>
      </c>
      <c r="D31" s="116" t="s">
        <v>398</v>
      </c>
      <c r="E31" s="100">
        <v>2.8</v>
      </c>
      <c r="F31" s="100">
        <v>3.9</v>
      </c>
      <c r="G31" s="111">
        <v>4.4000000000000004</v>
      </c>
      <c r="H31" s="20"/>
      <c r="I31" s="126"/>
      <c r="J31" s="126"/>
      <c r="K31" s="126"/>
      <c r="L31" s="127"/>
      <c r="M31" s="127"/>
      <c r="N31" s="127"/>
    </row>
    <row r="32" spans="1:14" x14ac:dyDescent="0.25">
      <c r="A32" s="96">
        <v>23</v>
      </c>
      <c r="B32" s="24">
        <v>1925</v>
      </c>
      <c r="C32" s="24">
        <v>333870</v>
      </c>
      <c r="D32" s="116" t="s">
        <v>399</v>
      </c>
      <c r="E32" s="100">
        <v>4.5999999999999996</v>
      </c>
      <c r="F32" s="100">
        <v>9.5</v>
      </c>
      <c r="G32" s="111">
        <v>11.7</v>
      </c>
      <c r="H32" s="20"/>
      <c r="I32" s="126"/>
      <c r="J32" s="126"/>
      <c r="K32" s="126"/>
      <c r="L32" s="127"/>
      <c r="M32" s="127"/>
      <c r="N32" s="127"/>
    </row>
    <row r="33" spans="1:15" x14ac:dyDescent="0.25">
      <c r="A33" s="96">
        <v>24</v>
      </c>
      <c r="B33" s="24">
        <v>1925</v>
      </c>
      <c r="C33" s="24">
        <v>333870</v>
      </c>
      <c r="D33" s="116" t="s">
        <v>400</v>
      </c>
      <c r="E33" s="100">
        <v>2.7</v>
      </c>
      <c r="F33" s="100">
        <v>3.6</v>
      </c>
      <c r="G33" s="111">
        <v>4.3</v>
      </c>
      <c r="H33" s="20"/>
      <c r="I33" s="20"/>
      <c r="J33" s="20"/>
      <c r="K33" s="20"/>
    </row>
    <row r="34" spans="1:15" x14ac:dyDescent="0.25">
      <c r="A34" s="96">
        <v>25</v>
      </c>
      <c r="B34" s="24">
        <v>1925</v>
      </c>
      <c r="C34" s="24">
        <v>333870</v>
      </c>
      <c r="D34" s="116" t="s">
        <v>401</v>
      </c>
      <c r="E34" s="100">
        <v>3.2</v>
      </c>
      <c r="F34" s="100">
        <v>4.5999999999999996</v>
      </c>
      <c r="G34" s="111">
        <v>5.3</v>
      </c>
      <c r="H34" s="20"/>
      <c r="I34" s="20"/>
      <c r="J34" s="20"/>
      <c r="K34" s="20"/>
    </row>
    <row r="35" spans="1:15" x14ac:dyDescent="0.25">
      <c r="A35" s="96">
        <v>26</v>
      </c>
      <c r="B35" s="24">
        <v>1925</v>
      </c>
      <c r="C35" s="24">
        <v>333870</v>
      </c>
      <c r="D35" s="116" t="s">
        <v>402</v>
      </c>
      <c r="E35" s="100">
        <v>3.8</v>
      </c>
      <c r="F35" s="100">
        <v>4.8</v>
      </c>
      <c r="G35" s="111">
        <v>5.6</v>
      </c>
      <c r="H35" s="20"/>
      <c r="I35" s="20"/>
      <c r="J35" s="20"/>
      <c r="K35" s="20"/>
    </row>
    <row r="36" spans="1:15" x14ac:dyDescent="0.25">
      <c r="A36" s="96">
        <v>27</v>
      </c>
      <c r="B36" s="24">
        <v>1925</v>
      </c>
      <c r="C36" s="24">
        <v>333870</v>
      </c>
      <c r="D36" s="116" t="s">
        <v>403</v>
      </c>
      <c r="E36" s="100">
        <v>3.5</v>
      </c>
      <c r="F36" s="100">
        <v>5</v>
      </c>
      <c r="G36" s="111">
        <v>5.7</v>
      </c>
      <c r="H36" s="20"/>
      <c r="I36" s="20"/>
      <c r="J36" s="20"/>
      <c r="K36" s="20" t="s">
        <v>582</v>
      </c>
    </row>
    <row r="37" spans="1:15" x14ac:dyDescent="0.25">
      <c r="A37" s="96">
        <v>28</v>
      </c>
      <c r="B37" s="24">
        <v>1925</v>
      </c>
      <c r="C37" s="24">
        <v>333870</v>
      </c>
      <c r="D37" s="116" t="s">
        <v>404</v>
      </c>
      <c r="E37" s="100">
        <v>2.9</v>
      </c>
      <c r="F37" s="100">
        <v>3.8</v>
      </c>
      <c r="G37" s="111">
        <v>4.4000000000000004</v>
      </c>
      <c r="H37" s="20"/>
      <c r="I37" s="20"/>
      <c r="J37" s="20"/>
      <c r="K37" s="20"/>
      <c r="L37" s="20"/>
      <c r="M37" s="20"/>
      <c r="N37" s="20"/>
      <c r="O37" s="20"/>
    </row>
    <row r="38" spans="1:15" ht="10.5" customHeight="1" x14ac:dyDescent="0.25">
      <c r="A38" s="96">
        <v>29</v>
      </c>
      <c r="B38" s="24">
        <v>1925</v>
      </c>
      <c r="C38" s="24">
        <v>333870</v>
      </c>
      <c r="D38" s="116" t="s">
        <v>405</v>
      </c>
      <c r="E38" s="100">
        <v>2.5</v>
      </c>
      <c r="F38" s="100">
        <v>3.3</v>
      </c>
      <c r="G38" s="111">
        <v>3.9</v>
      </c>
      <c r="H38" s="20"/>
      <c r="I38" s="20"/>
      <c r="J38" s="20"/>
      <c r="K38" s="20"/>
      <c r="L38" s="20"/>
      <c r="M38" s="20"/>
      <c r="N38" s="20"/>
      <c r="O38" s="20"/>
    </row>
    <row r="39" spans="1:15" hidden="1" x14ac:dyDescent="0.25">
      <c r="A39" s="96">
        <v>30</v>
      </c>
      <c r="B39" s="24">
        <v>1925</v>
      </c>
      <c r="C39" s="24">
        <v>333870</v>
      </c>
      <c r="D39" s="116" t="s">
        <v>406</v>
      </c>
      <c r="E39" s="100">
        <v>3.4</v>
      </c>
      <c r="F39" s="100">
        <v>4.5999999999999996</v>
      </c>
      <c r="G39" s="111">
        <v>5.0999999999999996</v>
      </c>
      <c r="H39" s="20"/>
      <c r="I39" s="20"/>
      <c r="J39" s="20"/>
      <c r="K39" s="20"/>
      <c r="L39" s="20"/>
      <c r="M39" s="20"/>
      <c r="N39" s="20"/>
      <c r="O39" s="20"/>
    </row>
    <row r="40" spans="1:15" x14ac:dyDescent="0.25">
      <c r="A40" s="96">
        <v>31</v>
      </c>
      <c r="B40" s="24">
        <v>1925</v>
      </c>
      <c r="C40" s="24">
        <v>333870</v>
      </c>
      <c r="D40" s="116" t="s">
        <v>407</v>
      </c>
      <c r="E40" s="100">
        <v>4.4000000000000004</v>
      </c>
      <c r="F40" s="100">
        <v>7.9</v>
      </c>
      <c r="G40" s="129">
        <v>9.8000000000000007</v>
      </c>
      <c r="H40" s="24" t="s">
        <v>574</v>
      </c>
      <c r="I40" s="24" t="s">
        <v>573</v>
      </c>
      <c r="J40" s="24" t="s">
        <v>575</v>
      </c>
      <c r="K40" s="24" t="s">
        <v>576</v>
      </c>
      <c r="L40" s="24" t="s">
        <v>577</v>
      </c>
      <c r="M40" s="24" t="s">
        <v>578</v>
      </c>
      <c r="N40" s="24" t="s">
        <v>579</v>
      </c>
      <c r="O40" s="24" t="s">
        <v>580</v>
      </c>
    </row>
    <row r="41" spans="1:15" x14ac:dyDescent="0.25">
      <c r="A41" s="130">
        <v>32</v>
      </c>
      <c r="B41" s="131">
        <v>1925</v>
      </c>
      <c r="C41" s="131">
        <v>333870</v>
      </c>
      <c r="D41" s="132" t="s">
        <v>408</v>
      </c>
      <c r="E41" s="133">
        <v>73.7</v>
      </c>
      <c r="F41" s="133">
        <v>194.2</v>
      </c>
      <c r="G41" s="134" t="s">
        <v>409</v>
      </c>
      <c r="H41" s="59">
        <v>0.83199999999999996</v>
      </c>
      <c r="I41" s="59">
        <v>0.94099999999999995</v>
      </c>
      <c r="J41" s="59">
        <v>1.03</v>
      </c>
      <c r="K41" s="59">
        <v>1.0269999999999999</v>
      </c>
      <c r="L41" s="59">
        <v>1.0249999999999999</v>
      </c>
      <c r="M41" s="59">
        <v>1.05</v>
      </c>
      <c r="N41" s="59">
        <v>1.089</v>
      </c>
      <c r="O41" s="59">
        <v>1.115</v>
      </c>
    </row>
    <row r="42" spans="1:15" x14ac:dyDescent="0.25">
      <c r="A42" s="96">
        <v>33</v>
      </c>
      <c r="B42" s="24">
        <v>1925</v>
      </c>
      <c r="C42" s="24">
        <v>333870</v>
      </c>
      <c r="D42" s="116" t="s">
        <v>410</v>
      </c>
      <c r="E42" s="100">
        <v>4.3</v>
      </c>
      <c r="F42" s="100">
        <v>9.1</v>
      </c>
      <c r="G42" s="129">
        <v>12.5</v>
      </c>
      <c r="H42" s="24" t="s">
        <v>574</v>
      </c>
      <c r="I42" s="24" t="s">
        <v>573</v>
      </c>
      <c r="J42" s="24" t="s">
        <v>575</v>
      </c>
      <c r="K42" s="24" t="s">
        <v>576</v>
      </c>
      <c r="L42" s="24" t="s">
        <v>577</v>
      </c>
      <c r="M42" s="24" t="s">
        <v>578</v>
      </c>
      <c r="N42" s="24" t="s">
        <v>579</v>
      </c>
      <c r="O42" s="24" t="s">
        <v>580</v>
      </c>
    </row>
    <row r="43" spans="1:15" x14ac:dyDescent="0.25">
      <c r="A43" s="118">
        <v>34</v>
      </c>
      <c r="B43" s="59">
        <v>1925</v>
      </c>
      <c r="C43" s="59">
        <v>333870</v>
      </c>
      <c r="D43" s="119" t="s">
        <v>411</v>
      </c>
      <c r="E43" s="120">
        <v>2.8</v>
      </c>
      <c r="F43" s="120">
        <v>137.6</v>
      </c>
      <c r="G43" s="128" t="s">
        <v>412</v>
      </c>
      <c r="H43" s="59">
        <v>1.425</v>
      </c>
      <c r="I43" s="59">
        <v>1.3360000000000001</v>
      </c>
      <c r="J43" s="59">
        <v>1.3280000000000001</v>
      </c>
      <c r="K43" s="59">
        <v>1.306</v>
      </c>
      <c r="L43" s="59">
        <v>1.3</v>
      </c>
      <c r="M43" s="59">
        <v>1.353</v>
      </c>
      <c r="N43" s="59">
        <v>1.351</v>
      </c>
      <c r="O43" s="59">
        <v>1.3660000000000001</v>
      </c>
    </row>
    <row r="44" spans="1:15" x14ac:dyDescent="0.25">
      <c r="A44" s="96">
        <v>35</v>
      </c>
      <c r="B44" s="24">
        <v>1925</v>
      </c>
      <c r="C44" s="24">
        <v>333870</v>
      </c>
      <c r="D44" s="116" t="s">
        <v>413</v>
      </c>
      <c r="E44" s="100">
        <v>4</v>
      </c>
      <c r="F44" s="100">
        <v>5.3</v>
      </c>
      <c r="G44" s="111">
        <v>6.3</v>
      </c>
      <c r="H44" s="20"/>
      <c r="I44" s="20"/>
      <c r="J44" s="20"/>
      <c r="K44" s="20"/>
      <c r="L44" s="20"/>
      <c r="M44" s="20"/>
      <c r="N44" s="20"/>
      <c r="O44" s="20"/>
    </row>
    <row r="45" spans="1:15" x14ac:dyDescent="0.25">
      <c r="A45" s="96">
        <v>36</v>
      </c>
      <c r="B45" s="24">
        <v>1925</v>
      </c>
      <c r="C45" s="24">
        <v>333870</v>
      </c>
      <c r="D45" s="116" t="s">
        <v>414</v>
      </c>
      <c r="E45" s="100">
        <v>2.8</v>
      </c>
      <c r="F45" s="100">
        <v>3.8</v>
      </c>
      <c r="G45" s="111">
        <v>4.5</v>
      </c>
      <c r="H45" s="20"/>
      <c r="I45" s="20"/>
      <c r="J45" s="20"/>
      <c r="K45" s="20"/>
      <c r="L45" s="20"/>
      <c r="M45" s="20"/>
      <c r="N45" s="20"/>
      <c r="O45" s="20"/>
    </row>
    <row r="46" spans="1:15" x14ac:dyDescent="0.25">
      <c r="A46" s="96">
        <v>37</v>
      </c>
      <c r="B46" s="24">
        <v>1925</v>
      </c>
      <c r="C46" s="24">
        <v>333870</v>
      </c>
      <c r="D46" s="116" t="s">
        <v>415</v>
      </c>
      <c r="E46" s="100">
        <v>3.6</v>
      </c>
      <c r="F46" s="100">
        <v>6</v>
      </c>
      <c r="G46" s="111">
        <v>7.5</v>
      </c>
      <c r="H46" s="20"/>
      <c r="I46" s="20"/>
      <c r="J46" s="20"/>
      <c r="K46" s="20"/>
      <c r="L46" s="20"/>
      <c r="M46" s="20"/>
      <c r="N46" s="20"/>
      <c r="O46" s="20"/>
    </row>
    <row r="47" spans="1:15" x14ac:dyDescent="0.25">
      <c r="A47" s="96">
        <v>38</v>
      </c>
      <c r="B47" s="24">
        <v>1925</v>
      </c>
      <c r="C47" s="24">
        <v>333870</v>
      </c>
      <c r="D47" s="116" t="s">
        <v>416</v>
      </c>
      <c r="E47" s="100">
        <v>3.4</v>
      </c>
      <c r="F47" s="100">
        <v>4.0999999999999996</v>
      </c>
      <c r="G47" s="111">
        <v>4.5999999999999996</v>
      </c>
      <c r="H47" s="20"/>
      <c r="I47" s="20"/>
      <c r="J47" s="20"/>
      <c r="K47" s="20"/>
      <c r="L47" s="20"/>
      <c r="M47" s="20"/>
      <c r="N47" s="20"/>
      <c r="O47" s="20"/>
    </row>
    <row r="48" spans="1:15" x14ac:dyDescent="0.25">
      <c r="A48" s="96">
        <v>39</v>
      </c>
      <c r="B48" s="24">
        <v>1925</v>
      </c>
      <c r="C48" s="24">
        <v>333870</v>
      </c>
      <c r="D48" s="116" t="s">
        <v>417</v>
      </c>
      <c r="E48" s="100">
        <v>3.6</v>
      </c>
      <c r="F48" s="100">
        <v>4.9000000000000004</v>
      </c>
      <c r="G48" s="111">
        <v>5.4</v>
      </c>
      <c r="H48" s="20"/>
      <c r="I48" s="20"/>
      <c r="J48" s="20"/>
      <c r="K48" s="20" t="s">
        <v>582</v>
      </c>
      <c r="L48" s="20"/>
      <c r="M48" s="20"/>
      <c r="N48" s="20"/>
      <c r="O48" s="20"/>
    </row>
    <row r="49" spans="1:15" x14ac:dyDescent="0.25">
      <c r="A49" s="96">
        <v>40</v>
      </c>
      <c r="B49" s="24">
        <v>1925</v>
      </c>
      <c r="C49" s="24">
        <v>333870</v>
      </c>
      <c r="D49" s="116" t="s">
        <v>418</v>
      </c>
      <c r="E49" s="100">
        <v>4.8</v>
      </c>
      <c r="F49" s="100">
        <v>6.5</v>
      </c>
      <c r="G49" s="111">
        <v>7.3</v>
      </c>
      <c r="H49" s="20"/>
      <c r="I49" s="20"/>
      <c r="J49" s="20"/>
      <c r="K49" s="20"/>
      <c r="L49" s="20"/>
      <c r="M49" s="20"/>
      <c r="N49" s="20"/>
      <c r="O49" s="20"/>
    </row>
    <row r="50" spans="1:15" x14ac:dyDescent="0.25">
      <c r="A50" s="96">
        <v>41</v>
      </c>
      <c r="B50" s="24">
        <v>1925</v>
      </c>
      <c r="C50" s="24">
        <v>333870</v>
      </c>
      <c r="D50" s="116" t="s">
        <v>419</v>
      </c>
      <c r="E50" s="100">
        <v>2.8</v>
      </c>
      <c r="F50" s="100">
        <v>3.8</v>
      </c>
      <c r="G50" s="129">
        <v>4.4000000000000004</v>
      </c>
      <c r="H50" s="24" t="s">
        <v>574</v>
      </c>
      <c r="I50" s="24" t="s">
        <v>573</v>
      </c>
      <c r="J50" s="24" t="s">
        <v>575</v>
      </c>
      <c r="K50" s="24" t="s">
        <v>576</v>
      </c>
      <c r="L50" s="24" t="s">
        <v>577</v>
      </c>
      <c r="M50" s="24" t="s">
        <v>578</v>
      </c>
      <c r="N50" s="24" t="s">
        <v>579</v>
      </c>
      <c r="O50" s="24" t="s">
        <v>580</v>
      </c>
    </row>
    <row r="51" spans="1:15" x14ac:dyDescent="0.25">
      <c r="A51" s="118">
        <v>42</v>
      </c>
      <c r="B51" s="59">
        <v>1925</v>
      </c>
      <c r="C51" s="59">
        <v>333870</v>
      </c>
      <c r="D51" s="119" t="s">
        <v>420</v>
      </c>
      <c r="E51" s="120" t="s">
        <v>422</v>
      </c>
      <c r="F51" s="120" t="s">
        <v>423</v>
      </c>
      <c r="G51" s="128" t="s">
        <v>421</v>
      </c>
      <c r="H51" s="59">
        <v>1.88</v>
      </c>
      <c r="I51" s="59">
        <v>2.3199999999999998</v>
      </c>
      <c r="J51" s="59">
        <v>2.34</v>
      </c>
      <c r="K51" s="59">
        <v>2.278</v>
      </c>
      <c r="L51" s="59">
        <v>2.1909999999999998</v>
      </c>
      <c r="M51" s="59">
        <v>2.1869999999999998</v>
      </c>
      <c r="N51" s="59">
        <v>2.2200000000000002</v>
      </c>
      <c r="O51" s="59">
        <v>2.2669999999999999</v>
      </c>
    </row>
    <row r="52" spans="1:15" x14ac:dyDescent="0.25">
      <c r="A52" s="96">
        <v>43</v>
      </c>
      <c r="B52" s="24">
        <v>1925</v>
      </c>
      <c r="C52" s="24">
        <v>333870</v>
      </c>
      <c r="D52" s="116" t="s">
        <v>424</v>
      </c>
      <c r="E52" s="100">
        <v>3.6</v>
      </c>
      <c r="F52" s="100">
        <v>10.6</v>
      </c>
      <c r="G52" s="111">
        <v>14.4</v>
      </c>
      <c r="H52" s="20"/>
      <c r="I52" s="20"/>
      <c r="J52" s="20"/>
      <c r="K52" s="20"/>
      <c r="L52" s="20"/>
      <c r="M52" s="20"/>
      <c r="N52" s="20"/>
      <c r="O52" s="20"/>
    </row>
    <row r="53" spans="1:15" x14ac:dyDescent="0.25">
      <c r="A53" s="96">
        <v>44</v>
      </c>
      <c r="B53" s="24">
        <v>1925</v>
      </c>
      <c r="C53" s="24">
        <v>333870</v>
      </c>
      <c r="D53" s="116" t="s">
        <v>425</v>
      </c>
      <c r="E53" s="100">
        <v>3.5</v>
      </c>
      <c r="F53" s="100">
        <v>5.3</v>
      </c>
      <c r="G53" s="111">
        <v>6.1</v>
      </c>
      <c r="H53" s="20"/>
      <c r="I53" s="20"/>
      <c r="J53" s="20"/>
      <c r="K53" s="20"/>
      <c r="L53" s="20"/>
      <c r="M53" s="20"/>
      <c r="N53" s="20"/>
      <c r="O53" s="20"/>
    </row>
    <row r="54" spans="1:15" x14ac:dyDescent="0.25">
      <c r="A54" s="96">
        <v>45</v>
      </c>
      <c r="B54" s="24">
        <v>1925</v>
      </c>
      <c r="C54" s="24">
        <v>333870</v>
      </c>
      <c r="D54" s="116" t="s">
        <v>426</v>
      </c>
      <c r="E54" s="100">
        <v>20.9</v>
      </c>
      <c r="F54" s="100">
        <v>36.799999999999997</v>
      </c>
      <c r="G54" s="123">
        <v>46.9</v>
      </c>
      <c r="H54" s="20"/>
      <c r="I54" s="20"/>
      <c r="J54" s="20"/>
      <c r="K54" s="20"/>
    </row>
    <row r="55" spans="1:15" x14ac:dyDescent="0.25">
      <c r="A55" s="96">
        <v>46</v>
      </c>
      <c r="B55" s="24">
        <v>1925</v>
      </c>
      <c r="C55" s="24">
        <v>333870</v>
      </c>
      <c r="D55" s="116" t="s">
        <v>427</v>
      </c>
      <c r="E55" s="100">
        <v>3.2</v>
      </c>
      <c r="F55" s="100">
        <v>5.2</v>
      </c>
      <c r="G55" s="111">
        <v>6.5</v>
      </c>
      <c r="H55" s="20"/>
      <c r="I55" s="20"/>
      <c r="J55" s="20"/>
      <c r="K55" s="20"/>
    </row>
    <row r="56" spans="1:15" x14ac:dyDescent="0.25">
      <c r="A56" s="96">
        <v>47</v>
      </c>
      <c r="B56" s="24">
        <v>1925</v>
      </c>
      <c r="C56" s="24">
        <v>333870</v>
      </c>
      <c r="D56" s="116" t="s">
        <v>428</v>
      </c>
      <c r="E56" s="100">
        <v>3.2</v>
      </c>
      <c r="F56" s="100">
        <v>4.3</v>
      </c>
      <c r="G56" s="111">
        <v>4.9000000000000004</v>
      </c>
      <c r="H56" s="20"/>
      <c r="I56" s="20"/>
      <c r="J56" s="20"/>
      <c r="K56" s="20"/>
    </row>
    <row r="57" spans="1:15" x14ac:dyDescent="0.25">
      <c r="A57" s="96">
        <v>48</v>
      </c>
      <c r="B57" s="24">
        <v>1925</v>
      </c>
      <c r="C57" s="24">
        <v>333870</v>
      </c>
      <c r="D57" s="116" t="s">
        <v>429</v>
      </c>
      <c r="E57" s="100">
        <v>2.7</v>
      </c>
      <c r="F57" s="100">
        <v>3.4</v>
      </c>
      <c r="G57" s="111">
        <v>3.9</v>
      </c>
      <c r="H57" s="20"/>
      <c r="I57" s="20"/>
      <c r="J57" s="20"/>
      <c r="K57" s="20"/>
    </row>
    <row r="58" spans="1:15" x14ac:dyDescent="0.25">
      <c r="A58" s="96">
        <v>49</v>
      </c>
      <c r="B58" s="24">
        <v>1925</v>
      </c>
      <c r="C58" s="24">
        <v>333870</v>
      </c>
      <c r="D58" s="116" t="s">
        <v>430</v>
      </c>
      <c r="E58" s="100">
        <v>4.7</v>
      </c>
      <c r="F58" s="100">
        <v>6.7</v>
      </c>
      <c r="G58" s="111">
        <v>7.8</v>
      </c>
      <c r="H58" s="20"/>
      <c r="I58" s="20"/>
      <c r="J58" s="20"/>
      <c r="K58" s="20"/>
    </row>
    <row r="59" spans="1:15" x14ac:dyDescent="0.25">
      <c r="A59" s="96">
        <v>50</v>
      </c>
      <c r="B59" s="24">
        <v>1925</v>
      </c>
      <c r="C59" s="24">
        <v>333870</v>
      </c>
      <c r="D59" s="116" t="s">
        <v>431</v>
      </c>
      <c r="E59" s="100">
        <v>3.4</v>
      </c>
      <c r="F59" s="100">
        <v>5.2</v>
      </c>
      <c r="G59" s="111">
        <v>17.600000000000001</v>
      </c>
      <c r="H59" s="20"/>
      <c r="I59" s="20"/>
      <c r="J59" s="20"/>
      <c r="K59" s="20"/>
    </row>
    <row r="60" spans="1:15" x14ac:dyDescent="0.25">
      <c r="A60" s="96">
        <v>51</v>
      </c>
      <c r="B60" s="24">
        <v>1925</v>
      </c>
      <c r="C60" s="24">
        <v>333870</v>
      </c>
      <c r="D60" s="116" t="s">
        <v>432</v>
      </c>
      <c r="E60" s="100">
        <v>2.6</v>
      </c>
      <c r="F60" s="100">
        <v>3.6</v>
      </c>
      <c r="G60" s="111">
        <v>4.2</v>
      </c>
      <c r="H60" s="20"/>
      <c r="I60" s="20"/>
      <c r="J60" s="20"/>
      <c r="K60" s="20"/>
    </row>
    <row r="61" spans="1:15" x14ac:dyDescent="0.25">
      <c r="A61" s="96">
        <v>52</v>
      </c>
      <c r="B61" s="24">
        <v>1925</v>
      </c>
      <c r="C61" s="24">
        <v>333870</v>
      </c>
      <c r="D61" s="116" t="s">
        <v>433</v>
      </c>
      <c r="E61" s="100">
        <v>8.6</v>
      </c>
      <c r="F61" s="100">
        <v>16.7</v>
      </c>
      <c r="G61" s="123">
        <v>24.6</v>
      </c>
      <c r="H61" s="20"/>
      <c r="I61" s="20"/>
      <c r="J61" s="20"/>
      <c r="K61" s="20"/>
    </row>
    <row r="62" spans="1:15" x14ac:dyDescent="0.25">
      <c r="A62" s="96">
        <v>53</v>
      </c>
      <c r="B62" s="24">
        <v>1925</v>
      </c>
      <c r="C62" s="24">
        <v>333870</v>
      </c>
      <c r="D62" s="116" t="s">
        <v>434</v>
      </c>
      <c r="E62" s="100">
        <v>4.3</v>
      </c>
      <c r="F62" s="100">
        <v>5.7</v>
      </c>
      <c r="G62" s="111">
        <v>6.4</v>
      </c>
      <c r="H62" s="20"/>
      <c r="I62" s="20"/>
      <c r="J62" s="20"/>
      <c r="K62" s="20"/>
    </row>
    <row r="63" spans="1:15" x14ac:dyDescent="0.25">
      <c r="A63" s="96">
        <v>54</v>
      </c>
      <c r="B63" s="24">
        <v>1925</v>
      </c>
      <c r="C63" s="24">
        <v>333870</v>
      </c>
      <c r="D63" s="116" t="s">
        <v>435</v>
      </c>
      <c r="E63" s="100">
        <v>3.5</v>
      </c>
      <c r="F63" s="100">
        <v>4.8</v>
      </c>
      <c r="G63" s="111">
        <v>5.7</v>
      </c>
      <c r="H63" s="20"/>
      <c r="I63" s="20"/>
      <c r="J63" s="20"/>
      <c r="K63" s="20"/>
    </row>
    <row r="64" spans="1:15" x14ac:dyDescent="0.25">
      <c r="A64" s="96">
        <v>55</v>
      </c>
      <c r="B64" s="24">
        <v>1925</v>
      </c>
      <c r="C64" s="24">
        <v>333870</v>
      </c>
      <c r="D64" s="116" t="s">
        <v>436</v>
      </c>
      <c r="E64" s="100">
        <v>3.1</v>
      </c>
      <c r="F64" s="100">
        <v>4.2</v>
      </c>
      <c r="G64" s="111">
        <v>4.8</v>
      </c>
      <c r="H64" s="20"/>
      <c r="I64" s="20"/>
      <c r="J64" s="20"/>
      <c r="K64" s="20"/>
    </row>
    <row r="65" spans="1:11" x14ac:dyDescent="0.25">
      <c r="A65" s="96">
        <v>56</v>
      </c>
      <c r="B65" s="24">
        <v>1925</v>
      </c>
      <c r="C65" s="24">
        <v>333870</v>
      </c>
      <c r="D65" s="116" t="s">
        <v>437</v>
      </c>
      <c r="E65" s="100">
        <v>2.8</v>
      </c>
      <c r="F65" s="100">
        <v>3.8</v>
      </c>
      <c r="G65" s="111">
        <v>4.3</v>
      </c>
      <c r="H65" s="20"/>
      <c r="I65" s="20"/>
      <c r="J65" s="20"/>
      <c r="K65" s="20"/>
    </row>
    <row r="66" spans="1:11" x14ac:dyDescent="0.25">
      <c r="A66" s="96">
        <v>57</v>
      </c>
      <c r="B66" s="24">
        <v>1925</v>
      </c>
      <c r="C66" s="24">
        <v>333870</v>
      </c>
      <c r="D66" s="116" t="s">
        <v>438</v>
      </c>
      <c r="E66" s="100">
        <v>4.2</v>
      </c>
      <c r="F66" s="100">
        <v>5.4</v>
      </c>
      <c r="G66" s="111">
        <v>5.9</v>
      </c>
      <c r="H66" s="20"/>
      <c r="I66" s="20"/>
      <c r="J66" s="20"/>
      <c r="K66" s="20"/>
    </row>
    <row r="67" spans="1:11" x14ac:dyDescent="0.25">
      <c r="A67" s="96">
        <v>58</v>
      </c>
      <c r="B67" s="24">
        <v>1925</v>
      </c>
      <c r="C67" s="24">
        <v>333870</v>
      </c>
      <c r="D67" s="116" t="s">
        <v>439</v>
      </c>
      <c r="E67" s="100">
        <v>2.7</v>
      </c>
      <c r="F67" s="100">
        <v>4</v>
      </c>
      <c r="G67" s="111">
        <v>4.5999999999999996</v>
      </c>
      <c r="H67" s="20"/>
      <c r="I67" s="20"/>
      <c r="J67" s="20"/>
      <c r="K67" s="20"/>
    </row>
    <row r="68" spans="1:11" x14ac:dyDescent="0.25">
      <c r="A68" s="96">
        <v>59</v>
      </c>
      <c r="B68" s="24">
        <v>1925</v>
      </c>
      <c r="C68" s="24">
        <v>333870</v>
      </c>
      <c r="D68" s="116" t="s">
        <v>440</v>
      </c>
      <c r="E68" s="100">
        <v>4.0999999999999996</v>
      </c>
      <c r="F68" s="100">
        <v>6</v>
      </c>
      <c r="G68" s="111">
        <v>7.1</v>
      </c>
      <c r="H68" s="20"/>
      <c r="I68" s="20"/>
      <c r="J68" s="20"/>
      <c r="K68" s="20"/>
    </row>
    <row r="69" spans="1:11" x14ac:dyDescent="0.25">
      <c r="A69" s="96">
        <v>60</v>
      </c>
      <c r="B69" s="24">
        <v>1925</v>
      </c>
      <c r="C69" s="24">
        <v>333870</v>
      </c>
      <c r="D69" s="116" t="s">
        <v>441</v>
      </c>
      <c r="E69" s="100">
        <v>4.5</v>
      </c>
      <c r="F69" s="100">
        <v>6.2</v>
      </c>
      <c r="G69" s="111">
        <v>7.3</v>
      </c>
      <c r="H69" s="20"/>
      <c r="I69" s="20"/>
      <c r="J69" s="20"/>
      <c r="K69" s="20"/>
    </row>
    <row r="70" spans="1:11" x14ac:dyDescent="0.25">
      <c r="A70" s="96">
        <v>61</v>
      </c>
      <c r="B70" s="24">
        <v>1925</v>
      </c>
      <c r="C70" s="24">
        <v>333870</v>
      </c>
      <c r="D70" s="116" t="s">
        <v>442</v>
      </c>
      <c r="E70" s="100">
        <v>5.0999999999999996</v>
      </c>
      <c r="F70" s="100">
        <v>6.6</v>
      </c>
      <c r="G70" s="111">
        <v>7.3</v>
      </c>
      <c r="H70" s="20"/>
      <c r="I70" s="20"/>
      <c r="J70" s="20"/>
      <c r="K70" s="20"/>
    </row>
    <row r="71" spans="1:11" x14ac:dyDescent="0.25">
      <c r="A71" s="96">
        <v>62</v>
      </c>
      <c r="B71" s="24">
        <v>1925</v>
      </c>
      <c r="C71" s="24">
        <v>333870</v>
      </c>
      <c r="D71" s="116" t="s">
        <v>443</v>
      </c>
      <c r="E71" s="100">
        <v>3.5</v>
      </c>
      <c r="F71" s="100">
        <v>4.8</v>
      </c>
      <c r="G71" s="111">
        <v>5.3</v>
      </c>
      <c r="H71" s="20"/>
      <c r="I71" s="20"/>
      <c r="J71" s="20"/>
      <c r="K71" s="20"/>
    </row>
    <row r="72" spans="1:11" x14ac:dyDescent="0.25">
      <c r="A72" s="96">
        <v>63</v>
      </c>
      <c r="B72" s="24">
        <v>1925</v>
      </c>
      <c r="C72" s="24">
        <v>333870</v>
      </c>
      <c r="D72" s="116" t="s">
        <v>444</v>
      </c>
      <c r="E72" s="100">
        <v>3.7</v>
      </c>
      <c r="F72" s="100">
        <v>5</v>
      </c>
      <c r="G72" s="111">
        <v>5.7</v>
      </c>
      <c r="H72" s="20"/>
      <c r="I72" s="20"/>
      <c r="J72" s="20"/>
      <c r="K72" s="20"/>
    </row>
    <row r="73" spans="1:11" x14ac:dyDescent="0.25">
      <c r="A73" s="96">
        <v>64</v>
      </c>
      <c r="B73" s="24">
        <v>1925</v>
      </c>
      <c r="C73" s="24">
        <v>333870</v>
      </c>
      <c r="D73" s="116" t="s">
        <v>445</v>
      </c>
      <c r="E73" s="100">
        <v>2.2999999999999998</v>
      </c>
      <c r="F73" s="100">
        <v>5.2</v>
      </c>
      <c r="G73" s="111">
        <v>6.5</v>
      </c>
      <c r="H73" s="20"/>
      <c r="I73" s="20"/>
      <c r="J73" s="20"/>
      <c r="K73" s="20"/>
    </row>
    <row r="74" spans="1:11" x14ac:dyDescent="0.25">
      <c r="A74" s="96">
        <v>65</v>
      </c>
      <c r="B74" s="24">
        <v>1925</v>
      </c>
      <c r="C74" s="24">
        <v>333870</v>
      </c>
      <c r="D74" s="116" t="s">
        <v>446</v>
      </c>
      <c r="E74" s="100">
        <v>8</v>
      </c>
      <c r="F74" s="100">
        <v>12.5</v>
      </c>
      <c r="G74" s="111">
        <v>14.7</v>
      </c>
      <c r="H74" s="20"/>
      <c r="I74" s="20"/>
      <c r="J74" s="20"/>
      <c r="K74" s="20"/>
    </row>
    <row r="75" spans="1:11" x14ac:dyDescent="0.25">
      <c r="A75" s="96">
        <v>66</v>
      </c>
      <c r="B75" s="24">
        <v>1925</v>
      </c>
      <c r="C75" s="24">
        <v>333870</v>
      </c>
      <c r="D75" s="116" t="s">
        <v>447</v>
      </c>
      <c r="E75" s="100">
        <v>5.0999999999999996</v>
      </c>
      <c r="F75" s="100">
        <v>6.9</v>
      </c>
      <c r="G75" s="111">
        <v>7.8</v>
      </c>
      <c r="H75" s="20"/>
      <c r="I75" s="20"/>
      <c r="J75" s="20"/>
      <c r="K75" s="20"/>
    </row>
    <row r="76" spans="1:11" x14ac:dyDescent="0.25">
      <c r="A76" s="96">
        <v>67</v>
      </c>
      <c r="B76" s="24">
        <v>1925</v>
      </c>
      <c r="C76" s="24">
        <v>333870</v>
      </c>
      <c r="D76" s="116" t="s">
        <v>448</v>
      </c>
      <c r="E76" s="100">
        <v>3.5</v>
      </c>
      <c r="F76" s="100">
        <v>5.2</v>
      </c>
      <c r="G76" s="111">
        <v>6.1</v>
      </c>
      <c r="H76" s="20"/>
      <c r="I76" s="20"/>
      <c r="J76" s="20"/>
      <c r="K76" s="20"/>
    </row>
    <row r="77" spans="1:11" x14ac:dyDescent="0.25">
      <c r="A77" s="96">
        <v>68</v>
      </c>
      <c r="B77" s="24">
        <v>1925</v>
      </c>
      <c r="C77" s="24">
        <v>333870</v>
      </c>
      <c r="D77" s="116" t="s">
        <v>449</v>
      </c>
      <c r="E77" s="100">
        <v>4.5999999999999996</v>
      </c>
      <c r="F77" s="100">
        <v>6.2</v>
      </c>
      <c r="G77" s="111">
        <v>7</v>
      </c>
      <c r="H77" s="20"/>
      <c r="I77" s="20"/>
      <c r="J77" s="20"/>
      <c r="K77" s="20"/>
    </row>
    <row r="78" spans="1:11" x14ac:dyDescent="0.25">
      <c r="A78" s="96">
        <v>69</v>
      </c>
      <c r="B78" s="24">
        <v>1925</v>
      </c>
      <c r="C78" s="24">
        <v>333870</v>
      </c>
      <c r="D78" s="116" t="s">
        <v>450</v>
      </c>
      <c r="E78" s="100">
        <v>4.7</v>
      </c>
      <c r="F78" s="100">
        <v>6.5</v>
      </c>
      <c r="G78" s="111">
        <v>7.2</v>
      </c>
      <c r="H78" s="20"/>
      <c r="I78" s="20"/>
      <c r="J78" s="20"/>
      <c r="K78" s="20"/>
    </row>
    <row r="79" spans="1:11" x14ac:dyDescent="0.25">
      <c r="A79" s="96">
        <v>70</v>
      </c>
      <c r="B79" s="24">
        <v>1925</v>
      </c>
      <c r="C79" s="24">
        <v>333870</v>
      </c>
      <c r="D79" s="116" t="s">
        <v>451</v>
      </c>
      <c r="E79" s="100">
        <v>4</v>
      </c>
      <c r="F79" s="100">
        <v>5.5</v>
      </c>
      <c r="G79" s="111">
        <v>6.3</v>
      </c>
      <c r="H79" s="20"/>
      <c r="I79" s="20"/>
      <c r="J79" s="20"/>
      <c r="K79" s="20"/>
    </row>
    <row r="80" spans="1:11" x14ac:dyDescent="0.25">
      <c r="A80" s="96">
        <v>71</v>
      </c>
      <c r="B80" s="24">
        <v>1925</v>
      </c>
      <c r="C80" s="24">
        <v>333870</v>
      </c>
      <c r="D80" s="116" t="s">
        <v>452</v>
      </c>
      <c r="E80" s="100">
        <v>4.3</v>
      </c>
      <c r="F80" s="100">
        <v>6.5</v>
      </c>
      <c r="G80" s="111">
        <v>7.4</v>
      </c>
      <c r="H80" s="20"/>
      <c r="I80" s="20"/>
      <c r="J80" s="20"/>
      <c r="K80" s="20"/>
    </row>
    <row r="81" spans="1:11" x14ac:dyDescent="0.25">
      <c r="A81" s="96">
        <v>72</v>
      </c>
      <c r="B81" s="24">
        <v>1925</v>
      </c>
      <c r="C81" s="24">
        <v>333870</v>
      </c>
      <c r="D81" s="116" t="s">
        <v>453</v>
      </c>
      <c r="E81" s="100">
        <v>2.2999999999999998</v>
      </c>
      <c r="F81" s="100">
        <v>2.9</v>
      </c>
      <c r="G81" s="111">
        <v>3.3</v>
      </c>
      <c r="H81" s="20"/>
      <c r="I81" s="20"/>
      <c r="J81" s="20"/>
      <c r="K81" s="20"/>
    </row>
    <row r="82" spans="1:11" x14ac:dyDescent="0.25">
      <c r="A82" s="96">
        <v>73</v>
      </c>
      <c r="B82" s="24">
        <v>1925</v>
      </c>
      <c r="C82" s="24">
        <v>333870</v>
      </c>
      <c r="D82" s="116" t="s">
        <v>454</v>
      </c>
      <c r="E82" s="100">
        <v>2.7</v>
      </c>
      <c r="F82" s="100">
        <v>3.9</v>
      </c>
      <c r="G82" s="111">
        <v>4.7</v>
      </c>
      <c r="H82" s="20"/>
      <c r="I82" s="20"/>
      <c r="J82" s="20"/>
      <c r="K82" s="20"/>
    </row>
    <row r="83" spans="1:11" x14ac:dyDescent="0.25">
      <c r="A83" s="96">
        <v>74</v>
      </c>
      <c r="B83" s="24">
        <v>1925</v>
      </c>
      <c r="C83" s="24">
        <v>333870</v>
      </c>
      <c r="D83" s="116" t="s">
        <v>455</v>
      </c>
      <c r="E83" s="100">
        <v>2.6</v>
      </c>
      <c r="F83" s="100">
        <v>3.9</v>
      </c>
      <c r="G83" s="111">
        <v>4.4000000000000004</v>
      </c>
      <c r="H83" s="20"/>
      <c r="I83" s="20"/>
      <c r="J83" s="20"/>
      <c r="K83" s="20"/>
    </row>
    <row r="84" spans="1:11" x14ac:dyDescent="0.25">
      <c r="A84" s="96">
        <v>75</v>
      </c>
      <c r="B84" s="24">
        <v>1925</v>
      </c>
      <c r="C84" s="24">
        <v>333870</v>
      </c>
      <c r="D84" s="116" t="s">
        <v>456</v>
      </c>
      <c r="E84" s="100">
        <v>2.8</v>
      </c>
      <c r="F84" s="100">
        <v>3.7</v>
      </c>
      <c r="G84" s="111">
        <v>4.2</v>
      </c>
      <c r="H84" s="20"/>
      <c r="I84" s="20"/>
      <c r="J84" s="20"/>
      <c r="K84" s="20"/>
    </row>
    <row r="85" spans="1:11" x14ac:dyDescent="0.25">
      <c r="A85" s="96">
        <v>76</v>
      </c>
      <c r="B85" s="24">
        <v>1925</v>
      </c>
      <c r="C85" s="24">
        <v>333870</v>
      </c>
      <c r="D85" s="116" t="s">
        <v>457</v>
      </c>
      <c r="E85" s="100">
        <v>2.8</v>
      </c>
      <c r="F85" s="100">
        <v>4.7</v>
      </c>
      <c r="G85" s="111">
        <v>5.4</v>
      </c>
      <c r="H85" s="20"/>
      <c r="I85" s="20"/>
      <c r="J85" s="20"/>
      <c r="K85" s="20"/>
    </row>
    <row r="86" spans="1:11" x14ac:dyDescent="0.25">
      <c r="A86" s="96">
        <v>77</v>
      </c>
      <c r="B86" s="24">
        <v>1925</v>
      </c>
      <c r="C86" s="24">
        <v>333870</v>
      </c>
      <c r="D86" s="116" t="s">
        <v>458</v>
      </c>
      <c r="E86" s="100">
        <v>2.7</v>
      </c>
      <c r="F86" s="100">
        <v>3.8</v>
      </c>
      <c r="G86" s="111">
        <v>4.2</v>
      </c>
      <c r="H86" s="20"/>
      <c r="I86" s="20"/>
      <c r="J86" s="20"/>
      <c r="K86" s="20"/>
    </row>
    <row r="87" spans="1:11" x14ac:dyDescent="0.25">
      <c r="A87" s="96">
        <v>78</v>
      </c>
      <c r="B87" s="24">
        <v>1925</v>
      </c>
      <c r="C87" s="24">
        <v>333870</v>
      </c>
      <c r="D87" s="116" t="s">
        <v>459</v>
      </c>
      <c r="E87" s="100">
        <v>3.4</v>
      </c>
      <c r="F87" s="100">
        <v>4.8</v>
      </c>
      <c r="G87" s="111">
        <v>5.8</v>
      </c>
      <c r="H87" s="20"/>
      <c r="I87" s="20"/>
      <c r="J87" s="20"/>
      <c r="K87" s="20"/>
    </row>
    <row r="88" spans="1:11" x14ac:dyDescent="0.25">
      <c r="A88" s="96">
        <v>79</v>
      </c>
      <c r="B88" s="24">
        <v>1925</v>
      </c>
      <c r="C88" s="24">
        <v>333870</v>
      </c>
      <c r="D88" s="116" t="s">
        <v>460</v>
      </c>
      <c r="E88" s="100">
        <v>2.6</v>
      </c>
      <c r="F88" s="100">
        <v>3.6</v>
      </c>
      <c r="G88" s="111">
        <v>4</v>
      </c>
      <c r="H88" s="20"/>
      <c r="I88" s="20"/>
      <c r="J88" s="20"/>
      <c r="K88" s="20"/>
    </row>
    <row r="89" spans="1:11" x14ac:dyDescent="0.25">
      <c r="A89" s="96">
        <v>80</v>
      </c>
      <c r="B89" s="24">
        <v>1925</v>
      </c>
      <c r="C89" s="24">
        <v>333870</v>
      </c>
      <c r="D89" s="116" t="s">
        <v>461</v>
      </c>
      <c r="E89" s="100">
        <v>3</v>
      </c>
      <c r="F89" s="100">
        <v>5.2</v>
      </c>
      <c r="G89" s="111">
        <v>6.6</v>
      </c>
      <c r="H89" s="20"/>
      <c r="I89" s="20"/>
      <c r="J89" s="20"/>
      <c r="K89" s="20"/>
    </row>
    <row r="90" spans="1:11" x14ac:dyDescent="0.25">
      <c r="A90" s="96">
        <v>81</v>
      </c>
      <c r="B90" s="24">
        <v>1925</v>
      </c>
      <c r="C90" s="24">
        <v>333870</v>
      </c>
      <c r="D90" s="116" t="s">
        <v>462</v>
      </c>
      <c r="E90" s="100">
        <v>3</v>
      </c>
      <c r="F90" s="100">
        <v>3.9</v>
      </c>
      <c r="G90" s="111">
        <v>4.5</v>
      </c>
      <c r="H90" s="20"/>
      <c r="I90" s="20"/>
      <c r="J90" s="20"/>
      <c r="K90" s="20"/>
    </row>
    <row r="91" spans="1:11" x14ac:dyDescent="0.25">
      <c r="A91" s="96">
        <v>82</v>
      </c>
      <c r="B91" s="24">
        <v>1925</v>
      </c>
      <c r="C91" s="24">
        <v>333870</v>
      </c>
      <c r="D91" s="116" t="s">
        <v>463</v>
      </c>
      <c r="E91" s="100">
        <v>3.2</v>
      </c>
      <c r="F91" s="100">
        <v>4.3</v>
      </c>
      <c r="G91" s="111">
        <v>4.7</v>
      </c>
      <c r="H91" s="20"/>
      <c r="I91" s="20"/>
      <c r="J91" s="20"/>
      <c r="K91" s="20"/>
    </row>
    <row r="92" spans="1:11" x14ac:dyDescent="0.25">
      <c r="A92" s="96">
        <v>83</v>
      </c>
      <c r="B92" s="24">
        <v>1925</v>
      </c>
      <c r="C92" s="24">
        <v>333870</v>
      </c>
      <c r="D92" s="116" t="s">
        <v>464</v>
      </c>
      <c r="E92" s="100">
        <v>3.5</v>
      </c>
      <c r="F92" s="100">
        <v>5</v>
      </c>
      <c r="G92" s="111">
        <v>6</v>
      </c>
      <c r="H92" s="20"/>
      <c r="I92" s="20"/>
      <c r="J92" s="20"/>
      <c r="K92" s="20"/>
    </row>
    <row r="93" spans="1:11" x14ac:dyDescent="0.25">
      <c r="A93" s="96">
        <v>84</v>
      </c>
      <c r="B93" s="24">
        <v>1925</v>
      </c>
      <c r="C93" s="24">
        <v>333870</v>
      </c>
      <c r="D93" s="116" t="s">
        <v>465</v>
      </c>
      <c r="E93" s="100">
        <v>2.5</v>
      </c>
      <c r="F93" s="100">
        <v>3.4</v>
      </c>
      <c r="G93" s="111">
        <v>3.9</v>
      </c>
      <c r="H93" s="20"/>
      <c r="I93" s="20"/>
      <c r="J93" s="20"/>
      <c r="K93" s="20"/>
    </row>
    <row r="94" spans="1:11" x14ac:dyDescent="0.25">
      <c r="A94" s="96">
        <v>85</v>
      </c>
      <c r="B94" s="24">
        <v>1925</v>
      </c>
      <c r="C94" s="24">
        <v>333870</v>
      </c>
      <c r="D94" s="116" t="s">
        <v>466</v>
      </c>
      <c r="E94" s="100">
        <v>3.4</v>
      </c>
      <c r="F94" s="100">
        <v>4.4000000000000004</v>
      </c>
      <c r="G94" s="111">
        <v>4.8</v>
      </c>
      <c r="H94" s="20"/>
      <c r="I94" s="20"/>
      <c r="J94" s="20"/>
      <c r="K94" s="20"/>
    </row>
    <row r="95" spans="1:11" x14ac:dyDescent="0.25">
      <c r="A95" s="96">
        <v>86</v>
      </c>
      <c r="B95" s="24">
        <v>1925</v>
      </c>
      <c r="C95" s="24">
        <v>333870</v>
      </c>
      <c r="D95" s="116" t="s">
        <v>467</v>
      </c>
      <c r="E95" s="100">
        <v>3</v>
      </c>
      <c r="F95" s="100">
        <v>6</v>
      </c>
      <c r="G95" s="111">
        <v>9.1</v>
      </c>
      <c r="H95" s="20"/>
      <c r="I95" s="20"/>
      <c r="J95" s="20"/>
      <c r="K95" s="20"/>
    </row>
    <row r="96" spans="1:11" x14ac:dyDescent="0.25">
      <c r="A96" s="96">
        <v>87</v>
      </c>
      <c r="B96" s="24">
        <v>1925</v>
      </c>
      <c r="C96" s="24">
        <v>333870</v>
      </c>
      <c r="D96" s="116" t="s">
        <v>468</v>
      </c>
      <c r="E96" s="100">
        <v>2.6</v>
      </c>
      <c r="F96" s="100">
        <v>4</v>
      </c>
      <c r="G96" s="111">
        <v>4.9000000000000004</v>
      </c>
      <c r="H96" s="20"/>
      <c r="I96" s="20"/>
      <c r="J96" s="20"/>
      <c r="K96" s="20"/>
    </row>
    <row r="97" spans="1:16" x14ac:dyDescent="0.25">
      <c r="A97" s="96">
        <v>88</v>
      </c>
      <c r="B97" s="24">
        <v>1925</v>
      </c>
      <c r="C97" s="24">
        <v>333870</v>
      </c>
      <c r="D97" s="116" t="s">
        <v>469</v>
      </c>
      <c r="E97" s="100">
        <v>3.1</v>
      </c>
      <c r="F97" s="100">
        <v>4.5</v>
      </c>
      <c r="G97" s="111">
        <v>5.3</v>
      </c>
      <c r="H97" s="20"/>
      <c r="I97" s="20"/>
      <c r="J97" s="20"/>
      <c r="K97" s="20"/>
    </row>
    <row r="98" spans="1:16" x14ac:dyDescent="0.25">
      <c r="A98" s="96">
        <v>89</v>
      </c>
      <c r="B98" s="24">
        <v>1925</v>
      </c>
      <c r="C98" s="24">
        <v>333870</v>
      </c>
      <c r="D98" s="116" t="s">
        <v>470</v>
      </c>
      <c r="E98" s="100">
        <v>3.3</v>
      </c>
      <c r="F98" s="100">
        <v>4.5999999999999996</v>
      </c>
      <c r="G98" s="111">
        <v>5.3</v>
      </c>
      <c r="H98" s="20"/>
      <c r="I98" s="20"/>
      <c r="J98" s="20"/>
      <c r="K98" s="20"/>
    </row>
    <row r="99" spans="1:16" x14ac:dyDescent="0.25">
      <c r="A99" s="96">
        <v>90</v>
      </c>
      <c r="B99" s="24">
        <v>1925</v>
      </c>
      <c r="C99" s="24">
        <v>333870</v>
      </c>
      <c r="D99" s="116" t="s">
        <v>471</v>
      </c>
      <c r="E99" s="100">
        <v>2.2999999999999998</v>
      </c>
      <c r="F99" s="100">
        <v>3.4</v>
      </c>
      <c r="G99" s="111">
        <v>4</v>
      </c>
      <c r="H99" s="20"/>
      <c r="I99" s="20"/>
      <c r="J99" s="20"/>
      <c r="K99" s="20"/>
    </row>
    <row r="100" spans="1:16" x14ac:dyDescent="0.25">
      <c r="A100" s="96">
        <v>91</v>
      </c>
      <c r="B100" s="24">
        <v>1925</v>
      </c>
      <c r="C100" s="24">
        <v>333870</v>
      </c>
      <c r="D100" s="116" t="s">
        <v>472</v>
      </c>
      <c r="E100" s="100">
        <v>3.9</v>
      </c>
      <c r="F100" s="100">
        <v>5.0999999999999996</v>
      </c>
      <c r="G100" s="111">
        <v>5.7</v>
      </c>
      <c r="H100" s="20"/>
      <c r="I100" s="20"/>
      <c r="J100" s="20"/>
      <c r="K100" s="20"/>
      <c r="L100" s="20"/>
      <c r="M100" s="20"/>
      <c r="N100" s="20"/>
      <c r="O100" s="20"/>
      <c r="P100" s="20"/>
    </row>
    <row r="101" spans="1:16" x14ac:dyDescent="0.25">
      <c r="A101" s="96">
        <v>92</v>
      </c>
      <c r="B101" s="24">
        <v>1925</v>
      </c>
      <c r="C101" s="24">
        <v>333870</v>
      </c>
      <c r="D101" s="116" t="s">
        <v>473</v>
      </c>
      <c r="E101" s="100">
        <v>2.7</v>
      </c>
      <c r="F101" s="100">
        <v>3.7</v>
      </c>
      <c r="G101" s="111">
        <v>4.2</v>
      </c>
      <c r="H101" s="20"/>
      <c r="I101" s="20"/>
      <c r="J101" s="20"/>
      <c r="K101" s="20" t="s">
        <v>582</v>
      </c>
      <c r="L101" s="20"/>
      <c r="M101" s="20"/>
      <c r="N101" s="20"/>
      <c r="O101" s="20"/>
      <c r="P101" s="20"/>
    </row>
    <row r="102" spans="1:16" x14ac:dyDescent="0.25">
      <c r="A102" s="96">
        <v>93</v>
      </c>
      <c r="B102" s="24">
        <v>1925</v>
      </c>
      <c r="C102" s="24">
        <v>333870</v>
      </c>
      <c r="D102" s="116" t="s">
        <v>474</v>
      </c>
      <c r="E102" s="100">
        <v>3.2</v>
      </c>
      <c r="F102" s="100">
        <v>6</v>
      </c>
      <c r="G102" s="111">
        <v>8.1</v>
      </c>
      <c r="H102" s="20"/>
      <c r="I102" s="20"/>
      <c r="J102" s="20"/>
      <c r="K102" s="20"/>
      <c r="L102" s="20"/>
      <c r="M102" s="20"/>
      <c r="N102" s="20"/>
      <c r="O102" s="20"/>
      <c r="P102" s="20"/>
    </row>
    <row r="103" spans="1:16" x14ac:dyDescent="0.25">
      <c r="A103" s="96">
        <v>94</v>
      </c>
      <c r="B103" s="24">
        <v>1925</v>
      </c>
      <c r="C103" s="24">
        <v>333870</v>
      </c>
      <c r="D103" s="116" t="s">
        <v>475</v>
      </c>
      <c r="E103" s="100">
        <v>2.4</v>
      </c>
      <c r="F103" s="100">
        <v>3.4</v>
      </c>
      <c r="G103" s="129">
        <v>3.9</v>
      </c>
      <c r="H103" s="24" t="s">
        <v>574</v>
      </c>
      <c r="I103" s="24" t="s">
        <v>573</v>
      </c>
      <c r="J103" s="24" t="s">
        <v>575</v>
      </c>
      <c r="K103" s="24" t="s">
        <v>576</v>
      </c>
      <c r="L103" s="24" t="s">
        <v>577</v>
      </c>
      <c r="M103" s="24" t="s">
        <v>578</v>
      </c>
      <c r="N103" s="24" t="s">
        <v>579</v>
      </c>
      <c r="O103" s="24" t="s">
        <v>580</v>
      </c>
      <c r="P103" s="20"/>
    </row>
    <row r="104" spans="1:16" s="122" customFormat="1" x14ac:dyDescent="0.25">
      <c r="A104" s="135">
        <v>95</v>
      </c>
      <c r="B104" s="136">
        <v>1925</v>
      </c>
      <c r="C104" s="136">
        <v>333870</v>
      </c>
      <c r="D104" s="137" t="s">
        <v>476</v>
      </c>
      <c r="E104" s="138">
        <v>3.7</v>
      </c>
      <c r="F104" s="138">
        <v>25.3</v>
      </c>
      <c r="G104" s="139" t="s">
        <v>477</v>
      </c>
      <c r="H104" s="136">
        <v>1.004</v>
      </c>
      <c r="I104" s="136">
        <v>1.216</v>
      </c>
      <c r="J104" s="136">
        <v>1.2490000000000001</v>
      </c>
      <c r="K104" s="136">
        <v>1.2829999999999999</v>
      </c>
      <c r="L104" s="136">
        <v>1.2649999999999999</v>
      </c>
      <c r="M104" s="136">
        <v>1.29</v>
      </c>
      <c r="N104" s="136">
        <v>1.3</v>
      </c>
      <c r="O104" s="136">
        <v>1.2969999999999999</v>
      </c>
      <c r="P104" s="121"/>
    </row>
    <row r="105" spans="1:16" x14ac:dyDescent="0.25">
      <c r="A105" s="96">
        <v>96</v>
      </c>
      <c r="B105" s="24">
        <v>1925</v>
      </c>
      <c r="C105" s="24">
        <v>333870</v>
      </c>
      <c r="D105" s="116" t="s">
        <v>478</v>
      </c>
      <c r="E105" s="100">
        <v>3.2</v>
      </c>
      <c r="F105" s="100">
        <v>4.3</v>
      </c>
      <c r="G105" s="111">
        <v>4.9000000000000004</v>
      </c>
      <c r="H105" s="20"/>
      <c r="I105" s="20"/>
      <c r="J105" s="20"/>
      <c r="K105" s="20"/>
      <c r="L105" s="20"/>
      <c r="M105" s="20"/>
      <c r="N105" s="20"/>
      <c r="O105" s="20"/>
      <c r="P105" s="20"/>
    </row>
    <row r="106" spans="1:16" x14ac:dyDescent="0.25">
      <c r="A106" s="96">
        <v>97</v>
      </c>
      <c r="B106" s="24">
        <v>1925</v>
      </c>
      <c r="C106" s="24">
        <v>333870</v>
      </c>
      <c r="D106" s="116" t="s">
        <v>479</v>
      </c>
      <c r="E106" s="100">
        <v>5.5</v>
      </c>
      <c r="F106" s="100">
        <v>7.5</v>
      </c>
      <c r="G106" s="111">
        <v>8.5</v>
      </c>
      <c r="H106" s="20"/>
      <c r="I106" s="20"/>
      <c r="J106" s="20"/>
      <c r="K106" s="20" t="s">
        <v>582</v>
      </c>
      <c r="L106" s="20"/>
      <c r="M106" s="20"/>
      <c r="N106" s="20"/>
      <c r="O106" s="20"/>
      <c r="P106" s="20"/>
    </row>
    <row r="107" spans="1:16" x14ac:dyDescent="0.25">
      <c r="A107" s="96">
        <v>98</v>
      </c>
      <c r="B107" s="24">
        <v>1925</v>
      </c>
      <c r="C107" s="24">
        <v>333870</v>
      </c>
      <c r="D107" s="116" t="s">
        <v>480</v>
      </c>
      <c r="E107" s="100">
        <v>3.4</v>
      </c>
      <c r="F107" s="100">
        <v>7.2</v>
      </c>
      <c r="G107" s="125">
        <v>59.6</v>
      </c>
      <c r="H107" s="20"/>
      <c r="I107" s="20"/>
      <c r="J107" s="20"/>
      <c r="K107" s="20"/>
      <c r="L107" s="20"/>
      <c r="M107" s="20"/>
      <c r="N107" s="20"/>
      <c r="O107" s="20"/>
      <c r="P107" s="20"/>
    </row>
    <row r="108" spans="1:16" x14ac:dyDescent="0.25">
      <c r="A108" s="96">
        <v>99</v>
      </c>
      <c r="B108" s="24">
        <v>1925</v>
      </c>
      <c r="C108" s="24">
        <v>333870</v>
      </c>
      <c r="D108" s="116" t="s">
        <v>481</v>
      </c>
      <c r="E108" s="100">
        <v>2.2999999999999998</v>
      </c>
      <c r="F108" s="100">
        <v>3.3</v>
      </c>
      <c r="G108" s="129">
        <v>3.8</v>
      </c>
      <c r="H108" s="24" t="s">
        <v>574</v>
      </c>
      <c r="I108" s="24" t="s">
        <v>573</v>
      </c>
      <c r="J108" s="24" t="s">
        <v>575</v>
      </c>
      <c r="K108" s="24" t="s">
        <v>576</v>
      </c>
      <c r="L108" s="24" t="s">
        <v>577</v>
      </c>
      <c r="M108" s="24" t="s">
        <v>578</v>
      </c>
      <c r="N108" s="24" t="s">
        <v>579</v>
      </c>
      <c r="O108" s="24" t="s">
        <v>580</v>
      </c>
      <c r="P108" s="20"/>
    </row>
    <row r="109" spans="1:16" x14ac:dyDescent="0.25">
      <c r="A109" s="118">
        <v>100</v>
      </c>
      <c r="B109" s="59">
        <v>1925</v>
      </c>
      <c r="C109" s="59">
        <v>333870</v>
      </c>
      <c r="D109" s="119" t="s">
        <v>482</v>
      </c>
      <c r="E109" s="120">
        <v>3.6</v>
      </c>
      <c r="F109" s="120" t="s">
        <v>483</v>
      </c>
      <c r="G109" s="128" t="s">
        <v>484</v>
      </c>
      <c r="H109" s="59">
        <v>3.76</v>
      </c>
      <c r="I109" s="59">
        <v>3.65</v>
      </c>
      <c r="J109" s="59">
        <v>3.52</v>
      </c>
      <c r="K109" s="59">
        <v>3.44</v>
      </c>
      <c r="L109" s="59">
        <v>3.41</v>
      </c>
      <c r="M109" s="59">
        <v>3.43</v>
      </c>
      <c r="N109" s="59">
        <v>3.37</v>
      </c>
      <c r="O109" s="59">
        <v>3.33</v>
      </c>
      <c r="P109" s="20"/>
    </row>
    <row r="110" spans="1:16" x14ac:dyDescent="0.25">
      <c r="A110" s="96">
        <v>101</v>
      </c>
      <c r="B110" s="24">
        <v>1925</v>
      </c>
      <c r="C110" s="24">
        <v>333870</v>
      </c>
      <c r="D110" s="116" t="s">
        <v>485</v>
      </c>
      <c r="E110" s="100">
        <v>4.3</v>
      </c>
      <c r="F110" s="100">
        <v>7.4</v>
      </c>
      <c r="G110" s="111">
        <v>9.1999999999999993</v>
      </c>
      <c r="H110" s="20"/>
      <c r="I110" s="20"/>
      <c r="J110" s="20"/>
      <c r="K110" s="20"/>
      <c r="L110" s="20"/>
      <c r="M110" s="20"/>
      <c r="N110" s="20"/>
      <c r="O110" s="20"/>
      <c r="P110" s="20"/>
    </row>
    <row r="111" spans="1:16" x14ac:dyDescent="0.25">
      <c r="A111" s="96">
        <v>102</v>
      </c>
      <c r="B111" s="24">
        <v>1925</v>
      </c>
      <c r="C111" s="24">
        <v>333870</v>
      </c>
      <c r="D111" s="116" t="s">
        <v>486</v>
      </c>
      <c r="E111" s="100">
        <v>4.0999999999999996</v>
      </c>
      <c r="F111" s="100">
        <v>5.7</v>
      </c>
      <c r="G111" s="111">
        <v>6.5</v>
      </c>
      <c r="H111" s="20"/>
      <c r="I111" s="20"/>
      <c r="J111" s="20"/>
      <c r="K111" s="20"/>
      <c r="L111" s="20"/>
      <c r="M111" s="20"/>
      <c r="N111" s="20"/>
      <c r="O111" s="20"/>
      <c r="P111" s="20"/>
    </row>
    <row r="112" spans="1:16" x14ac:dyDescent="0.25">
      <c r="A112" s="96">
        <v>103</v>
      </c>
      <c r="B112" s="24">
        <v>1925</v>
      </c>
      <c r="C112" s="24">
        <v>333870</v>
      </c>
      <c r="D112" s="116" t="s">
        <v>487</v>
      </c>
      <c r="E112" s="100">
        <v>3.5</v>
      </c>
      <c r="F112" s="100">
        <v>5.0999999999999996</v>
      </c>
      <c r="G112" s="111">
        <v>7.2</v>
      </c>
      <c r="H112" s="20"/>
      <c r="I112" s="20"/>
      <c r="J112" s="20"/>
      <c r="K112" s="20"/>
    </row>
    <row r="113" spans="1:11" x14ac:dyDescent="0.25">
      <c r="A113" s="96">
        <v>104</v>
      </c>
      <c r="B113" s="24">
        <v>1925</v>
      </c>
      <c r="C113" s="24">
        <v>333870</v>
      </c>
      <c r="D113" s="116" t="s">
        <v>488</v>
      </c>
      <c r="E113" s="100">
        <v>3.7</v>
      </c>
      <c r="F113" s="100">
        <v>5.0999999999999996</v>
      </c>
      <c r="G113" s="111">
        <v>5.9</v>
      </c>
      <c r="H113" s="20"/>
      <c r="I113" s="20"/>
      <c r="J113" s="20"/>
      <c r="K113" s="20"/>
    </row>
    <row r="114" spans="1:11" x14ac:dyDescent="0.25">
      <c r="A114" s="96">
        <v>105</v>
      </c>
      <c r="B114" s="24">
        <v>1925</v>
      </c>
      <c r="C114" s="24">
        <v>333870</v>
      </c>
      <c r="D114" s="116" t="s">
        <v>489</v>
      </c>
      <c r="E114" s="100">
        <v>10.1</v>
      </c>
      <c r="F114" s="100">
        <v>13.7</v>
      </c>
      <c r="G114" s="111">
        <v>15.4</v>
      </c>
      <c r="H114" s="20"/>
      <c r="I114" s="20"/>
      <c r="J114" s="20"/>
      <c r="K114" s="20"/>
    </row>
    <row r="115" spans="1:11" x14ac:dyDescent="0.25">
      <c r="A115" s="96">
        <v>106</v>
      </c>
      <c r="B115" s="24">
        <v>1925</v>
      </c>
      <c r="C115" s="24">
        <v>333870</v>
      </c>
      <c r="D115" s="116" t="s">
        <v>475</v>
      </c>
      <c r="E115" s="100">
        <v>6.1</v>
      </c>
      <c r="F115" s="100">
        <v>8.8000000000000007</v>
      </c>
      <c r="G115" s="111">
        <v>10.1</v>
      </c>
      <c r="H115" s="20"/>
      <c r="I115" s="20"/>
      <c r="J115" s="20"/>
      <c r="K115" s="20"/>
    </row>
    <row r="116" spans="1:11" x14ac:dyDescent="0.25">
      <c r="A116" s="96">
        <v>107</v>
      </c>
      <c r="B116" s="24">
        <v>1925</v>
      </c>
      <c r="C116" s="24">
        <v>333870</v>
      </c>
      <c r="D116" s="116" t="s">
        <v>490</v>
      </c>
      <c r="E116" s="100">
        <v>3.4</v>
      </c>
      <c r="F116" s="100">
        <v>4.8</v>
      </c>
      <c r="G116" s="111">
        <v>5.6</v>
      </c>
      <c r="H116" s="20"/>
      <c r="I116" s="20"/>
      <c r="J116" s="20"/>
      <c r="K116" s="20"/>
    </row>
    <row r="117" spans="1:11" x14ac:dyDescent="0.25">
      <c r="A117" s="96">
        <v>108</v>
      </c>
      <c r="B117" s="24">
        <v>1925</v>
      </c>
      <c r="C117" s="24">
        <v>333870</v>
      </c>
      <c r="D117" s="116" t="s">
        <v>491</v>
      </c>
      <c r="E117" s="100">
        <v>3.1</v>
      </c>
      <c r="F117" s="100">
        <v>4.3</v>
      </c>
      <c r="G117" s="111">
        <v>4.9000000000000004</v>
      </c>
      <c r="H117" s="20"/>
      <c r="I117" s="20"/>
      <c r="J117" s="20"/>
      <c r="K117" s="20"/>
    </row>
    <row r="118" spans="1:11" x14ac:dyDescent="0.25">
      <c r="A118" s="96">
        <v>109</v>
      </c>
      <c r="B118" s="24">
        <v>1925</v>
      </c>
      <c r="C118" s="24">
        <v>333870</v>
      </c>
      <c r="D118" s="116" t="s">
        <v>492</v>
      </c>
      <c r="E118" s="100">
        <v>3.7</v>
      </c>
      <c r="F118" s="100">
        <v>5</v>
      </c>
      <c r="G118" s="111">
        <v>5.7</v>
      </c>
      <c r="H118" s="20"/>
      <c r="I118" s="20"/>
      <c r="J118" s="20"/>
      <c r="K118" s="20"/>
    </row>
    <row r="119" spans="1:11" x14ac:dyDescent="0.25">
      <c r="A119" s="96">
        <v>110</v>
      </c>
      <c r="B119" s="24">
        <v>1925</v>
      </c>
      <c r="C119" s="24">
        <v>333870</v>
      </c>
      <c r="D119" s="116" t="s">
        <v>493</v>
      </c>
      <c r="E119" s="100">
        <v>3.2</v>
      </c>
      <c r="F119" s="100">
        <v>4.3</v>
      </c>
      <c r="G119" s="111">
        <v>4.9000000000000004</v>
      </c>
      <c r="H119" s="20"/>
      <c r="I119" s="20"/>
      <c r="J119" s="20"/>
      <c r="K119" s="20"/>
    </row>
    <row r="120" spans="1:11" x14ac:dyDescent="0.25">
      <c r="A120" s="96">
        <v>111</v>
      </c>
      <c r="B120" s="24">
        <v>1925</v>
      </c>
      <c r="C120" s="24">
        <v>333870</v>
      </c>
      <c r="D120" s="116" t="s">
        <v>494</v>
      </c>
      <c r="E120" s="100">
        <v>3.5</v>
      </c>
      <c r="F120" s="100">
        <v>4.7</v>
      </c>
      <c r="G120" s="111">
        <v>5.2</v>
      </c>
      <c r="H120" s="20"/>
      <c r="I120" s="20"/>
      <c r="J120" s="20"/>
      <c r="K120" s="20"/>
    </row>
    <row r="121" spans="1:11" x14ac:dyDescent="0.25">
      <c r="A121" s="96">
        <v>112</v>
      </c>
      <c r="B121" s="24">
        <v>1925</v>
      </c>
      <c r="C121" s="24">
        <v>333870</v>
      </c>
      <c r="D121" s="116" t="s">
        <v>495</v>
      </c>
      <c r="E121" s="100">
        <v>23</v>
      </c>
      <c r="F121" s="100">
        <v>36.6</v>
      </c>
      <c r="G121" s="123">
        <v>44.4</v>
      </c>
      <c r="H121" s="20"/>
      <c r="I121" s="20"/>
      <c r="J121" s="20"/>
      <c r="K121" s="20"/>
    </row>
    <row r="122" spans="1:11" x14ac:dyDescent="0.25">
      <c r="A122" s="96">
        <v>113</v>
      </c>
      <c r="B122" s="24">
        <v>1925</v>
      </c>
      <c r="C122" s="24">
        <v>333870</v>
      </c>
      <c r="D122" s="116" t="s">
        <v>496</v>
      </c>
      <c r="E122" s="100">
        <v>5.4</v>
      </c>
      <c r="F122" s="100">
        <v>7.4</v>
      </c>
      <c r="G122" s="111">
        <v>8.5</v>
      </c>
      <c r="H122" s="20"/>
      <c r="I122" s="20"/>
      <c r="J122" s="20"/>
      <c r="K122" s="20"/>
    </row>
    <row r="123" spans="1:11" x14ac:dyDescent="0.25">
      <c r="A123" s="96">
        <v>114</v>
      </c>
      <c r="B123" s="24">
        <v>1925</v>
      </c>
      <c r="C123" s="24">
        <v>333870</v>
      </c>
      <c r="D123" s="116" t="s">
        <v>497</v>
      </c>
      <c r="E123" s="100">
        <v>2.9</v>
      </c>
      <c r="F123" s="100">
        <v>4.0999999999999996</v>
      </c>
      <c r="G123" s="111">
        <v>4.8</v>
      </c>
      <c r="H123" s="20"/>
      <c r="I123" s="20"/>
      <c r="J123" s="20"/>
      <c r="K123" s="20"/>
    </row>
    <row r="124" spans="1:11" x14ac:dyDescent="0.25">
      <c r="A124" s="96">
        <v>115</v>
      </c>
      <c r="B124" s="24">
        <v>1925</v>
      </c>
      <c r="C124" s="24">
        <v>333870</v>
      </c>
      <c r="D124" s="116" t="s">
        <v>498</v>
      </c>
      <c r="E124" s="100">
        <v>5.2</v>
      </c>
      <c r="F124" s="100">
        <v>7</v>
      </c>
      <c r="G124" s="111">
        <v>7.9</v>
      </c>
      <c r="H124" s="20"/>
      <c r="I124" s="20"/>
      <c r="J124" s="20"/>
      <c r="K124" s="20"/>
    </row>
    <row r="125" spans="1:11" x14ac:dyDescent="0.25">
      <c r="A125" s="96">
        <v>116</v>
      </c>
      <c r="B125" s="24">
        <v>1925</v>
      </c>
      <c r="C125" s="24">
        <v>333870</v>
      </c>
      <c r="D125" s="116" t="s">
        <v>499</v>
      </c>
      <c r="E125" s="100">
        <v>4.3</v>
      </c>
      <c r="F125" s="100">
        <v>5.8</v>
      </c>
      <c r="G125" s="111">
        <v>6.6</v>
      </c>
      <c r="H125" s="20"/>
      <c r="I125" s="20"/>
      <c r="J125" s="20"/>
      <c r="K125" s="20"/>
    </row>
    <row r="126" spans="1:11" x14ac:dyDescent="0.25">
      <c r="A126" s="96">
        <v>117</v>
      </c>
      <c r="B126" s="24">
        <v>1925</v>
      </c>
      <c r="C126" s="24">
        <v>333870</v>
      </c>
      <c r="D126" s="116" t="s">
        <v>500</v>
      </c>
      <c r="E126" s="100">
        <v>6.1</v>
      </c>
      <c r="F126" s="100">
        <v>9.1</v>
      </c>
      <c r="G126" s="111">
        <v>10.9</v>
      </c>
      <c r="H126" s="20"/>
      <c r="I126" s="20"/>
      <c r="J126" s="20"/>
      <c r="K126" s="20"/>
    </row>
    <row r="127" spans="1:11" x14ac:dyDescent="0.25">
      <c r="A127" s="96">
        <v>118</v>
      </c>
      <c r="B127" s="24">
        <v>1925</v>
      </c>
      <c r="C127" s="24">
        <v>333870</v>
      </c>
      <c r="D127" s="116" t="s">
        <v>501</v>
      </c>
      <c r="E127" s="100">
        <v>3.3</v>
      </c>
      <c r="F127" s="100">
        <v>6.7</v>
      </c>
      <c r="G127" s="123">
        <v>22.7</v>
      </c>
      <c r="H127" s="20"/>
      <c r="I127" s="20"/>
      <c r="J127" s="20"/>
      <c r="K127" s="20"/>
    </row>
    <row r="128" spans="1:11" x14ac:dyDescent="0.25">
      <c r="A128" s="96">
        <v>119</v>
      </c>
      <c r="B128" s="24">
        <v>1925</v>
      </c>
      <c r="C128" s="24">
        <v>333870</v>
      </c>
      <c r="D128" s="116" t="s">
        <v>502</v>
      </c>
      <c r="E128" s="100">
        <v>5.8</v>
      </c>
      <c r="F128" s="100">
        <v>10.6</v>
      </c>
      <c r="G128" s="111">
        <v>11.9</v>
      </c>
      <c r="H128" s="20"/>
      <c r="I128" s="20"/>
      <c r="J128" s="20"/>
      <c r="K128" s="20"/>
    </row>
    <row r="129" spans="1:15" x14ac:dyDescent="0.25">
      <c r="A129" s="96">
        <v>120</v>
      </c>
      <c r="B129" s="24">
        <v>1925</v>
      </c>
      <c r="C129" s="24">
        <v>333870</v>
      </c>
      <c r="D129" s="116" t="s">
        <v>503</v>
      </c>
      <c r="E129" s="100">
        <v>3.6</v>
      </c>
      <c r="F129" s="100">
        <v>5.0999999999999996</v>
      </c>
      <c r="G129" s="111">
        <v>5.8</v>
      </c>
      <c r="H129" s="20"/>
      <c r="I129" s="20"/>
      <c r="J129" s="20"/>
      <c r="K129" s="20"/>
    </row>
    <row r="130" spans="1:15" x14ac:dyDescent="0.25">
      <c r="A130" s="96">
        <v>121</v>
      </c>
      <c r="B130" s="24">
        <v>1925</v>
      </c>
      <c r="C130" s="24">
        <v>333870</v>
      </c>
      <c r="D130" s="116" t="s">
        <v>504</v>
      </c>
      <c r="E130" s="100">
        <v>4.7</v>
      </c>
      <c r="F130" s="100">
        <v>7.2</v>
      </c>
      <c r="G130" s="111">
        <v>9.6</v>
      </c>
      <c r="H130" s="20"/>
      <c r="I130" s="20"/>
      <c r="J130" s="20"/>
      <c r="K130" s="20"/>
    </row>
    <row r="131" spans="1:15" x14ac:dyDescent="0.25">
      <c r="A131" s="96">
        <v>122</v>
      </c>
      <c r="B131" s="24">
        <v>1925</v>
      </c>
      <c r="C131" s="24">
        <v>333870</v>
      </c>
      <c r="D131" s="116" t="s">
        <v>505</v>
      </c>
      <c r="E131" s="100">
        <v>4.5</v>
      </c>
      <c r="F131" s="100">
        <v>6</v>
      </c>
      <c r="G131" s="111">
        <v>7.2</v>
      </c>
      <c r="H131" s="20"/>
      <c r="I131" s="20"/>
      <c r="J131" s="20"/>
      <c r="K131" s="20"/>
    </row>
    <row r="132" spans="1:15" x14ac:dyDescent="0.25">
      <c r="A132" s="96">
        <v>123</v>
      </c>
      <c r="B132" s="24">
        <v>1925</v>
      </c>
      <c r="C132" s="24">
        <v>333870</v>
      </c>
      <c r="D132" s="116" t="s">
        <v>506</v>
      </c>
      <c r="E132" s="100">
        <v>4.0999999999999996</v>
      </c>
      <c r="F132" s="100">
        <v>5.6</v>
      </c>
      <c r="G132" s="111">
        <v>6.4</v>
      </c>
      <c r="H132" s="20"/>
      <c r="I132" s="20"/>
      <c r="J132" s="20"/>
      <c r="K132" s="20"/>
    </row>
    <row r="133" spans="1:15" x14ac:dyDescent="0.25">
      <c r="A133" s="96">
        <v>124</v>
      </c>
      <c r="B133" s="24">
        <v>1925</v>
      </c>
      <c r="C133" s="24">
        <v>333870</v>
      </c>
      <c r="D133" s="116" t="s">
        <v>507</v>
      </c>
      <c r="E133" s="100">
        <v>3.2</v>
      </c>
      <c r="F133" s="100">
        <v>4.4000000000000004</v>
      </c>
      <c r="G133" s="111">
        <v>5</v>
      </c>
      <c r="H133" s="20"/>
      <c r="I133" s="20"/>
      <c r="J133" s="20"/>
      <c r="K133" s="20"/>
    </row>
    <row r="134" spans="1:15" x14ac:dyDescent="0.25">
      <c r="A134" s="96">
        <v>125</v>
      </c>
      <c r="B134" s="24">
        <v>1925</v>
      </c>
      <c r="C134" s="24">
        <v>333870</v>
      </c>
      <c r="D134" s="116" t="s">
        <v>508</v>
      </c>
      <c r="E134" s="100">
        <v>4.5999999999999996</v>
      </c>
      <c r="F134" s="100">
        <v>5.6</v>
      </c>
      <c r="G134" s="111">
        <v>6.4</v>
      </c>
      <c r="H134" s="20"/>
      <c r="I134" s="20"/>
      <c r="J134" s="20"/>
      <c r="K134" s="20"/>
    </row>
    <row r="135" spans="1:15" x14ac:dyDescent="0.25">
      <c r="A135" s="96">
        <v>126</v>
      </c>
      <c r="B135" s="24">
        <v>1925</v>
      </c>
      <c r="C135" s="24">
        <v>333870</v>
      </c>
      <c r="D135" s="116" t="s">
        <v>509</v>
      </c>
      <c r="E135" s="100">
        <v>3.2</v>
      </c>
      <c r="F135" s="100">
        <v>4.2</v>
      </c>
      <c r="G135" s="111">
        <v>4.7</v>
      </c>
      <c r="H135" s="20"/>
      <c r="I135" s="20"/>
      <c r="J135" s="20"/>
      <c r="K135" s="20"/>
    </row>
    <row r="136" spans="1:15" x14ac:dyDescent="0.25">
      <c r="A136" s="96">
        <v>127</v>
      </c>
      <c r="B136" s="24">
        <v>1925</v>
      </c>
      <c r="C136" s="24">
        <v>333870</v>
      </c>
      <c r="D136" s="116" t="s">
        <v>510</v>
      </c>
      <c r="E136" s="100">
        <v>1.9</v>
      </c>
      <c r="F136" s="100">
        <v>2.8</v>
      </c>
      <c r="G136" s="124">
        <v>35</v>
      </c>
      <c r="H136" s="20"/>
      <c r="I136" s="20"/>
      <c r="J136" s="20"/>
      <c r="K136" s="20"/>
    </row>
    <row r="137" spans="1:15" x14ac:dyDescent="0.25">
      <c r="A137" s="96">
        <v>128</v>
      </c>
      <c r="B137" s="24">
        <v>1925</v>
      </c>
      <c r="C137" s="24">
        <v>333870</v>
      </c>
      <c r="D137" s="116" t="s">
        <v>511</v>
      </c>
      <c r="E137" s="100">
        <v>4</v>
      </c>
      <c r="F137" s="100">
        <v>6.6</v>
      </c>
      <c r="G137" s="111">
        <v>9.3000000000000007</v>
      </c>
      <c r="H137" s="20"/>
      <c r="I137" s="20"/>
      <c r="J137" s="20"/>
      <c r="K137" s="20"/>
    </row>
    <row r="138" spans="1:15" x14ac:dyDescent="0.25">
      <c r="A138" s="96">
        <v>129</v>
      </c>
      <c r="B138" s="24">
        <v>1925</v>
      </c>
      <c r="C138" s="24">
        <v>333870</v>
      </c>
      <c r="D138" s="116" t="s">
        <v>512</v>
      </c>
      <c r="E138" s="100">
        <v>3.1</v>
      </c>
      <c r="F138" s="100">
        <v>4.2</v>
      </c>
      <c r="G138" s="111">
        <v>4.7</v>
      </c>
      <c r="H138" s="20"/>
      <c r="I138" s="20"/>
      <c r="J138" s="20"/>
      <c r="K138" s="20"/>
    </row>
    <row r="139" spans="1:15" x14ac:dyDescent="0.25">
      <c r="A139" s="96">
        <v>130</v>
      </c>
      <c r="B139" s="24">
        <v>1925</v>
      </c>
      <c r="C139" s="24">
        <v>333870</v>
      </c>
      <c r="D139" s="116" t="s">
        <v>513</v>
      </c>
      <c r="E139" s="100">
        <v>3.6</v>
      </c>
      <c r="F139" s="100">
        <v>4.8</v>
      </c>
      <c r="G139" s="111">
        <v>5.5</v>
      </c>
      <c r="H139" s="20"/>
      <c r="I139" s="20"/>
      <c r="J139" s="20"/>
      <c r="K139" s="20"/>
    </row>
    <row r="140" spans="1:15" x14ac:dyDescent="0.25">
      <c r="A140" s="96">
        <v>131</v>
      </c>
      <c r="B140" s="24">
        <v>1925</v>
      </c>
      <c r="C140" s="24">
        <v>333870</v>
      </c>
      <c r="D140" s="116" t="s">
        <v>514</v>
      </c>
      <c r="E140" s="100">
        <v>3.1</v>
      </c>
      <c r="F140" s="100">
        <v>4.2</v>
      </c>
      <c r="G140" s="111">
        <v>4.8</v>
      </c>
      <c r="H140" s="20"/>
      <c r="I140" s="20"/>
      <c r="J140" s="20"/>
      <c r="K140" s="20" t="s">
        <v>582</v>
      </c>
    </row>
    <row r="141" spans="1:15" x14ac:dyDescent="0.25">
      <c r="A141" s="96">
        <v>132</v>
      </c>
      <c r="B141" s="24">
        <v>1925</v>
      </c>
      <c r="C141" s="24">
        <v>333870</v>
      </c>
      <c r="D141" s="116" t="s">
        <v>515</v>
      </c>
      <c r="E141" s="100">
        <v>3.2</v>
      </c>
      <c r="F141" s="100">
        <v>4.5</v>
      </c>
      <c r="G141" s="111">
        <v>5.3</v>
      </c>
      <c r="H141" s="20"/>
      <c r="I141" s="20"/>
      <c r="J141" s="20"/>
      <c r="K141" s="20"/>
    </row>
    <row r="142" spans="1:15" x14ac:dyDescent="0.25">
      <c r="A142" s="96">
        <v>133</v>
      </c>
      <c r="B142" s="24">
        <v>1925</v>
      </c>
      <c r="C142" s="24">
        <v>333870</v>
      </c>
      <c r="D142" s="116" t="s">
        <v>516</v>
      </c>
      <c r="E142" s="100">
        <v>3.5</v>
      </c>
      <c r="F142" s="100">
        <v>4.7</v>
      </c>
      <c r="G142" s="129">
        <v>5.4</v>
      </c>
      <c r="H142" s="24" t="s">
        <v>574</v>
      </c>
      <c r="I142" s="24" t="s">
        <v>573</v>
      </c>
      <c r="J142" s="24" t="s">
        <v>575</v>
      </c>
      <c r="K142" s="24" t="s">
        <v>576</v>
      </c>
      <c r="L142" s="24" t="s">
        <v>577</v>
      </c>
      <c r="M142" s="24" t="s">
        <v>578</v>
      </c>
      <c r="N142" s="24" t="s">
        <v>579</v>
      </c>
      <c r="O142" s="24" t="s">
        <v>580</v>
      </c>
    </row>
    <row r="143" spans="1:15" x14ac:dyDescent="0.25">
      <c r="A143" s="118">
        <v>134</v>
      </c>
      <c r="B143" s="59">
        <v>1925</v>
      </c>
      <c r="C143" s="59">
        <v>333870</v>
      </c>
      <c r="D143" s="119" t="s">
        <v>517</v>
      </c>
      <c r="E143" s="120">
        <v>3.2</v>
      </c>
      <c r="F143" s="120">
        <v>7.3</v>
      </c>
      <c r="G143" s="128" t="s">
        <v>518</v>
      </c>
      <c r="H143" s="59">
        <v>3.4940000000000002</v>
      </c>
      <c r="I143" s="59">
        <v>3.3610000000000002</v>
      </c>
      <c r="J143" s="59">
        <v>3.355</v>
      </c>
      <c r="K143" s="59">
        <v>3.1640000000000001</v>
      </c>
      <c r="L143" s="59">
        <v>3.1480000000000001</v>
      </c>
      <c r="M143" s="59">
        <v>3.1619999999999999</v>
      </c>
      <c r="N143" s="59">
        <v>3.18</v>
      </c>
      <c r="O143" s="59">
        <v>3.1779999999999999</v>
      </c>
    </row>
    <row r="144" spans="1:15" x14ac:dyDescent="0.25">
      <c r="A144" s="96">
        <v>135</v>
      </c>
      <c r="B144" s="24">
        <v>1925</v>
      </c>
      <c r="C144" s="24">
        <v>333870</v>
      </c>
      <c r="D144" s="116" t="s">
        <v>519</v>
      </c>
      <c r="E144" s="100">
        <v>3.2</v>
      </c>
      <c r="F144" s="100">
        <v>4.3</v>
      </c>
      <c r="G144" s="111">
        <v>5</v>
      </c>
      <c r="H144" s="20"/>
      <c r="I144" s="20"/>
      <c r="J144" s="20"/>
      <c r="K144" s="20"/>
      <c r="L144" s="20"/>
      <c r="M144" s="20"/>
      <c r="N144" s="20"/>
      <c r="O144" s="20"/>
    </row>
    <row r="145" spans="1:15" x14ac:dyDescent="0.25">
      <c r="A145" s="96">
        <v>136</v>
      </c>
      <c r="B145" s="24">
        <v>1925</v>
      </c>
      <c r="C145" s="24">
        <v>333870</v>
      </c>
      <c r="D145" s="116" t="s">
        <v>520</v>
      </c>
      <c r="E145" s="100">
        <v>2.9</v>
      </c>
      <c r="F145" s="100">
        <v>4.5</v>
      </c>
      <c r="G145" s="111">
        <v>5.5</v>
      </c>
      <c r="H145" s="20"/>
      <c r="I145" s="20"/>
      <c r="J145" s="20"/>
      <c r="K145" s="20"/>
      <c r="L145" s="20"/>
      <c r="M145" s="20"/>
      <c r="N145" s="20"/>
      <c r="O145" s="20"/>
    </row>
    <row r="146" spans="1:15" x14ac:dyDescent="0.25">
      <c r="A146" s="96">
        <v>137</v>
      </c>
      <c r="B146" s="24">
        <v>1925</v>
      </c>
      <c r="C146" s="24">
        <v>333870</v>
      </c>
      <c r="D146" s="116" t="s">
        <v>521</v>
      </c>
      <c r="E146" s="100">
        <v>4.3</v>
      </c>
      <c r="F146" s="100">
        <v>6.1</v>
      </c>
      <c r="G146" s="111">
        <v>6.9</v>
      </c>
      <c r="H146" s="20"/>
      <c r="I146" s="20"/>
      <c r="J146" s="20"/>
      <c r="K146" s="20"/>
      <c r="L146" s="20"/>
      <c r="M146" s="20"/>
      <c r="N146" s="20"/>
      <c r="O146" s="20"/>
    </row>
    <row r="147" spans="1:15" x14ac:dyDescent="0.25">
      <c r="A147" s="96">
        <v>138</v>
      </c>
      <c r="B147" s="24">
        <v>1925</v>
      </c>
      <c r="C147" s="24">
        <v>333870</v>
      </c>
      <c r="D147" s="116" t="s">
        <v>522</v>
      </c>
      <c r="E147" s="100">
        <v>4.4000000000000004</v>
      </c>
      <c r="F147" s="100">
        <v>7</v>
      </c>
      <c r="G147" s="111">
        <v>8.5</v>
      </c>
      <c r="H147" s="20"/>
      <c r="I147" s="20"/>
      <c r="J147" s="20"/>
      <c r="K147" s="20"/>
      <c r="L147" s="20"/>
      <c r="M147" s="20"/>
      <c r="N147" s="20"/>
      <c r="O147" s="20"/>
    </row>
    <row r="148" spans="1:15" x14ac:dyDescent="0.25">
      <c r="A148" s="96">
        <v>139</v>
      </c>
      <c r="B148" s="24">
        <v>1925</v>
      </c>
      <c r="C148" s="24">
        <v>333870</v>
      </c>
      <c r="D148" s="116">
        <v>120</v>
      </c>
      <c r="E148" s="100">
        <v>2.2999999999999998</v>
      </c>
      <c r="F148" s="100">
        <v>3.3</v>
      </c>
      <c r="G148" s="111">
        <v>3.8</v>
      </c>
      <c r="H148" s="20"/>
      <c r="I148" s="20"/>
      <c r="J148" s="20"/>
      <c r="K148" s="20"/>
    </row>
    <row r="149" spans="1:15" x14ac:dyDescent="0.25">
      <c r="A149" s="96">
        <v>140</v>
      </c>
      <c r="B149" s="24">
        <v>1925</v>
      </c>
      <c r="C149" s="24">
        <v>333870</v>
      </c>
      <c r="D149" s="116">
        <v>220</v>
      </c>
      <c r="E149" s="100">
        <v>2.2000000000000002</v>
      </c>
      <c r="F149" s="100">
        <v>3.3</v>
      </c>
      <c r="G149" s="111">
        <v>3.8</v>
      </c>
      <c r="H149" s="20"/>
      <c r="I149" s="20"/>
      <c r="J149" s="20"/>
      <c r="K149" s="20"/>
    </row>
    <row r="150" spans="1:15" x14ac:dyDescent="0.25">
      <c r="A150" s="96">
        <v>141</v>
      </c>
      <c r="B150" s="24">
        <v>1925</v>
      </c>
      <c r="C150" s="24">
        <v>333870</v>
      </c>
      <c r="D150" s="116">
        <v>119</v>
      </c>
      <c r="E150" s="100">
        <v>1.6</v>
      </c>
      <c r="F150" s="100">
        <v>2.2999999999999998</v>
      </c>
      <c r="G150" s="111">
        <v>2.8</v>
      </c>
      <c r="H150" s="20"/>
      <c r="I150" s="20"/>
      <c r="J150" s="20"/>
      <c r="K150" s="20"/>
    </row>
    <row r="151" spans="1:15" x14ac:dyDescent="0.25">
      <c r="A151" s="96">
        <v>142</v>
      </c>
      <c r="B151" s="24">
        <v>1925</v>
      </c>
      <c r="C151" s="24">
        <v>333870</v>
      </c>
      <c r="D151" s="116">
        <v>155</v>
      </c>
      <c r="E151" s="100">
        <v>1.8</v>
      </c>
      <c r="F151" s="100">
        <v>2.4</v>
      </c>
      <c r="G151" s="111">
        <v>2.7</v>
      </c>
      <c r="H151" s="20"/>
      <c r="I151" s="20"/>
      <c r="J151" s="20"/>
      <c r="K151" s="20"/>
    </row>
    <row r="152" spans="1:15" x14ac:dyDescent="0.25">
      <c r="A152" s="96">
        <v>143</v>
      </c>
      <c r="B152" s="24">
        <v>1925</v>
      </c>
      <c r="C152" s="24">
        <v>333870</v>
      </c>
      <c r="D152" s="116">
        <v>111</v>
      </c>
      <c r="E152" s="100">
        <v>2.2999999999999998</v>
      </c>
      <c r="F152" s="100">
        <v>3.3</v>
      </c>
      <c r="G152" s="111">
        <v>3.7</v>
      </c>
      <c r="H152" s="20"/>
      <c r="I152" s="20"/>
      <c r="J152" s="20"/>
      <c r="K152" s="20"/>
    </row>
    <row r="153" spans="1:15" x14ac:dyDescent="0.25">
      <c r="A153" s="96">
        <v>144</v>
      </c>
      <c r="B153" s="24">
        <v>1925</v>
      </c>
      <c r="C153" s="24">
        <v>333870</v>
      </c>
      <c r="D153" s="116">
        <v>121</v>
      </c>
      <c r="E153" s="100">
        <v>2.9</v>
      </c>
      <c r="F153" s="100">
        <v>4.5</v>
      </c>
      <c r="G153" s="111">
        <v>5.4</v>
      </c>
      <c r="H153" s="20"/>
      <c r="I153" s="20"/>
      <c r="J153" s="20"/>
      <c r="K153" s="20"/>
    </row>
    <row r="154" spans="1:15" x14ac:dyDescent="0.25">
      <c r="A154" s="96">
        <v>145</v>
      </c>
      <c r="B154" s="24">
        <v>1925</v>
      </c>
      <c r="C154" s="24">
        <v>333870</v>
      </c>
      <c r="D154" s="116">
        <v>112</v>
      </c>
      <c r="E154" s="100">
        <v>3.4</v>
      </c>
      <c r="F154" s="100">
        <v>5.4</v>
      </c>
      <c r="G154" s="111">
        <v>5.9</v>
      </c>
      <c r="H154" s="20"/>
      <c r="I154" s="20"/>
      <c r="J154" s="20"/>
      <c r="K154" s="20"/>
    </row>
    <row r="155" spans="1:15" x14ac:dyDescent="0.25">
      <c r="A155" s="96">
        <v>146</v>
      </c>
      <c r="B155" s="24">
        <v>1925</v>
      </c>
      <c r="C155" s="24">
        <v>333870</v>
      </c>
      <c r="D155" s="116">
        <v>153</v>
      </c>
      <c r="E155" s="100">
        <v>2</v>
      </c>
      <c r="F155" s="100">
        <v>2.8</v>
      </c>
      <c r="G155" s="111">
        <v>3.2</v>
      </c>
      <c r="H155" s="20"/>
      <c r="I155" s="20"/>
      <c r="J155" s="20"/>
      <c r="K155" s="20"/>
    </row>
    <row r="156" spans="1:15" x14ac:dyDescent="0.25">
      <c r="A156" s="96">
        <v>147</v>
      </c>
      <c r="B156" s="24">
        <v>1925</v>
      </c>
      <c r="C156" s="24">
        <v>333870</v>
      </c>
      <c r="D156" s="116">
        <v>157</v>
      </c>
      <c r="E156" s="100">
        <v>2.5</v>
      </c>
      <c r="F156" s="100">
        <v>3.4</v>
      </c>
      <c r="G156" s="111">
        <v>3.9</v>
      </c>
      <c r="H156" s="20"/>
      <c r="I156" s="20"/>
      <c r="J156" s="20"/>
      <c r="K156" s="20"/>
    </row>
    <row r="157" spans="1:15" x14ac:dyDescent="0.25">
      <c r="A157" s="96">
        <v>148</v>
      </c>
      <c r="B157" s="24">
        <v>1925</v>
      </c>
      <c r="C157" s="24">
        <v>333870</v>
      </c>
      <c r="D157" s="116">
        <v>117</v>
      </c>
      <c r="E157" s="100">
        <v>3.1</v>
      </c>
      <c r="F157" s="100">
        <v>5.3</v>
      </c>
      <c r="G157" s="111">
        <v>6.6</v>
      </c>
      <c r="H157" s="20"/>
      <c r="I157" s="20"/>
      <c r="J157" s="20"/>
      <c r="K157" s="20"/>
    </row>
    <row r="158" spans="1:15" x14ac:dyDescent="0.25">
      <c r="A158" s="96">
        <v>149</v>
      </c>
      <c r="B158" s="24">
        <v>1925</v>
      </c>
      <c r="C158" s="24">
        <v>333870</v>
      </c>
      <c r="D158" s="116">
        <v>156</v>
      </c>
      <c r="E158" s="100">
        <v>2.2999999999999998</v>
      </c>
      <c r="F158" s="100">
        <v>3.2</v>
      </c>
      <c r="G158" s="111">
        <v>3.7</v>
      </c>
      <c r="H158" s="20"/>
      <c r="I158" s="20"/>
      <c r="J158" s="20"/>
      <c r="K158" s="20"/>
    </row>
    <row r="159" spans="1:15" x14ac:dyDescent="0.25">
      <c r="A159" s="96">
        <v>150</v>
      </c>
      <c r="B159" s="24">
        <v>1925</v>
      </c>
      <c r="C159" s="24">
        <v>333870</v>
      </c>
      <c r="D159" s="116">
        <v>216</v>
      </c>
      <c r="E159" s="100">
        <v>2.9</v>
      </c>
      <c r="F159" s="100">
        <v>4</v>
      </c>
      <c r="G159" s="111">
        <v>4.7</v>
      </c>
      <c r="H159" s="20"/>
      <c r="I159" s="20"/>
      <c r="J159" s="20"/>
      <c r="K159" s="20"/>
    </row>
    <row r="160" spans="1:15" x14ac:dyDescent="0.25">
      <c r="A160" s="96">
        <v>151</v>
      </c>
      <c r="B160" s="24">
        <v>1925</v>
      </c>
      <c r="C160" s="24">
        <v>333870</v>
      </c>
      <c r="D160" s="116" t="s">
        <v>524</v>
      </c>
      <c r="E160" s="100">
        <v>2.4</v>
      </c>
      <c r="F160" s="100">
        <v>3.3</v>
      </c>
      <c r="G160" s="111">
        <v>3.7</v>
      </c>
      <c r="H160" s="20"/>
      <c r="I160" s="20"/>
      <c r="J160" s="20"/>
      <c r="K160" s="20"/>
    </row>
    <row r="161" spans="1:11" x14ac:dyDescent="0.25">
      <c r="A161" s="96">
        <v>152</v>
      </c>
      <c r="B161" s="24">
        <v>1925</v>
      </c>
      <c r="C161" s="24">
        <v>333870</v>
      </c>
      <c r="D161" s="116" t="s">
        <v>525</v>
      </c>
      <c r="E161" s="100">
        <v>2.2000000000000002</v>
      </c>
      <c r="F161" s="100">
        <v>3</v>
      </c>
      <c r="G161" s="111">
        <v>3.5</v>
      </c>
      <c r="H161" s="20"/>
      <c r="I161" s="20"/>
      <c r="J161" s="20"/>
      <c r="K161" s="20"/>
    </row>
    <row r="162" spans="1:11" x14ac:dyDescent="0.25">
      <c r="A162" s="96">
        <v>153</v>
      </c>
      <c r="B162" s="24">
        <v>1925</v>
      </c>
      <c r="C162" s="24">
        <v>333870</v>
      </c>
      <c r="D162" s="116" t="s">
        <v>526</v>
      </c>
      <c r="E162" s="100">
        <v>1.8</v>
      </c>
      <c r="F162" s="100">
        <v>3</v>
      </c>
      <c r="G162" s="111">
        <v>3.6</v>
      </c>
      <c r="H162" s="20"/>
      <c r="I162" s="20"/>
      <c r="J162" s="20"/>
      <c r="K162" s="20"/>
    </row>
    <row r="163" spans="1:11" x14ac:dyDescent="0.25">
      <c r="A163" s="96">
        <v>154</v>
      </c>
      <c r="B163" s="24">
        <v>1925</v>
      </c>
      <c r="C163" s="24">
        <v>333870</v>
      </c>
      <c r="D163" s="116" t="s">
        <v>527</v>
      </c>
      <c r="E163" s="100">
        <v>2.6</v>
      </c>
      <c r="F163" s="100">
        <v>4.8</v>
      </c>
      <c r="G163" s="111">
        <v>5.8</v>
      </c>
      <c r="H163" s="20"/>
      <c r="I163" s="20"/>
      <c r="J163" s="20"/>
      <c r="K163" s="20"/>
    </row>
    <row r="164" spans="1:11" x14ac:dyDescent="0.25">
      <c r="A164" s="96">
        <v>155</v>
      </c>
      <c r="B164" s="24">
        <v>1925</v>
      </c>
      <c r="C164" s="24">
        <v>333870</v>
      </c>
      <c r="D164" s="116" t="s">
        <v>528</v>
      </c>
      <c r="E164" s="100">
        <v>3.4</v>
      </c>
      <c r="F164" s="100">
        <v>4.5999999999999996</v>
      </c>
      <c r="G164" s="111">
        <v>5.2</v>
      </c>
      <c r="H164" s="20"/>
      <c r="I164" s="20"/>
      <c r="J164" s="20"/>
      <c r="K164" s="20"/>
    </row>
    <row r="165" spans="1:11" x14ac:dyDescent="0.25">
      <c r="A165" s="96">
        <v>156</v>
      </c>
      <c r="B165" s="24">
        <v>1925</v>
      </c>
      <c r="C165" s="24">
        <v>333870</v>
      </c>
      <c r="D165" s="116" t="s">
        <v>529</v>
      </c>
      <c r="E165" s="100">
        <v>2</v>
      </c>
      <c r="F165" s="100">
        <v>2.7</v>
      </c>
      <c r="G165" s="111">
        <v>3.2</v>
      </c>
      <c r="H165" s="20"/>
      <c r="I165" s="20"/>
      <c r="J165" s="20"/>
      <c r="K165" s="20"/>
    </row>
    <row r="166" spans="1:11" x14ac:dyDescent="0.25">
      <c r="A166" s="96">
        <v>157</v>
      </c>
      <c r="B166" s="24">
        <v>1925</v>
      </c>
      <c r="C166" s="24">
        <v>333870</v>
      </c>
      <c r="D166" s="116" t="s">
        <v>530</v>
      </c>
      <c r="E166" s="100">
        <v>2.5</v>
      </c>
      <c r="F166" s="100">
        <v>3.3</v>
      </c>
      <c r="G166" s="111">
        <v>3.7</v>
      </c>
      <c r="H166" s="20"/>
      <c r="I166" s="20"/>
      <c r="J166" s="20"/>
      <c r="K166" s="20"/>
    </row>
    <row r="167" spans="1:11" x14ac:dyDescent="0.25">
      <c r="A167" s="96">
        <v>158</v>
      </c>
      <c r="B167" s="24">
        <v>1925</v>
      </c>
      <c r="C167" s="24">
        <v>333870</v>
      </c>
      <c r="D167" s="116" t="s">
        <v>531</v>
      </c>
      <c r="E167" s="100">
        <v>7.5</v>
      </c>
      <c r="F167" s="100">
        <v>11.5</v>
      </c>
      <c r="G167" s="111">
        <v>13.5</v>
      </c>
      <c r="H167" s="20"/>
      <c r="I167" s="20"/>
      <c r="J167" s="20"/>
      <c r="K167" s="20"/>
    </row>
    <row r="168" spans="1:11" x14ac:dyDescent="0.25">
      <c r="A168" s="96">
        <v>159</v>
      </c>
      <c r="B168" s="24">
        <v>1925</v>
      </c>
      <c r="C168" s="24">
        <v>333870</v>
      </c>
      <c r="D168" s="116" t="s">
        <v>532</v>
      </c>
      <c r="E168" s="100">
        <v>2.2000000000000002</v>
      </c>
      <c r="F168" s="100">
        <v>3.2</v>
      </c>
      <c r="G168" s="111">
        <v>3.6</v>
      </c>
      <c r="H168" s="20"/>
      <c r="I168" s="20"/>
      <c r="J168" s="20"/>
      <c r="K168" s="20"/>
    </row>
    <row r="169" spans="1:11" x14ac:dyDescent="0.25">
      <c r="A169" s="96">
        <v>160</v>
      </c>
      <c r="B169" s="24">
        <v>1925</v>
      </c>
      <c r="C169" s="24">
        <v>333870</v>
      </c>
      <c r="D169" s="116" t="s">
        <v>533</v>
      </c>
      <c r="E169" s="100">
        <v>1.9</v>
      </c>
      <c r="F169" s="100">
        <v>2.8</v>
      </c>
      <c r="G169" s="111">
        <v>3.2</v>
      </c>
      <c r="H169" s="20"/>
      <c r="I169" s="20"/>
      <c r="J169" s="20"/>
      <c r="K169" s="20"/>
    </row>
    <row r="170" spans="1:11" x14ac:dyDescent="0.25">
      <c r="A170" s="96">
        <v>161</v>
      </c>
      <c r="B170" s="24">
        <v>1925</v>
      </c>
      <c r="C170" s="24">
        <v>333870</v>
      </c>
      <c r="D170" s="116" t="s">
        <v>534</v>
      </c>
      <c r="E170" s="100">
        <v>2.2999999999999998</v>
      </c>
      <c r="F170" s="100">
        <v>3.2</v>
      </c>
      <c r="G170" s="111">
        <v>3.7</v>
      </c>
      <c r="H170" s="20"/>
      <c r="I170" s="20"/>
      <c r="J170" s="20"/>
      <c r="K170" s="20"/>
    </row>
    <row r="171" spans="1:11" x14ac:dyDescent="0.25">
      <c r="A171" s="96">
        <v>162</v>
      </c>
      <c r="B171" s="24">
        <v>1925</v>
      </c>
      <c r="C171" s="24">
        <v>333870</v>
      </c>
      <c r="D171" s="116" t="s">
        <v>535</v>
      </c>
      <c r="E171" s="100">
        <v>2.1</v>
      </c>
      <c r="F171" s="100">
        <v>3.1</v>
      </c>
      <c r="G171" s="111">
        <v>3.5</v>
      </c>
      <c r="H171" s="20"/>
      <c r="I171" s="20"/>
      <c r="J171" s="20"/>
      <c r="K171" s="20"/>
    </row>
    <row r="172" spans="1:11" x14ac:dyDescent="0.25">
      <c r="A172" s="96">
        <v>163</v>
      </c>
      <c r="B172" s="24">
        <v>1925</v>
      </c>
      <c r="C172" s="24">
        <v>333870</v>
      </c>
      <c r="D172" s="116" t="s">
        <v>536</v>
      </c>
      <c r="E172" s="100">
        <v>3.2</v>
      </c>
      <c r="F172" s="100">
        <v>4.4000000000000004</v>
      </c>
      <c r="G172" s="111">
        <v>5</v>
      </c>
      <c r="H172" s="20"/>
      <c r="I172" s="20"/>
      <c r="J172" s="20"/>
      <c r="K172" s="20"/>
    </row>
    <row r="173" spans="1:11" x14ac:dyDescent="0.25">
      <c r="A173" s="96">
        <v>164</v>
      </c>
      <c r="B173" s="24">
        <v>1925</v>
      </c>
      <c r="C173" s="24">
        <v>333870</v>
      </c>
      <c r="D173" s="116" t="s">
        <v>537</v>
      </c>
      <c r="E173" s="100">
        <v>5</v>
      </c>
      <c r="F173" s="100">
        <v>6.7</v>
      </c>
      <c r="G173" s="111">
        <v>7.6</v>
      </c>
      <c r="H173" s="20"/>
      <c r="I173" s="20"/>
      <c r="J173" s="20"/>
      <c r="K173" s="20"/>
    </row>
    <row r="174" spans="1:11" x14ac:dyDescent="0.25">
      <c r="A174" s="96">
        <v>165</v>
      </c>
      <c r="B174" s="24">
        <v>1925</v>
      </c>
      <c r="C174" s="24">
        <v>333870</v>
      </c>
      <c r="D174" s="116" t="s">
        <v>538</v>
      </c>
      <c r="E174" s="100">
        <v>2.8</v>
      </c>
      <c r="F174" s="100">
        <v>3.6</v>
      </c>
      <c r="G174" s="111">
        <v>4.2</v>
      </c>
      <c r="H174" s="20"/>
      <c r="I174" s="20"/>
      <c r="J174" s="20"/>
      <c r="K174" s="20"/>
    </row>
    <row r="175" spans="1:11" x14ac:dyDescent="0.25">
      <c r="A175" s="96">
        <v>166</v>
      </c>
      <c r="B175" s="24">
        <v>1925</v>
      </c>
      <c r="C175" s="24">
        <v>333870</v>
      </c>
      <c r="D175" s="116" t="s">
        <v>539</v>
      </c>
      <c r="E175" s="100">
        <v>2.8</v>
      </c>
      <c r="F175" s="100">
        <v>4.0999999999999996</v>
      </c>
      <c r="G175" s="111">
        <v>4.5</v>
      </c>
      <c r="H175" s="20"/>
      <c r="I175" s="20"/>
      <c r="J175" s="20"/>
      <c r="K175" s="20"/>
    </row>
    <row r="176" spans="1:11" x14ac:dyDescent="0.25">
      <c r="A176" s="96">
        <v>167</v>
      </c>
      <c r="B176" s="24">
        <v>1925</v>
      </c>
      <c r="C176" s="24">
        <v>333870</v>
      </c>
      <c r="D176" s="116" t="s">
        <v>540</v>
      </c>
      <c r="E176" s="100">
        <v>2.4</v>
      </c>
      <c r="F176" s="100">
        <v>4.4000000000000004</v>
      </c>
      <c r="G176" s="111">
        <v>5.6</v>
      </c>
      <c r="H176" s="20"/>
      <c r="I176" s="20"/>
      <c r="J176" s="20"/>
      <c r="K176" s="20"/>
    </row>
    <row r="177" spans="1:11" x14ac:dyDescent="0.25">
      <c r="A177" s="96">
        <v>168</v>
      </c>
      <c r="B177" s="24">
        <v>1925</v>
      </c>
      <c r="C177" s="24">
        <v>333870</v>
      </c>
      <c r="D177" s="116" t="s">
        <v>541</v>
      </c>
      <c r="E177" s="100">
        <v>9.6999999999999993</v>
      </c>
      <c r="F177" s="100">
        <v>17.8</v>
      </c>
      <c r="G177" s="125">
        <v>23.1</v>
      </c>
      <c r="H177" s="20"/>
      <c r="I177" s="20"/>
      <c r="J177" s="20"/>
      <c r="K177" s="20"/>
    </row>
    <row r="178" spans="1:11" x14ac:dyDescent="0.25">
      <c r="A178" s="96">
        <v>169</v>
      </c>
      <c r="B178" s="24">
        <v>1925</v>
      </c>
      <c r="C178" s="24">
        <v>333870</v>
      </c>
      <c r="D178" s="116" t="s">
        <v>542</v>
      </c>
      <c r="E178" s="100">
        <v>2</v>
      </c>
      <c r="F178" s="100">
        <v>2.5</v>
      </c>
      <c r="G178" s="111">
        <v>2.8</v>
      </c>
      <c r="H178" s="20"/>
      <c r="I178" s="20"/>
      <c r="J178" s="20"/>
      <c r="K178" s="20"/>
    </row>
    <row r="179" spans="1:11" x14ac:dyDescent="0.25">
      <c r="A179" s="96">
        <v>170</v>
      </c>
      <c r="B179" s="24">
        <v>1925</v>
      </c>
      <c r="C179" s="24">
        <v>333870</v>
      </c>
      <c r="D179" s="116" t="s">
        <v>543</v>
      </c>
      <c r="E179" s="100">
        <v>2.5</v>
      </c>
      <c r="F179" s="100">
        <v>3.3</v>
      </c>
      <c r="G179" s="111">
        <v>3.8</v>
      </c>
      <c r="H179" s="20"/>
      <c r="I179" s="20"/>
      <c r="J179" s="20"/>
      <c r="K179" s="20"/>
    </row>
    <row r="180" spans="1:11" x14ac:dyDescent="0.25">
      <c r="A180" s="96">
        <v>171</v>
      </c>
      <c r="B180" s="24">
        <v>1925</v>
      </c>
      <c r="C180" s="24">
        <v>333870</v>
      </c>
      <c r="D180" s="116" t="s">
        <v>544</v>
      </c>
      <c r="E180" s="100">
        <v>2.8</v>
      </c>
      <c r="F180" s="100">
        <v>5.3</v>
      </c>
      <c r="G180" s="111">
        <v>6.6</v>
      </c>
      <c r="H180" s="20"/>
      <c r="I180" s="20"/>
      <c r="J180" s="20"/>
      <c r="K180" s="20"/>
    </row>
    <row r="181" spans="1:11" x14ac:dyDescent="0.25">
      <c r="A181" s="96">
        <v>172</v>
      </c>
      <c r="B181" s="24">
        <v>1925</v>
      </c>
      <c r="C181" s="24">
        <v>333870</v>
      </c>
      <c r="D181" s="116" t="s">
        <v>545</v>
      </c>
      <c r="E181" s="100">
        <v>2.9</v>
      </c>
      <c r="F181" s="100">
        <v>7.3</v>
      </c>
      <c r="G181" s="111">
        <v>11.3</v>
      </c>
      <c r="H181" s="20"/>
      <c r="I181" s="20"/>
      <c r="J181" s="20"/>
      <c r="K181" s="20"/>
    </row>
    <row r="182" spans="1:11" x14ac:dyDescent="0.25">
      <c r="A182" s="96">
        <v>173</v>
      </c>
      <c r="B182" s="24">
        <v>1925</v>
      </c>
      <c r="C182" s="24">
        <v>333870</v>
      </c>
      <c r="D182" s="116" t="s">
        <v>546</v>
      </c>
      <c r="E182" s="100">
        <v>2.4</v>
      </c>
      <c r="F182" s="100">
        <v>3.5</v>
      </c>
      <c r="G182" s="111">
        <v>4.0999999999999996</v>
      </c>
      <c r="H182" s="20"/>
      <c r="I182" s="20"/>
      <c r="J182" s="20"/>
      <c r="K182" s="20"/>
    </row>
    <row r="183" spans="1:11" x14ac:dyDescent="0.25">
      <c r="A183" s="96">
        <v>174</v>
      </c>
      <c r="B183" s="24">
        <v>1925</v>
      </c>
      <c r="C183" s="24">
        <v>333870</v>
      </c>
      <c r="D183" s="116" t="s">
        <v>418</v>
      </c>
      <c r="E183" s="100">
        <v>2.8</v>
      </c>
      <c r="F183" s="100">
        <v>3.8</v>
      </c>
      <c r="G183" s="111">
        <v>4.3</v>
      </c>
      <c r="H183" s="20"/>
      <c r="I183" s="20"/>
      <c r="J183" s="20"/>
      <c r="K183" s="20"/>
    </row>
    <row r="184" spans="1:11" x14ac:dyDescent="0.25">
      <c r="A184" s="96">
        <v>175</v>
      </c>
      <c r="B184" s="24">
        <v>1925</v>
      </c>
      <c r="C184" s="24">
        <v>333870</v>
      </c>
      <c r="D184" s="116" t="s">
        <v>547</v>
      </c>
      <c r="E184" s="100">
        <v>3.9</v>
      </c>
      <c r="F184" s="100">
        <v>5.3</v>
      </c>
      <c r="G184" s="111">
        <v>5.8</v>
      </c>
      <c r="H184" s="20"/>
      <c r="I184" s="20"/>
      <c r="J184" s="20"/>
      <c r="K184" s="20"/>
    </row>
    <row r="185" spans="1:11" x14ac:dyDescent="0.25">
      <c r="A185" s="96">
        <v>176</v>
      </c>
      <c r="B185" s="24">
        <v>1925</v>
      </c>
      <c r="C185" s="24">
        <v>333870</v>
      </c>
      <c r="D185" s="116" t="s">
        <v>548</v>
      </c>
      <c r="E185" s="100">
        <v>4.3</v>
      </c>
      <c r="F185" s="100">
        <v>5.9</v>
      </c>
      <c r="G185" s="111">
        <v>7.2</v>
      </c>
      <c r="H185" s="20"/>
      <c r="I185" s="20"/>
      <c r="J185" s="20"/>
      <c r="K185" s="20"/>
    </row>
    <row r="186" spans="1:11" x14ac:dyDescent="0.25">
      <c r="A186" s="96">
        <v>177</v>
      </c>
      <c r="B186" s="24">
        <v>1925</v>
      </c>
      <c r="C186" s="24">
        <v>333870</v>
      </c>
      <c r="D186" s="116" t="s">
        <v>549</v>
      </c>
      <c r="E186" s="100">
        <v>3.9</v>
      </c>
      <c r="F186" s="100">
        <v>8.1</v>
      </c>
      <c r="G186" s="111">
        <v>10.9</v>
      </c>
      <c r="H186" s="20"/>
      <c r="I186" s="20"/>
      <c r="J186" s="20"/>
      <c r="K186" s="20"/>
    </row>
    <row r="187" spans="1:11" x14ac:dyDescent="0.25">
      <c r="A187" s="96">
        <v>178</v>
      </c>
      <c r="B187" s="24">
        <v>1925</v>
      </c>
      <c r="C187" s="24">
        <v>333870</v>
      </c>
      <c r="D187" s="116" t="s">
        <v>550</v>
      </c>
      <c r="E187" s="100">
        <v>8</v>
      </c>
      <c r="F187" s="100">
        <v>10.4</v>
      </c>
      <c r="G187" s="111">
        <v>11.8</v>
      </c>
      <c r="H187" s="20"/>
      <c r="I187" s="20"/>
      <c r="J187" s="20"/>
      <c r="K187" s="20"/>
    </row>
    <row r="188" spans="1:11" x14ac:dyDescent="0.25">
      <c r="A188" s="96">
        <v>179</v>
      </c>
      <c r="B188" s="24">
        <v>1925</v>
      </c>
      <c r="C188" s="24">
        <v>333870</v>
      </c>
      <c r="D188" s="116" t="s">
        <v>551</v>
      </c>
      <c r="E188" s="100">
        <v>11.8</v>
      </c>
      <c r="F188" s="100">
        <v>18.100000000000001</v>
      </c>
      <c r="G188" s="125">
        <v>128.30000000000001</v>
      </c>
      <c r="H188" s="20"/>
      <c r="I188" s="20"/>
      <c r="J188" s="20"/>
      <c r="K188" s="20"/>
    </row>
    <row r="189" spans="1:11" x14ac:dyDescent="0.25">
      <c r="A189" s="96">
        <v>180</v>
      </c>
      <c r="B189" s="24">
        <v>1925</v>
      </c>
      <c r="C189" s="24">
        <v>333870</v>
      </c>
      <c r="D189" s="116" t="s">
        <v>552</v>
      </c>
      <c r="E189" s="100">
        <v>5.9</v>
      </c>
      <c r="F189" s="100">
        <v>8</v>
      </c>
      <c r="G189" s="111">
        <v>8.9</v>
      </c>
      <c r="H189" s="20"/>
      <c r="I189" s="20"/>
      <c r="J189" s="20"/>
      <c r="K189" s="20"/>
    </row>
    <row r="190" spans="1:11" x14ac:dyDescent="0.25">
      <c r="A190" s="96">
        <v>181</v>
      </c>
      <c r="B190" s="24">
        <v>1925</v>
      </c>
      <c r="C190" s="24">
        <v>333870</v>
      </c>
      <c r="D190" s="116" t="s">
        <v>553</v>
      </c>
      <c r="E190" s="100">
        <v>2.8</v>
      </c>
      <c r="F190" s="100">
        <v>3.7</v>
      </c>
      <c r="G190" s="111">
        <v>4.0999999999999996</v>
      </c>
      <c r="H190" s="20"/>
      <c r="I190" s="20"/>
      <c r="J190" s="20"/>
      <c r="K190" s="20"/>
    </row>
    <row r="191" spans="1:11" x14ac:dyDescent="0.25">
      <c r="A191" s="96">
        <v>182</v>
      </c>
      <c r="B191" s="24">
        <v>1925</v>
      </c>
      <c r="C191" s="24">
        <v>333870</v>
      </c>
      <c r="D191" s="116" t="s">
        <v>554</v>
      </c>
      <c r="E191" s="100">
        <v>4.7</v>
      </c>
      <c r="F191" s="100">
        <v>7.5</v>
      </c>
      <c r="G191" s="111">
        <v>8.6999999999999993</v>
      </c>
      <c r="H191" s="20"/>
      <c r="I191" s="20"/>
      <c r="J191" s="20"/>
      <c r="K191" s="20"/>
    </row>
    <row r="192" spans="1:11" x14ac:dyDescent="0.25">
      <c r="A192" s="96">
        <v>183</v>
      </c>
      <c r="B192" s="24">
        <v>1925</v>
      </c>
      <c r="C192" s="24">
        <v>333870</v>
      </c>
      <c r="D192" s="116" t="s">
        <v>555</v>
      </c>
      <c r="E192" s="100">
        <v>2.6</v>
      </c>
      <c r="F192" s="100">
        <v>3.7</v>
      </c>
      <c r="G192" s="111">
        <v>4.7</v>
      </c>
      <c r="H192" s="20"/>
      <c r="I192" s="20"/>
      <c r="J192" s="20"/>
      <c r="K192" s="20"/>
    </row>
    <row r="193" spans="1:11" x14ac:dyDescent="0.25">
      <c r="A193" s="96">
        <v>184</v>
      </c>
      <c r="B193" s="24">
        <v>1925</v>
      </c>
      <c r="C193" s="24">
        <v>333870</v>
      </c>
      <c r="D193" s="116" t="s">
        <v>556</v>
      </c>
      <c r="E193" s="100">
        <v>2.7</v>
      </c>
      <c r="F193" s="100">
        <v>3.7</v>
      </c>
      <c r="G193" s="111">
        <v>4.2</v>
      </c>
      <c r="H193" s="20"/>
      <c r="I193" s="20"/>
      <c r="J193" s="20"/>
      <c r="K193" s="20"/>
    </row>
    <row r="194" spans="1:11" x14ac:dyDescent="0.25">
      <c r="A194" s="96">
        <v>185</v>
      </c>
      <c r="B194" s="24">
        <v>1925</v>
      </c>
      <c r="C194" s="24">
        <v>333870</v>
      </c>
      <c r="D194" s="116" t="s">
        <v>557</v>
      </c>
      <c r="E194" s="100">
        <v>3.1</v>
      </c>
      <c r="F194" s="100">
        <v>3.9</v>
      </c>
      <c r="G194" s="111">
        <v>4.4000000000000004</v>
      </c>
      <c r="H194" s="20"/>
      <c r="I194" s="20"/>
      <c r="J194" s="20"/>
      <c r="K194" s="20"/>
    </row>
    <row r="195" spans="1:11" x14ac:dyDescent="0.25">
      <c r="A195" s="96">
        <v>186</v>
      </c>
      <c r="B195" s="24">
        <v>1925</v>
      </c>
      <c r="C195" s="24">
        <v>333870</v>
      </c>
      <c r="D195" s="116" t="s">
        <v>558</v>
      </c>
      <c r="E195" s="100">
        <v>3</v>
      </c>
      <c r="F195" s="100">
        <v>4</v>
      </c>
      <c r="G195" s="111">
        <v>4.5</v>
      </c>
      <c r="H195" s="20"/>
      <c r="I195" s="20"/>
      <c r="J195" s="20"/>
      <c r="K195" s="20"/>
    </row>
    <row r="196" spans="1:11" x14ac:dyDescent="0.25">
      <c r="A196" s="96">
        <v>187</v>
      </c>
      <c r="B196" s="24">
        <v>1925</v>
      </c>
      <c r="C196" s="24">
        <v>333870</v>
      </c>
      <c r="D196" s="116" t="s">
        <v>559</v>
      </c>
      <c r="E196" s="100">
        <v>3</v>
      </c>
      <c r="F196" s="100">
        <v>4.2</v>
      </c>
      <c r="G196" s="111">
        <v>4.7</v>
      </c>
      <c r="H196" s="20"/>
      <c r="I196" s="20"/>
      <c r="J196" s="20"/>
      <c r="K196" s="20"/>
    </row>
    <row r="197" spans="1:11" x14ac:dyDescent="0.25">
      <c r="A197" s="96">
        <v>188</v>
      </c>
      <c r="B197" s="24">
        <v>1925</v>
      </c>
      <c r="C197" s="24">
        <v>333870</v>
      </c>
      <c r="D197" s="116" t="s">
        <v>560</v>
      </c>
      <c r="E197" s="100">
        <v>3.1</v>
      </c>
      <c r="F197" s="100">
        <v>5</v>
      </c>
      <c r="G197" s="111">
        <v>6</v>
      </c>
      <c r="H197" s="20"/>
      <c r="I197" s="20"/>
      <c r="J197" s="20"/>
      <c r="K197" s="20"/>
    </row>
    <row r="198" spans="1:11" x14ac:dyDescent="0.25">
      <c r="A198" s="96">
        <v>189</v>
      </c>
      <c r="B198" s="24">
        <v>1925</v>
      </c>
      <c r="C198" s="24">
        <v>333870</v>
      </c>
      <c r="D198" s="116" t="s">
        <v>561</v>
      </c>
      <c r="E198" s="100">
        <v>4.3</v>
      </c>
      <c r="F198" s="100">
        <v>6.5</v>
      </c>
      <c r="G198" s="111">
        <v>7.4</v>
      </c>
      <c r="H198" s="20"/>
      <c r="I198" s="20"/>
      <c r="J198" s="20"/>
      <c r="K198" s="20"/>
    </row>
    <row r="199" spans="1:11" x14ac:dyDescent="0.25">
      <c r="A199" s="96">
        <v>190</v>
      </c>
      <c r="B199" s="24">
        <v>1925</v>
      </c>
      <c r="C199" s="24">
        <v>333870</v>
      </c>
      <c r="D199" s="116" t="s">
        <v>562</v>
      </c>
      <c r="E199" s="100">
        <v>3.9</v>
      </c>
      <c r="F199" s="100">
        <v>6.2</v>
      </c>
      <c r="G199" s="111">
        <v>7.5</v>
      </c>
      <c r="H199" s="20"/>
      <c r="I199" s="20"/>
      <c r="J199" s="20"/>
      <c r="K199" s="20"/>
    </row>
    <row r="200" spans="1:11" x14ac:dyDescent="0.25">
      <c r="A200" s="96">
        <v>191</v>
      </c>
      <c r="B200" s="24">
        <v>1925</v>
      </c>
      <c r="C200" s="24">
        <v>333870</v>
      </c>
      <c r="D200" s="116" t="s">
        <v>563</v>
      </c>
      <c r="E200" s="100">
        <v>4</v>
      </c>
      <c r="F200" s="100">
        <v>5.4</v>
      </c>
      <c r="G200" s="111">
        <v>6.1</v>
      </c>
      <c r="H200" s="20"/>
      <c r="I200" s="20"/>
      <c r="J200" s="20"/>
      <c r="K200" s="20"/>
    </row>
    <row r="201" spans="1:11" x14ac:dyDescent="0.25">
      <c r="A201" s="96">
        <v>192</v>
      </c>
      <c r="B201" s="24">
        <v>1925</v>
      </c>
      <c r="C201" s="24">
        <v>333870</v>
      </c>
      <c r="D201" s="116" t="s">
        <v>564</v>
      </c>
      <c r="E201" s="100">
        <v>4.7</v>
      </c>
      <c r="F201" s="100">
        <v>6.5</v>
      </c>
      <c r="G201" s="111">
        <v>7.2</v>
      </c>
      <c r="H201" s="20"/>
      <c r="I201" s="20"/>
      <c r="J201" s="20"/>
      <c r="K201" s="20"/>
    </row>
    <row r="202" spans="1:11" x14ac:dyDescent="0.25">
      <c r="A202" s="96">
        <v>193</v>
      </c>
      <c r="B202" s="24">
        <v>1925</v>
      </c>
      <c r="C202" s="24">
        <v>333870</v>
      </c>
      <c r="D202" s="116" t="s">
        <v>565</v>
      </c>
      <c r="E202" s="100">
        <v>3.5</v>
      </c>
      <c r="F202" s="100">
        <v>4.4000000000000004</v>
      </c>
      <c r="G202" s="111">
        <v>4.8</v>
      </c>
      <c r="H202" s="20"/>
      <c r="I202" s="20"/>
      <c r="J202" s="20"/>
      <c r="K202" s="20"/>
    </row>
    <row r="203" spans="1:11" x14ac:dyDescent="0.25">
      <c r="A203" s="96">
        <v>194</v>
      </c>
      <c r="B203" s="24">
        <v>1925</v>
      </c>
      <c r="C203" s="24">
        <v>333870</v>
      </c>
      <c r="D203" s="116" t="s">
        <v>566</v>
      </c>
      <c r="E203" s="100">
        <v>4</v>
      </c>
      <c r="F203" s="100">
        <v>5.3</v>
      </c>
      <c r="G203" s="111">
        <v>6</v>
      </c>
      <c r="H203" s="20"/>
      <c r="I203" s="20"/>
      <c r="J203" s="20"/>
      <c r="K203" s="20"/>
    </row>
    <row r="204" spans="1:11" x14ac:dyDescent="0.25">
      <c r="A204" s="96">
        <v>195</v>
      </c>
      <c r="B204" s="24">
        <v>1925</v>
      </c>
      <c r="C204" s="24">
        <v>333870</v>
      </c>
      <c r="D204" s="116" t="s">
        <v>567</v>
      </c>
      <c r="E204" s="100">
        <v>2.7</v>
      </c>
      <c r="F204" s="100">
        <v>3.9</v>
      </c>
      <c r="G204" s="111">
        <v>4.5</v>
      </c>
      <c r="H204" s="20"/>
      <c r="I204" s="20"/>
      <c r="J204" s="20"/>
      <c r="K204" s="20"/>
    </row>
    <row r="205" spans="1:11" x14ac:dyDescent="0.25">
      <c r="A205" s="96">
        <v>196</v>
      </c>
      <c r="B205" s="24">
        <v>1925</v>
      </c>
      <c r="C205" s="24">
        <v>333870</v>
      </c>
      <c r="D205" s="116" t="s">
        <v>568</v>
      </c>
      <c r="E205" s="100">
        <v>1.9</v>
      </c>
      <c r="F205" s="100">
        <v>3.5</v>
      </c>
      <c r="G205" s="111">
        <v>6.8</v>
      </c>
      <c r="H205" s="20"/>
      <c r="I205" s="20"/>
      <c r="J205" s="20"/>
      <c r="K205" s="20"/>
    </row>
    <row r="206" spans="1:11" x14ac:dyDescent="0.25">
      <c r="A206" s="96">
        <v>197</v>
      </c>
      <c r="B206" s="24">
        <v>1925</v>
      </c>
      <c r="C206" s="24">
        <v>333870</v>
      </c>
      <c r="D206" s="116" t="s">
        <v>569</v>
      </c>
      <c r="E206" s="100">
        <v>3.8</v>
      </c>
      <c r="F206" s="100">
        <v>6.7</v>
      </c>
      <c r="G206" s="111">
        <v>7.9</v>
      </c>
      <c r="H206" s="20"/>
      <c r="I206" s="20"/>
      <c r="J206" s="20"/>
      <c r="K206" s="20"/>
    </row>
    <row r="207" spans="1:11" x14ac:dyDescent="0.25">
      <c r="A207" s="96">
        <v>198</v>
      </c>
      <c r="B207" s="24">
        <v>1925</v>
      </c>
      <c r="C207" s="24">
        <v>333870</v>
      </c>
      <c r="D207" s="116" t="s">
        <v>570</v>
      </c>
      <c r="E207" s="100">
        <v>5.3</v>
      </c>
      <c r="F207" s="100">
        <v>6.7</v>
      </c>
      <c r="G207" s="111">
        <v>7.3</v>
      </c>
      <c r="H207" s="20"/>
      <c r="I207" s="20"/>
      <c r="J207" s="20"/>
      <c r="K207" s="20"/>
    </row>
    <row r="208" spans="1:11" x14ac:dyDescent="0.25">
      <c r="A208" s="96">
        <v>199</v>
      </c>
      <c r="B208" s="24">
        <v>1925</v>
      </c>
      <c r="C208" s="24">
        <v>333870</v>
      </c>
      <c r="D208" s="116" t="s">
        <v>571</v>
      </c>
      <c r="E208" s="100">
        <v>4.9000000000000004</v>
      </c>
      <c r="F208" s="100">
        <v>7.2</v>
      </c>
      <c r="G208" s="111">
        <v>8.1999999999999993</v>
      </c>
      <c r="H208" s="20"/>
      <c r="I208" s="20"/>
      <c r="J208" s="20"/>
      <c r="K208" s="20"/>
    </row>
    <row r="209" spans="1:11" ht="15.75" thickBot="1" x14ac:dyDescent="0.3">
      <c r="A209" s="97">
        <v>200</v>
      </c>
      <c r="B209" s="103">
        <v>1925</v>
      </c>
      <c r="C209" s="103">
        <v>333870</v>
      </c>
      <c r="D209" s="117" t="s">
        <v>572</v>
      </c>
      <c r="E209" s="104">
        <v>5.0999999999999996</v>
      </c>
      <c r="F209" s="104">
        <v>7</v>
      </c>
      <c r="G209" s="112">
        <v>8.1</v>
      </c>
      <c r="H209" s="20"/>
      <c r="I209" s="20"/>
      <c r="J209" s="20"/>
      <c r="K209" s="20"/>
    </row>
    <row r="210" spans="1:11" x14ac:dyDescent="0.25">
      <c r="A210" s="20"/>
      <c r="B210" s="20"/>
      <c r="C210" s="20"/>
      <c r="D210" s="51"/>
      <c r="E210" s="99"/>
      <c r="F210" s="99"/>
      <c r="G210" s="99"/>
      <c r="H210" s="20"/>
      <c r="I210" s="20"/>
      <c r="J210" s="20"/>
      <c r="K210" s="20"/>
    </row>
    <row r="211" spans="1:11" x14ac:dyDescent="0.25">
      <c r="A211" s="20"/>
      <c r="B211" s="20"/>
      <c r="C211" s="20"/>
      <c r="D211" s="51"/>
      <c r="E211" s="99"/>
      <c r="F211" s="99"/>
      <c r="G211" s="99"/>
      <c r="H211" s="20"/>
      <c r="I211" s="20"/>
      <c r="J211" s="20"/>
      <c r="K211" s="20"/>
    </row>
    <row r="212" spans="1:11" x14ac:dyDescent="0.25">
      <c r="A212" s="20"/>
      <c r="B212" s="20"/>
      <c r="C212" s="20"/>
      <c r="D212" s="51"/>
      <c r="E212" s="99"/>
      <c r="F212" s="99"/>
      <c r="G212" s="99"/>
      <c r="H212" s="20"/>
      <c r="I212" s="20"/>
      <c r="J212" s="20"/>
      <c r="K212" s="20"/>
    </row>
    <row r="213" spans="1:11" x14ac:dyDescent="0.25">
      <c r="A213" s="20"/>
      <c r="B213" s="20"/>
      <c r="C213" s="20"/>
      <c r="D213" s="51"/>
      <c r="E213" s="99"/>
      <c r="F213" s="99"/>
      <c r="G213" s="99"/>
      <c r="H213" s="20"/>
      <c r="I213" s="20"/>
      <c r="J213" s="20"/>
      <c r="K213" s="20"/>
    </row>
    <row r="214" spans="1:11" x14ac:dyDescent="0.25">
      <c r="A214" s="20"/>
      <c r="B214" s="20"/>
      <c r="C214" s="20"/>
      <c r="D214" s="51"/>
      <c r="E214" s="99"/>
      <c r="F214" s="99"/>
      <c r="G214" s="99"/>
      <c r="H214" s="20"/>
      <c r="I214" s="20"/>
      <c r="J214" s="20"/>
      <c r="K214" s="20"/>
    </row>
    <row r="215" spans="1:11" x14ac:dyDescent="0.25">
      <c r="A215" s="20"/>
      <c r="B215" s="20"/>
      <c r="C215" s="20"/>
      <c r="D215" s="51"/>
      <c r="E215" s="99"/>
      <c r="F215" s="99"/>
      <c r="G215" s="99"/>
      <c r="H215" s="20"/>
      <c r="I215" s="20"/>
      <c r="J215" s="20"/>
      <c r="K215" s="20"/>
    </row>
    <row r="216" spans="1:11" x14ac:dyDescent="0.25">
      <c r="A216" s="20"/>
      <c r="B216" s="20"/>
      <c r="C216" s="20"/>
      <c r="D216" s="51"/>
      <c r="E216" s="99"/>
      <c r="F216" s="99"/>
      <c r="G216" s="99"/>
      <c r="H216" s="20"/>
      <c r="I216" s="20"/>
      <c r="J216" s="20"/>
      <c r="K216" s="20"/>
    </row>
    <row r="217" spans="1:11" x14ac:dyDescent="0.25">
      <c r="A217" s="20"/>
      <c r="B217" s="20"/>
      <c r="C217" s="20"/>
      <c r="D217" s="51"/>
      <c r="E217" s="99"/>
      <c r="F217" s="99"/>
      <c r="G217" s="99"/>
      <c r="H217" s="20"/>
      <c r="I217" s="20"/>
      <c r="J217" s="20"/>
      <c r="K217" s="20"/>
    </row>
    <row r="218" spans="1:11" x14ac:dyDescent="0.25">
      <c r="A218" s="20"/>
      <c r="B218" s="20"/>
      <c r="C218" s="20"/>
      <c r="D218" s="51"/>
      <c r="E218" s="99"/>
      <c r="F218" s="99"/>
      <c r="G218" s="99"/>
      <c r="H218" s="20"/>
      <c r="I218" s="20"/>
      <c r="J218" s="20"/>
      <c r="K218" s="20"/>
    </row>
    <row r="219" spans="1:11" x14ac:dyDescent="0.25">
      <c r="A219" s="20"/>
      <c r="B219" s="20"/>
      <c r="C219" s="20"/>
      <c r="D219" s="51"/>
      <c r="E219" s="99"/>
      <c r="F219" s="99"/>
      <c r="G219" s="99"/>
      <c r="H219" s="20"/>
      <c r="I219" s="20"/>
      <c r="J219" s="20"/>
      <c r="K219" s="20"/>
    </row>
    <row r="220" spans="1:11" x14ac:dyDescent="0.25">
      <c r="A220" s="20"/>
      <c r="B220" s="20"/>
      <c r="C220" s="20"/>
      <c r="D220" s="51"/>
      <c r="E220" s="99"/>
      <c r="F220" s="99"/>
      <c r="G220" s="99"/>
      <c r="H220" s="20"/>
      <c r="I220" s="20"/>
      <c r="J220" s="20"/>
      <c r="K220" s="20"/>
    </row>
    <row r="221" spans="1:11" x14ac:dyDescent="0.25">
      <c r="A221" s="20"/>
      <c r="B221" s="20"/>
      <c r="C221" s="20"/>
      <c r="D221" s="51"/>
      <c r="E221" s="99"/>
      <c r="F221" s="99"/>
      <c r="G221" s="99"/>
      <c r="H221" s="20"/>
      <c r="I221" s="20"/>
      <c r="J221" s="20"/>
      <c r="K221" s="20"/>
    </row>
    <row r="222" spans="1:11" x14ac:dyDescent="0.25">
      <c r="A222" s="20"/>
      <c r="B222" s="20"/>
      <c r="C222" s="20"/>
      <c r="D222" s="51"/>
      <c r="E222" s="99"/>
      <c r="F222" s="99"/>
      <c r="G222" s="99"/>
      <c r="H222" s="20"/>
      <c r="I222" s="20"/>
      <c r="J222" s="20"/>
      <c r="K222" s="20"/>
    </row>
    <row r="223" spans="1:11" x14ac:dyDescent="0.25">
      <c r="A223" s="20"/>
      <c r="B223" s="20"/>
      <c r="C223" s="20"/>
      <c r="D223" s="51"/>
      <c r="E223" s="99"/>
      <c r="F223" s="99"/>
      <c r="G223" s="99"/>
      <c r="H223" s="20"/>
      <c r="I223" s="20"/>
      <c r="J223" s="20"/>
      <c r="K223" s="20"/>
    </row>
    <row r="224" spans="1:11" x14ac:dyDescent="0.25">
      <c r="A224" s="20"/>
      <c r="B224" s="20"/>
      <c r="C224" s="20"/>
      <c r="D224" s="51"/>
      <c r="E224" s="99"/>
      <c r="F224" s="99"/>
      <c r="G224" s="99"/>
      <c r="H224" s="20"/>
      <c r="I224" s="20"/>
      <c r="J224" s="20"/>
      <c r="K224" s="20"/>
    </row>
  </sheetData>
  <pageMargins left="0.7" right="0.7" top="0.75" bottom="0.75" header="0.3" footer="0.3"/>
  <pageSetup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11"/>
  <sheetViews>
    <sheetView windowProtection="1" topLeftCell="A36" workbookViewId="0">
      <selection activeCell="B58" sqref="B58:E105"/>
    </sheetView>
  </sheetViews>
  <sheetFormatPr defaultRowHeight="15" x14ac:dyDescent="0.25"/>
  <cols>
    <col min="1" max="1" width="18.42578125" customWidth="1"/>
    <col min="2" max="2" width="18.42578125" style="50" customWidth="1"/>
    <col min="4" max="4" width="18.42578125" customWidth="1"/>
    <col min="5" max="5" width="18.42578125" style="50" customWidth="1"/>
  </cols>
  <sheetData>
    <row r="1" spans="1:10" x14ac:dyDescent="0.25">
      <c r="A1" s="22">
        <v>43700</v>
      </c>
      <c r="B1" s="51"/>
      <c r="C1" s="20" t="s">
        <v>584</v>
      </c>
      <c r="D1" s="20"/>
      <c r="E1" s="51"/>
      <c r="F1" s="20"/>
      <c r="G1" s="20"/>
      <c r="H1" s="20"/>
      <c r="I1" s="20"/>
      <c r="J1" s="20"/>
    </row>
    <row r="2" spans="1:10" x14ac:dyDescent="0.25">
      <c r="A2" s="20"/>
      <c r="B2" s="51"/>
      <c r="C2" s="20"/>
      <c r="D2" s="20"/>
      <c r="E2" s="51"/>
      <c r="F2" s="20"/>
      <c r="G2" s="20"/>
      <c r="H2" s="20"/>
      <c r="I2" s="20"/>
      <c r="J2" s="20"/>
    </row>
    <row r="3" spans="1:10" x14ac:dyDescent="0.25">
      <c r="A3" s="20" t="s">
        <v>585</v>
      </c>
      <c r="B3" s="51" t="s">
        <v>51</v>
      </c>
      <c r="C3" s="20"/>
      <c r="D3" s="20" t="s">
        <v>585</v>
      </c>
      <c r="E3" s="51" t="s">
        <v>51</v>
      </c>
      <c r="F3" s="20"/>
      <c r="G3" s="20"/>
      <c r="H3" s="20"/>
      <c r="I3" s="20"/>
      <c r="J3" s="20"/>
    </row>
    <row r="4" spans="1:10" x14ac:dyDescent="0.25">
      <c r="A4" s="20" t="s">
        <v>586</v>
      </c>
      <c r="B4" s="51"/>
      <c r="C4" s="20"/>
      <c r="D4" s="20" t="s">
        <v>587</v>
      </c>
      <c r="E4" s="51"/>
      <c r="F4" s="20"/>
      <c r="G4" s="20"/>
      <c r="H4" s="20"/>
      <c r="I4" s="20"/>
      <c r="J4" s="20"/>
    </row>
    <row r="5" spans="1:10" x14ac:dyDescent="0.25">
      <c r="A5" s="24" t="s">
        <v>253</v>
      </c>
      <c r="B5" s="116"/>
      <c r="C5" s="20"/>
      <c r="D5" s="24" t="s">
        <v>259</v>
      </c>
      <c r="E5" s="116"/>
      <c r="F5" s="20"/>
      <c r="G5" s="20"/>
      <c r="H5" s="20"/>
      <c r="I5" s="20"/>
      <c r="J5" s="20"/>
    </row>
    <row r="6" spans="1:10" x14ac:dyDescent="0.25">
      <c r="A6" s="24"/>
      <c r="B6" s="116"/>
      <c r="C6" s="20"/>
      <c r="D6" s="24"/>
      <c r="E6" s="116"/>
      <c r="F6" s="20"/>
      <c r="G6" s="20"/>
      <c r="H6" s="20"/>
      <c r="I6" s="20"/>
      <c r="J6" s="20"/>
    </row>
    <row r="7" spans="1:10" x14ac:dyDescent="0.25">
      <c r="A7" s="24">
        <v>1</v>
      </c>
      <c r="B7" s="24">
        <v>21</v>
      </c>
      <c r="C7" s="20"/>
      <c r="D7" s="24">
        <v>1</v>
      </c>
      <c r="E7" s="116">
        <v>196</v>
      </c>
      <c r="F7" s="20"/>
      <c r="G7" s="20"/>
      <c r="H7" s="20"/>
      <c r="I7" s="20"/>
      <c r="J7" s="20"/>
    </row>
    <row r="8" spans="1:10" x14ac:dyDescent="0.25">
      <c r="A8" s="24">
        <v>2</v>
      </c>
      <c r="B8" s="24">
        <v>159</v>
      </c>
      <c r="C8" s="20"/>
      <c r="D8" s="24">
        <v>2</v>
      </c>
      <c r="E8" s="116">
        <v>181</v>
      </c>
      <c r="F8" s="20"/>
      <c r="G8" s="20"/>
      <c r="H8" s="20"/>
      <c r="I8" s="20"/>
      <c r="J8" s="20"/>
    </row>
    <row r="9" spans="1:10" x14ac:dyDescent="0.25">
      <c r="A9" s="24">
        <v>3</v>
      </c>
      <c r="B9" s="24">
        <v>144</v>
      </c>
      <c r="C9" s="20"/>
      <c r="D9" s="24">
        <v>3</v>
      </c>
      <c r="E9" s="24">
        <v>33</v>
      </c>
      <c r="F9" s="20"/>
      <c r="G9" s="20"/>
      <c r="H9" s="20"/>
      <c r="I9" s="20"/>
      <c r="J9" s="20"/>
    </row>
    <row r="10" spans="1:10" x14ac:dyDescent="0.25">
      <c r="A10" s="24">
        <v>4</v>
      </c>
      <c r="B10" s="24">
        <v>141</v>
      </c>
      <c r="C10" s="20"/>
      <c r="D10" s="24">
        <v>4</v>
      </c>
      <c r="E10" s="116">
        <v>180</v>
      </c>
      <c r="F10" s="20"/>
      <c r="G10" s="20"/>
      <c r="H10" s="20"/>
      <c r="I10" s="20"/>
      <c r="J10" s="20"/>
    </row>
    <row r="11" spans="1:10" x14ac:dyDescent="0.25">
      <c r="A11" s="24">
        <v>5</v>
      </c>
      <c r="B11" s="24">
        <v>100</v>
      </c>
      <c r="C11" s="20"/>
      <c r="D11" s="24">
        <v>5</v>
      </c>
      <c r="E11" s="24">
        <v>88</v>
      </c>
      <c r="F11" s="20"/>
      <c r="G11" s="20"/>
      <c r="H11" s="20"/>
      <c r="I11" s="20"/>
      <c r="J11" s="20"/>
    </row>
    <row r="12" spans="1:10" x14ac:dyDescent="0.25">
      <c r="A12" s="24">
        <v>6</v>
      </c>
      <c r="B12" s="24">
        <v>165</v>
      </c>
      <c r="C12" s="20"/>
      <c r="D12" s="24">
        <v>6</v>
      </c>
      <c r="E12" s="24">
        <v>147</v>
      </c>
      <c r="F12" s="20"/>
      <c r="G12" s="20"/>
      <c r="H12" s="20"/>
      <c r="I12" s="20"/>
      <c r="J12" s="20"/>
    </row>
    <row r="13" spans="1:10" x14ac:dyDescent="0.25">
      <c r="A13" s="24">
        <v>7</v>
      </c>
      <c r="B13" s="24">
        <v>71</v>
      </c>
      <c r="C13" s="20"/>
      <c r="D13" s="24">
        <v>7</v>
      </c>
      <c r="E13" s="24">
        <v>32</v>
      </c>
      <c r="F13" s="20"/>
      <c r="G13" s="20"/>
      <c r="H13" s="20"/>
      <c r="I13" s="20"/>
      <c r="J13" s="20"/>
    </row>
    <row r="14" spans="1:10" x14ac:dyDescent="0.25">
      <c r="A14" s="24">
        <v>8</v>
      </c>
      <c r="B14" s="24">
        <v>40</v>
      </c>
      <c r="C14" s="20"/>
      <c r="D14" s="24">
        <v>8</v>
      </c>
      <c r="E14" s="24">
        <v>138</v>
      </c>
      <c r="F14" s="20"/>
      <c r="G14" s="20"/>
      <c r="H14" s="20"/>
      <c r="I14" s="20"/>
      <c r="J14" s="20"/>
    </row>
    <row r="15" spans="1:10" x14ac:dyDescent="0.25">
      <c r="A15" s="24">
        <v>9</v>
      </c>
      <c r="B15" s="24">
        <v>218</v>
      </c>
      <c r="C15" s="20"/>
      <c r="D15" s="24">
        <v>9</v>
      </c>
      <c r="E15" s="24">
        <v>5</v>
      </c>
      <c r="F15" s="20"/>
      <c r="G15" s="20"/>
      <c r="H15" s="20"/>
      <c r="I15" s="20"/>
      <c r="J15" s="20"/>
    </row>
    <row r="16" spans="1:10" x14ac:dyDescent="0.25">
      <c r="A16" s="24">
        <v>10</v>
      </c>
      <c r="B16" s="24">
        <v>58</v>
      </c>
      <c r="C16" s="20"/>
      <c r="D16" s="24">
        <v>10</v>
      </c>
      <c r="E16" s="24">
        <v>10</v>
      </c>
      <c r="F16" s="20"/>
      <c r="G16" s="20"/>
      <c r="H16" s="20"/>
      <c r="I16" s="20"/>
      <c r="J16" s="20"/>
    </row>
    <row r="17" spans="1:10" x14ac:dyDescent="0.25">
      <c r="A17" s="24">
        <v>11</v>
      </c>
      <c r="B17" s="24">
        <v>69</v>
      </c>
      <c r="C17" s="20"/>
      <c r="D17" s="24">
        <v>11</v>
      </c>
      <c r="E17" s="24">
        <v>137</v>
      </c>
      <c r="F17" s="20"/>
      <c r="G17" s="20"/>
      <c r="H17" s="20"/>
      <c r="I17" s="20"/>
      <c r="J17" s="20"/>
    </row>
    <row r="18" spans="1:10" x14ac:dyDescent="0.25">
      <c r="A18" s="24">
        <v>12</v>
      </c>
      <c r="B18" s="24">
        <v>56</v>
      </c>
      <c r="C18" s="20"/>
      <c r="D18" s="24">
        <v>12</v>
      </c>
      <c r="E18" s="24">
        <v>54</v>
      </c>
      <c r="F18" s="20"/>
      <c r="G18" s="20"/>
      <c r="H18" s="20"/>
      <c r="I18" s="20"/>
      <c r="J18" s="20"/>
    </row>
    <row r="19" spans="1:10" x14ac:dyDescent="0.25">
      <c r="A19" s="24">
        <v>13</v>
      </c>
      <c r="B19" s="24">
        <v>137</v>
      </c>
      <c r="C19" s="20"/>
      <c r="D19" s="24">
        <v>13</v>
      </c>
      <c r="E19" s="24">
        <v>55</v>
      </c>
      <c r="F19" s="20"/>
      <c r="G19" s="20"/>
      <c r="H19" s="20"/>
      <c r="I19" s="20"/>
      <c r="J19" s="20"/>
    </row>
    <row r="20" spans="1:10" x14ac:dyDescent="0.25">
      <c r="A20" s="24">
        <v>14</v>
      </c>
      <c r="B20" s="116">
        <v>191</v>
      </c>
      <c r="C20" s="20"/>
      <c r="D20" s="24">
        <v>14</v>
      </c>
      <c r="E20" s="24">
        <v>213</v>
      </c>
      <c r="F20" s="20"/>
      <c r="G20" s="20"/>
      <c r="H20" s="20"/>
      <c r="I20" s="20"/>
      <c r="J20" s="20"/>
    </row>
    <row r="21" spans="1:10" x14ac:dyDescent="0.25">
      <c r="A21" s="24"/>
      <c r="B21" s="116"/>
      <c r="C21" s="20"/>
      <c r="D21" s="24"/>
      <c r="E21" s="116"/>
      <c r="F21" s="20"/>
      <c r="G21" s="20"/>
      <c r="H21" s="20"/>
      <c r="I21" s="20"/>
      <c r="J21" s="20"/>
    </row>
    <row r="22" spans="1:10" x14ac:dyDescent="0.25">
      <c r="A22" s="24" t="s">
        <v>252</v>
      </c>
      <c r="B22" s="116"/>
      <c r="C22" s="20"/>
      <c r="D22" s="24" t="s">
        <v>588</v>
      </c>
      <c r="E22" s="116"/>
      <c r="F22" s="20"/>
      <c r="G22" s="20"/>
      <c r="H22" s="20"/>
      <c r="I22" s="20"/>
      <c r="J22" s="20"/>
    </row>
    <row r="23" spans="1:10" x14ac:dyDescent="0.25">
      <c r="A23" s="24"/>
      <c r="B23" s="116"/>
      <c r="C23" s="20"/>
      <c r="D23" s="24"/>
      <c r="E23" s="116"/>
      <c r="F23" s="20"/>
      <c r="G23" s="20"/>
      <c r="H23" s="20"/>
      <c r="I23" s="20"/>
      <c r="J23" s="20"/>
    </row>
    <row r="24" spans="1:10" x14ac:dyDescent="0.25">
      <c r="A24" s="24">
        <v>1</v>
      </c>
      <c r="B24" s="24">
        <v>78</v>
      </c>
      <c r="C24" s="20"/>
      <c r="D24" s="24">
        <v>1</v>
      </c>
      <c r="E24" s="24">
        <v>123</v>
      </c>
      <c r="F24" s="20"/>
      <c r="G24" s="20"/>
      <c r="H24" s="20"/>
      <c r="I24" s="20"/>
      <c r="J24" s="20"/>
    </row>
    <row r="25" spans="1:10" x14ac:dyDescent="0.25">
      <c r="A25" s="24">
        <v>2</v>
      </c>
      <c r="B25" s="24">
        <v>87</v>
      </c>
      <c r="C25" s="20"/>
      <c r="D25" s="24">
        <v>2</v>
      </c>
      <c r="E25" s="24">
        <v>49</v>
      </c>
      <c r="F25" s="20"/>
      <c r="G25" s="20"/>
      <c r="H25" s="20"/>
      <c r="I25" s="20"/>
      <c r="J25" s="20"/>
    </row>
    <row r="26" spans="1:10" x14ac:dyDescent="0.25">
      <c r="A26" s="24">
        <v>3</v>
      </c>
      <c r="B26" s="24">
        <v>160</v>
      </c>
      <c r="C26" s="20"/>
      <c r="D26" s="24">
        <v>3</v>
      </c>
      <c r="E26" s="24">
        <v>227</v>
      </c>
      <c r="F26" s="20"/>
      <c r="G26" s="20"/>
      <c r="H26" s="20"/>
      <c r="I26" s="20"/>
      <c r="J26" s="20"/>
    </row>
    <row r="27" spans="1:10" x14ac:dyDescent="0.25">
      <c r="A27" s="24">
        <v>4</v>
      </c>
      <c r="B27" s="24">
        <v>176</v>
      </c>
      <c r="C27" s="20"/>
      <c r="D27" s="24">
        <v>4</v>
      </c>
      <c r="E27" s="24">
        <v>124</v>
      </c>
      <c r="F27" s="20"/>
      <c r="G27" s="20"/>
      <c r="H27" s="20"/>
      <c r="I27" s="20"/>
      <c r="J27" s="20"/>
    </row>
    <row r="28" spans="1:10" x14ac:dyDescent="0.25">
      <c r="A28" s="24">
        <v>5</v>
      </c>
      <c r="B28" s="24">
        <v>94</v>
      </c>
      <c r="C28" s="20"/>
      <c r="D28" s="24">
        <v>5</v>
      </c>
      <c r="E28" s="24">
        <v>182</v>
      </c>
      <c r="F28" s="20"/>
      <c r="G28" s="20"/>
      <c r="H28" s="20"/>
      <c r="I28" s="20"/>
      <c r="J28" s="20"/>
    </row>
    <row r="29" spans="1:10" x14ac:dyDescent="0.25">
      <c r="A29" s="24">
        <v>6</v>
      </c>
      <c r="B29" s="24">
        <v>206</v>
      </c>
      <c r="C29" s="20"/>
      <c r="D29" s="24">
        <v>6</v>
      </c>
      <c r="E29" s="24">
        <v>214</v>
      </c>
      <c r="F29" s="20"/>
      <c r="G29" s="20"/>
      <c r="H29" s="20"/>
      <c r="I29" s="20"/>
      <c r="J29" s="20"/>
    </row>
    <row r="30" spans="1:10" x14ac:dyDescent="0.25">
      <c r="A30" s="24">
        <v>7</v>
      </c>
      <c r="B30" s="24">
        <v>175</v>
      </c>
      <c r="C30" s="20"/>
      <c r="D30" s="24">
        <v>7</v>
      </c>
      <c r="E30" s="24">
        <v>221</v>
      </c>
      <c r="F30" s="20"/>
      <c r="G30" s="20"/>
      <c r="H30" s="20"/>
      <c r="I30" s="20"/>
      <c r="J30" s="20"/>
    </row>
    <row r="31" spans="1:10" x14ac:dyDescent="0.25">
      <c r="A31" s="24">
        <v>8</v>
      </c>
      <c r="B31" s="24">
        <v>77</v>
      </c>
      <c r="C31" s="20"/>
      <c r="D31" s="24">
        <v>8</v>
      </c>
      <c r="E31" s="24">
        <v>133</v>
      </c>
      <c r="F31" s="20"/>
      <c r="G31" s="20"/>
      <c r="H31" s="20"/>
      <c r="I31" s="20"/>
      <c r="J31" s="20"/>
    </row>
    <row r="32" spans="1:10" x14ac:dyDescent="0.25">
      <c r="A32" s="24">
        <v>9</v>
      </c>
      <c r="B32" s="24">
        <v>76</v>
      </c>
      <c r="C32" s="20"/>
      <c r="D32" s="24">
        <v>9</v>
      </c>
      <c r="E32" s="24">
        <v>48</v>
      </c>
      <c r="F32" s="20"/>
      <c r="G32" s="20"/>
      <c r="H32" s="20"/>
      <c r="I32" s="20"/>
      <c r="J32" s="20"/>
    </row>
    <row r="33" spans="1:10" x14ac:dyDescent="0.25">
      <c r="A33" s="24">
        <v>10</v>
      </c>
      <c r="B33" s="24">
        <v>108</v>
      </c>
      <c r="C33" s="20"/>
      <c r="D33" s="24">
        <v>10</v>
      </c>
      <c r="E33" s="24">
        <v>100</v>
      </c>
      <c r="F33" s="20"/>
      <c r="G33" s="20"/>
      <c r="H33" s="20"/>
      <c r="I33" s="20"/>
      <c r="J33" s="20"/>
    </row>
    <row r="34" spans="1:10" x14ac:dyDescent="0.25">
      <c r="A34" s="24">
        <v>11</v>
      </c>
      <c r="B34" s="24">
        <v>16</v>
      </c>
      <c r="C34" s="20"/>
      <c r="D34" s="24">
        <v>11</v>
      </c>
      <c r="E34" s="24">
        <v>150</v>
      </c>
      <c r="F34" s="20"/>
      <c r="G34" s="20"/>
      <c r="H34" s="20"/>
      <c r="I34" s="20"/>
      <c r="J34" s="20"/>
    </row>
    <row r="35" spans="1:10" x14ac:dyDescent="0.25">
      <c r="A35" s="24">
        <v>12</v>
      </c>
      <c r="B35" s="24">
        <v>179</v>
      </c>
      <c r="C35" s="20"/>
      <c r="D35" s="24">
        <v>12</v>
      </c>
      <c r="E35" s="24">
        <v>53</v>
      </c>
      <c r="F35" s="20"/>
      <c r="G35" s="20"/>
      <c r="H35" s="20"/>
      <c r="I35" s="20"/>
      <c r="J35" s="20"/>
    </row>
    <row r="36" spans="1:10" x14ac:dyDescent="0.25">
      <c r="A36" s="24">
        <v>13</v>
      </c>
      <c r="B36" s="24">
        <v>161</v>
      </c>
      <c r="C36" s="20"/>
      <c r="D36" s="24">
        <v>13</v>
      </c>
      <c r="E36" s="24">
        <v>131</v>
      </c>
      <c r="F36" s="20"/>
      <c r="G36" s="20"/>
      <c r="H36" s="20"/>
      <c r="I36" s="20"/>
      <c r="J36" s="20"/>
    </row>
    <row r="37" spans="1:10" x14ac:dyDescent="0.25">
      <c r="A37" s="24">
        <v>14</v>
      </c>
      <c r="B37" s="24">
        <v>65</v>
      </c>
      <c r="C37" s="20"/>
      <c r="D37" s="24">
        <v>14</v>
      </c>
      <c r="E37" s="24">
        <v>115</v>
      </c>
      <c r="F37" s="20"/>
      <c r="G37" s="20"/>
      <c r="H37" s="20"/>
      <c r="I37" s="20"/>
      <c r="J37" s="20"/>
    </row>
    <row r="38" spans="1:10" x14ac:dyDescent="0.25">
      <c r="A38" s="24"/>
      <c r="B38" s="116"/>
      <c r="C38" s="20"/>
      <c r="D38" s="24"/>
      <c r="E38" s="116"/>
      <c r="F38" s="20"/>
      <c r="G38" s="20"/>
      <c r="H38" s="20"/>
      <c r="I38" s="20"/>
      <c r="J38" s="20"/>
    </row>
    <row r="39" spans="1:10" x14ac:dyDescent="0.25">
      <c r="A39" s="24" t="s">
        <v>251</v>
      </c>
      <c r="B39" s="116"/>
      <c r="C39" s="20"/>
      <c r="D39" s="24" t="s">
        <v>257</v>
      </c>
      <c r="E39" s="116"/>
      <c r="F39" s="20"/>
      <c r="G39" s="20"/>
      <c r="H39" s="20"/>
      <c r="I39" s="20"/>
      <c r="J39" s="20"/>
    </row>
    <row r="40" spans="1:10" x14ac:dyDescent="0.25">
      <c r="A40" s="24"/>
      <c r="B40" s="116"/>
      <c r="C40" s="20"/>
      <c r="D40" s="24"/>
      <c r="E40" s="116"/>
      <c r="F40" s="20"/>
      <c r="G40" s="20"/>
      <c r="H40" s="20"/>
      <c r="I40" s="20"/>
      <c r="J40" s="20"/>
    </row>
    <row r="41" spans="1:10" x14ac:dyDescent="0.25">
      <c r="A41" s="24">
        <v>1</v>
      </c>
      <c r="B41" s="24">
        <v>80</v>
      </c>
      <c r="C41" s="20"/>
      <c r="D41" s="24">
        <v>1</v>
      </c>
      <c r="E41" s="24">
        <v>59</v>
      </c>
      <c r="F41" s="20"/>
      <c r="G41" s="20"/>
      <c r="H41" s="20"/>
      <c r="I41" s="20"/>
      <c r="J41" s="20"/>
    </row>
    <row r="42" spans="1:10" x14ac:dyDescent="0.25">
      <c r="A42" s="24">
        <v>2</v>
      </c>
      <c r="B42" s="24">
        <v>222</v>
      </c>
      <c r="C42" s="20"/>
      <c r="D42" s="24">
        <v>2</v>
      </c>
      <c r="E42" s="24">
        <v>30</v>
      </c>
      <c r="F42" s="20"/>
      <c r="G42" s="20"/>
      <c r="H42" s="20"/>
      <c r="I42" s="20"/>
      <c r="J42" s="20"/>
    </row>
    <row r="43" spans="1:10" x14ac:dyDescent="0.25">
      <c r="A43" s="24">
        <v>3</v>
      </c>
      <c r="B43" s="24">
        <v>79</v>
      </c>
      <c r="C43" s="20"/>
      <c r="D43" s="24">
        <v>3</v>
      </c>
      <c r="E43" s="24">
        <v>4</v>
      </c>
      <c r="F43" s="20"/>
      <c r="G43" s="20"/>
      <c r="H43" s="20"/>
      <c r="I43" s="20"/>
      <c r="J43" s="20"/>
    </row>
    <row r="44" spans="1:10" x14ac:dyDescent="0.25">
      <c r="A44" s="24">
        <v>4</v>
      </c>
      <c r="B44" s="24">
        <v>20</v>
      </c>
      <c r="C44" s="20"/>
      <c r="D44" s="24">
        <v>4</v>
      </c>
      <c r="E44" s="24">
        <v>189</v>
      </c>
      <c r="F44" s="20"/>
      <c r="G44" s="20"/>
      <c r="H44" s="20"/>
      <c r="I44" s="20"/>
      <c r="J44" s="20"/>
    </row>
    <row r="45" spans="1:10" x14ac:dyDescent="0.25">
      <c r="A45" s="24">
        <v>5</v>
      </c>
      <c r="B45" s="24">
        <v>7</v>
      </c>
      <c r="C45" s="20"/>
      <c r="D45" s="24">
        <v>5</v>
      </c>
      <c r="E45" s="24">
        <v>63</v>
      </c>
      <c r="F45" s="20"/>
      <c r="G45" s="20"/>
      <c r="H45" s="20"/>
      <c r="I45" s="20"/>
      <c r="J45" s="20"/>
    </row>
    <row r="46" spans="1:10" x14ac:dyDescent="0.25">
      <c r="A46" s="24">
        <v>6</v>
      </c>
      <c r="B46" s="24">
        <v>200</v>
      </c>
      <c r="C46" s="20"/>
      <c r="D46" s="24">
        <v>6</v>
      </c>
      <c r="E46" s="24">
        <v>148</v>
      </c>
      <c r="F46" s="20"/>
      <c r="G46" s="20"/>
      <c r="H46" s="20"/>
      <c r="I46" s="20"/>
      <c r="J46" s="20"/>
    </row>
    <row r="47" spans="1:10" x14ac:dyDescent="0.25">
      <c r="A47" s="24">
        <v>7</v>
      </c>
      <c r="B47" s="24">
        <v>24</v>
      </c>
      <c r="C47" s="20"/>
      <c r="D47" s="24">
        <v>7</v>
      </c>
      <c r="E47" s="24">
        <v>73</v>
      </c>
      <c r="F47" s="20"/>
      <c r="G47" s="20"/>
      <c r="H47" s="20"/>
      <c r="I47" s="20"/>
      <c r="J47" s="20"/>
    </row>
    <row r="48" spans="1:10" x14ac:dyDescent="0.25">
      <c r="A48" s="24">
        <v>8</v>
      </c>
      <c r="B48" s="24">
        <v>207</v>
      </c>
      <c r="C48" s="20"/>
      <c r="D48" s="24">
        <v>8</v>
      </c>
      <c r="E48" s="24">
        <v>132</v>
      </c>
      <c r="F48" s="20"/>
      <c r="G48" s="20"/>
      <c r="H48" s="20"/>
      <c r="I48" s="20"/>
      <c r="J48" s="20"/>
    </row>
    <row r="49" spans="1:10" x14ac:dyDescent="0.25">
      <c r="A49" s="24">
        <v>9</v>
      </c>
      <c r="B49" s="24">
        <v>185</v>
      </c>
      <c r="C49" s="20"/>
      <c r="D49" s="24">
        <v>9</v>
      </c>
      <c r="E49" s="24">
        <v>66</v>
      </c>
      <c r="F49" s="20"/>
      <c r="G49" s="20"/>
      <c r="H49" s="20"/>
      <c r="I49" s="20"/>
      <c r="J49" s="20"/>
    </row>
    <row r="50" spans="1:10" x14ac:dyDescent="0.25">
      <c r="A50" s="24">
        <v>10</v>
      </c>
      <c r="B50" s="24">
        <v>195</v>
      </c>
      <c r="C50" s="20"/>
      <c r="D50" s="24">
        <v>10</v>
      </c>
      <c r="E50" s="24">
        <v>57</v>
      </c>
      <c r="F50" s="20"/>
      <c r="G50" s="20"/>
      <c r="H50" s="20"/>
      <c r="I50" s="20"/>
      <c r="J50" s="20"/>
    </row>
    <row r="51" spans="1:10" x14ac:dyDescent="0.25">
      <c r="A51" s="24">
        <v>11</v>
      </c>
      <c r="B51" s="24">
        <v>22</v>
      </c>
      <c r="C51" s="20"/>
      <c r="D51" s="24">
        <v>11</v>
      </c>
      <c r="E51" s="24">
        <v>29</v>
      </c>
      <c r="F51" s="20"/>
      <c r="G51" s="20"/>
      <c r="H51" s="20"/>
      <c r="I51" s="20"/>
      <c r="J51" s="20"/>
    </row>
    <row r="52" spans="1:10" x14ac:dyDescent="0.25">
      <c r="A52" s="24">
        <v>12</v>
      </c>
      <c r="B52" s="24">
        <v>11</v>
      </c>
      <c r="C52" s="20"/>
      <c r="D52" s="24">
        <v>12</v>
      </c>
      <c r="E52" s="24">
        <v>23</v>
      </c>
      <c r="F52" s="20"/>
      <c r="G52" s="20"/>
      <c r="H52" s="20"/>
      <c r="I52" s="20"/>
      <c r="J52" s="20"/>
    </row>
    <row r="53" spans="1:10" x14ac:dyDescent="0.25">
      <c r="A53" s="24">
        <v>13</v>
      </c>
      <c r="B53" s="24">
        <v>201</v>
      </c>
      <c r="C53" s="20"/>
      <c r="D53" s="24">
        <v>13</v>
      </c>
      <c r="E53" s="24">
        <v>85</v>
      </c>
      <c r="F53" s="20"/>
      <c r="G53" s="20"/>
      <c r="H53" s="20"/>
      <c r="I53" s="20"/>
      <c r="J53" s="20"/>
    </row>
    <row r="54" spans="1:10" x14ac:dyDescent="0.25">
      <c r="A54" s="24">
        <v>14</v>
      </c>
      <c r="B54" s="24">
        <v>3</v>
      </c>
      <c r="C54" s="20"/>
      <c r="D54" s="24">
        <v>14</v>
      </c>
      <c r="E54" s="24">
        <v>210</v>
      </c>
      <c r="F54" s="20"/>
      <c r="G54" s="20"/>
      <c r="H54" s="20"/>
      <c r="I54" s="20"/>
      <c r="J54" s="20"/>
    </row>
    <row r="55" spans="1:10" x14ac:dyDescent="0.25">
      <c r="A55" s="24"/>
      <c r="B55" s="116"/>
      <c r="C55" s="20"/>
      <c r="D55" s="24"/>
      <c r="E55" s="116"/>
      <c r="F55" s="20"/>
      <c r="G55" s="20"/>
      <c r="H55" s="20"/>
      <c r="I55" s="20"/>
      <c r="J55" s="20"/>
    </row>
    <row r="56" spans="1:10" x14ac:dyDescent="0.25">
      <c r="A56" s="24" t="s">
        <v>250</v>
      </c>
      <c r="B56" s="116"/>
      <c r="C56" s="20"/>
      <c r="D56" s="24" t="s">
        <v>256</v>
      </c>
      <c r="E56" s="116"/>
      <c r="F56" s="20"/>
      <c r="G56" s="20"/>
      <c r="H56" s="20"/>
      <c r="I56" s="20"/>
      <c r="J56" s="20"/>
    </row>
    <row r="57" spans="1:10" x14ac:dyDescent="0.25">
      <c r="A57" s="24"/>
      <c r="B57" s="116"/>
      <c r="C57" s="20"/>
      <c r="D57" s="24"/>
      <c r="E57" s="116"/>
      <c r="F57" s="20"/>
      <c r="G57" s="20"/>
      <c r="H57" s="20"/>
      <c r="I57" s="20"/>
      <c r="J57" s="20"/>
    </row>
    <row r="58" spans="1:10" x14ac:dyDescent="0.25">
      <c r="A58" s="24">
        <v>1</v>
      </c>
      <c r="B58" s="24">
        <v>101</v>
      </c>
      <c r="C58" s="20"/>
      <c r="D58" s="24">
        <v>1</v>
      </c>
      <c r="E58" s="24">
        <v>62</v>
      </c>
      <c r="F58" s="20"/>
      <c r="G58" s="20"/>
      <c r="H58" s="20"/>
      <c r="I58" s="20"/>
      <c r="J58" s="20"/>
    </row>
    <row r="59" spans="1:10" x14ac:dyDescent="0.25">
      <c r="A59" s="24">
        <v>2</v>
      </c>
      <c r="B59" s="24">
        <v>170</v>
      </c>
      <c r="C59" s="20"/>
      <c r="D59" s="24">
        <v>2</v>
      </c>
      <c r="E59" s="24">
        <v>127</v>
      </c>
      <c r="F59" s="20"/>
      <c r="G59" s="20"/>
      <c r="H59" s="20"/>
      <c r="I59" s="20"/>
      <c r="J59" s="20"/>
    </row>
    <row r="60" spans="1:10" x14ac:dyDescent="0.25">
      <c r="A60" s="24">
        <v>3</v>
      </c>
      <c r="B60" s="24">
        <v>136</v>
      </c>
      <c r="C60" s="20"/>
      <c r="D60" s="24">
        <v>3</v>
      </c>
      <c r="E60" s="24">
        <v>129</v>
      </c>
      <c r="F60" s="20"/>
      <c r="G60" s="20"/>
      <c r="H60" s="20"/>
      <c r="I60" s="20"/>
      <c r="J60" s="20"/>
    </row>
    <row r="61" spans="1:10" x14ac:dyDescent="0.25">
      <c r="A61" s="24">
        <v>4</v>
      </c>
      <c r="B61" s="24">
        <v>164</v>
      </c>
      <c r="C61" s="20"/>
      <c r="D61" s="24">
        <v>4</v>
      </c>
      <c r="E61" s="24">
        <v>116</v>
      </c>
      <c r="F61" s="20"/>
      <c r="G61" s="20"/>
      <c r="H61" s="20"/>
      <c r="I61" s="20"/>
      <c r="J61" s="20"/>
    </row>
    <row r="62" spans="1:10" x14ac:dyDescent="0.25">
      <c r="A62" s="24">
        <v>5</v>
      </c>
      <c r="B62" s="24">
        <v>205</v>
      </c>
      <c r="C62" s="20"/>
      <c r="D62" s="24">
        <v>5</v>
      </c>
      <c r="E62" s="24">
        <v>118</v>
      </c>
      <c r="F62" s="20"/>
      <c r="G62" s="20"/>
      <c r="H62" s="20"/>
      <c r="I62" s="20"/>
      <c r="J62" s="20"/>
    </row>
    <row r="63" spans="1:10" x14ac:dyDescent="0.25">
      <c r="A63" s="24">
        <v>6</v>
      </c>
      <c r="B63" s="24">
        <v>178</v>
      </c>
      <c r="C63" s="20"/>
      <c r="D63" s="24">
        <v>6</v>
      </c>
      <c r="E63" s="24">
        <v>154</v>
      </c>
      <c r="F63" s="20"/>
      <c r="G63" s="20"/>
      <c r="H63" s="20"/>
      <c r="I63" s="20"/>
      <c r="J63" s="20"/>
    </row>
    <row r="64" spans="1:10" x14ac:dyDescent="0.25">
      <c r="A64" s="24">
        <v>7</v>
      </c>
      <c r="B64" s="24">
        <v>25</v>
      </c>
      <c r="C64" s="20"/>
      <c r="D64" s="24">
        <v>7</v>
      </c>
      <c r="E64" s="24">
        <v>122</v>
      </c>
      <c r="F64" s="20"/>
      <c r="G64" s="20"/>
      <c r="H64" s="20"/>
      <c r="I64" s="20"/>
      <c r="J64" s="20"/>
    </row>
    <row r="65" spans="1:10" x14ac:dyDescent="0.25">
      <c r="A65" s="24">
        <v>8</v>
      </c>
      <c r="B65" s="24">
        <v>219</v>
      </c>
      <c r="C65" s="20"/>
      <c r="D65" s="24">
        <v>8</v>
      </c>
      <c r="E65" s="24">
        <v>52</v>
      </c>
      <c r="F65" s="20"/>
      <c r="G65" s="20"/>
      <c r="H65" s="20"/>
      <c r="I65" s="20"/>
      <c r="J65" s="20"/>
    </row>
    <row r="66" spans="1:10" x14ac:dyDescent="0.25">
      <c r="A66" s="24">
        <v>9</v>
      </c>
      <c r="B66" s="24">
        <v>177</v>
      </c>
      <c r="C66" s="20"/>
      <c r="D66" s="24">
        <v>9</v>
      </c>
      <c r="E66" s="24">
        <v>113</v>
      </c>
      <c r="F66" s="20"/>
      <c r="G66" s="20"/>
      <c r="H66" s="20"/>
      <c r="I66" s="20"/>
      <c r="J66" s="20"/>
    </row>
    <row r="67" spans="1:10" x14ac:dyDescent="0.25">
      <c r="A67" s="24">
        <v>10</v>
      </c>
      <c r="B67" s="24">
        <v>14</v>
      </c>
      <c r="C67" s="20"/>
      <c r="D67" s="24">
        <v>10</v>
      </c>
      <c r="E67" s="24">
        <v>126</v>
      </c>
      <c r="F67" s="20"/>
      <c r="G67" s="20"/>
      <c r="H67" s="20"/>
      <c r="I67" s="20"/>
      <c r="J67" s="20"/>
    </row>
    <row r="68" spans="1:10" x14ac:dyDescent="0.25">
      <c r="A68" s="24">
        <v>11</v>
      </c>
      <c r="B68" s="24">
        <v>18</v>
      </c>
      <c r="C68" s="20"/>
      <c r="D68" s="24">
        <v>11</v>
      </c>
      <c r="E68" s="24">
        <v>217</v>
      </c>
      <c r="F68" s="20"/>
      <c r="G68" s="20"/>
      <c r="H68" s="20"/>
      <c r="I68" s="20"/>
      <c r="J68" s="20"/>
    </row>
    <row r="69" spans="1:10" x14ac:dyDescent="0.25">
      <c r="A69" s="24">
        <v>12</v>
      </c>
      <c r="B69" s="24">
        <v>60</v>
      </c>
      <c r="C69" s="20"/>
      <c r="D69" s="24">
        <v>12</v>
      </c>
      <c r="E69" s="24">
        <v>142</v>
      </c>
      <c r="F69" s="20"/>
      <c r="G69" s="20"/>
      <c r="H69" s="20"/>
      <c r="I69" s="20"/>
      <c r="J69" s="20"/>
    </row>
    <row r="70" spans="1:10" x14ac:dyDescent="0.25">
      <c r="A70" s="24">
        <v>13</v>
      </c>
      <c r="B70" s="24">
        <v>172</v>
      </c>
      <c r="C70" s="20"/>
      <c r="D70" s="24">
        <v>13</v>
      </c>
      <c r="E70" s="24">
        <v>51</v>
      </c>
      <c r="F70" s="20"/>
      <c r="G70" s="20"/>
      <c r="H70" s="20"/>
      <c r="I70" s="20"/>
      <c r="J70" s="20"/>
    </row>
    <row r="71" spans="1:10" x14ac:dyDescent="0.25">
      <c r="A71" s="24">
        <v>14</v>
      </c>
      <c r="B71" s="24">
        <v>211</v>
      </c>
      <c r="C71" s="20"/>
      <c r="D71" s="24">
        <v>14</v>
      </c>
      <c r="E71" s="24">
        <v>109</v>
      </c>
      <c r="F71" s="20"/>
      <c r="G71" s="20"/>
      <c r="H71" s="20"/>
      <c r="I71" s="20"/>
      <c r="J71" s="20"/>
    </row>
    <row r="72" spans="1:10" x14ac:dyDescent="0.25">
      <c r="A72" s="24"/>
      <c r="B72" s="116"/>
      <c r="C72" s="20"/>
      <c r="D72" s="24"/>
      <c r="E72" s="116"/>
      <c r="F72" s="20"/>
      <c r="G72" s="20"/>
      <c r="H72" s="20"/>
      <c r="I72" s="20"/>
      <c r="J72" s="20"/>
    </row>
    <row r="73" spans="1:10" x14ac:dyDescent="0.25">
      <c r="A73" s="24" t="s">
        <v>249</v>
      </c>
      <c r="B73" s="116"/>
      <c r="C73" s="20"/>
      <c r="D73" s="24" t="s">
        <v>255</v>
      </c>
      <c r="E73" s="116"/>
      <c r="F73" s="20"/>
      <c r="G73" s="20"/>
      <c r="H73" s="20"/>
      <c r="I73" s="20"/>
      <c r="J73" s="20"/>
    </row>
    <row r="74" spans="1:10" x14ac:dyDescent="0.25">
      <c r="A74" s="24"/>
      <c r="B74" s="116"/>
      <c r="C74" s="20"/>
      <c r="D74" s="24"/>
      <c r="E74" s="116"/>
      <c r="F74" s="20"/>
      <c r="G74" s="20"/>
      <c r="H74" s="20"/>
      <c r="I74" s="20"/>
      <c r="J74" s="20"/>
    </row>
    <row r="75" spans="1:10" x14ac:dyDescent="0.25">
      <c r="A75" s="24">
        <v>1</v>
      </c>
      <c r="B75" s="24">
        <v>81</v>
      </c>
      <c r="C75" s="20"/>
      <c r="D75" s="24">
        <v>1</v>
      </c>
      <c r="E75" s="24">
        <v>215</v>
      </c>
      <c r="F75" s="20"/>
      <c r="G75" s="20"/>
      <c r="H75" s="20"/>
      <c r="I75" s="20"/>
      <c r="J75" s="20"/>
    </row>
    <row r="76" spans="1:10" x14ac:dyDescent="0.25">
      <c r="A76" s="24">
        <v>2</v>
      </c>
      <c r="B76" s="24">
        <v>134</v>
      </c>
      <c r="C76" s="20"/>
      <c r="D76" s="24">
        <v>2</v>
      </c>
      <c r="E76" s="24">
        <v>12</v>
      </c>
      <c r="F76" s="20"/>
      <c r="G76" s="20"/>
      <c r="H76" s="20"/>
      <c r="I76" s="20"/>
      <c r="J76" s="20"/>
    </row>
    <row r="77" spans="1:10" x14ac:dyDescent="0.25">
      <c r="A77" s="24">
        <v>3</v>
      </c>
      <c r="B77" s="24">
        <v>93</v>
      </c>
      <c r="C77" s="20"/>
      <c r="D77" s="24">
        <v>3</v>
      </c>
      <c r="E77" s="24">
        <v>145</v>
      </c>
      <c r="F77" s="20"/>
      <c r="G77" s="20"/>
      <c r="H77" s="20"/>
      <c r="I77" s="20"/>
      <c r="J77" s="20"/>
    </row>
    <row r="78" spans="1:10" x14ac:dyDescent="0.25">
      <c r="A78" s="24">
        <v>4</v>
      </c>
      <c r="B78" s="24">
        <v>190</v>
      </c>
      <c r="C78" s="20"/>
      <c r="D78" s="24">
        <v>4</v>
      </c>
      <c r="E78" s="24">
        <v>112</v>
      </c>
      <c r="F78" s="20"/>
      <c r="G78" s="20"/>
      <c r="H78" s="20"/>
      <c r="I78" s="20"/>
      <c r="J78" s="20"/>
    </row>
    <row r="79" spans="1:10" x14ac:dyDescent="0.25">
      <c r="A79" s="24">
        <v>5</v>
      </c>
      <c r="B79" s="24">
        <v>140</v>
      </c>
      <c r="C79" s="20"/>
      <c r="D79" s="24">
        <v>5</v>
      </c>
      <c r="E79" s="24">
        <v>121</v>
      </c>
      <c r="F79" s="20"/>
      <c r="G79" s="20"/>
      <c r="H79" s="20"/>
      <c r="I79" s="20"/>
      <c r="J79" s="20"/>
    </row>
    <row r="80" spans="1:10" x14ac:dyDescent="0.25">
      <c r="A80" s="24">
        <v>6</v>
      </c>
      <c r="B80" s="24">
        <v>61</v>
      </c>
      <c r="C80" s="20"/>
      <c r="D80" s="24">
        <v>6</v>
      </c>
      <c r="E80" s="24">
        <v>120</v>
      </c>
      <c r="F80" s="20"/>
      <c r="G80" s="20"/>
      <c r="H80" s="20"/>
      <c r="I80" s="20"/>
      <c r="J80" s="20"/>
    </row>
    <row r="81" spans="1:10" x14ac:dyDescent="0.25">
      <c r="A81" s="24">
        <v>7</v>
      </c>
      <c r="B81" s="24">
        <v>203</v>
      </c>
      <c r="C81" s="20"/>
      <c r="D81" s="24">
        <v>7</v>
      </c>
      <c r="E81" s="24">
        <v>167</v>
      </c>
      <c r="F81" s="20"/>
      <c r="G81" s="20"/>
      <c r="H81" s="20"/>
      <c r="I81" s="20"/>
      <c r="J81" s="20"/>
    </row>
    <row r="82" spans="1:10" x14ac:dyDescent="0.25">
      <c r="A82" s="24">
        <v>8</v>
      </c>
      <c r="B82" s="24">
        <v>84</v>
      </c>
      <c r="C82" s="20"/>
      <c r="D82" s="24">
        <v>8</v>
      </c>
      <c r="E82" s="24">
        <v>223</v>
      </c>
      <c r="F82" s="20"/>
      <c r="G82" s="20"/>
      <c r="H82" s="20"/>
      <c r="I82" s="20"/>
      <c r="J82" s="20"/>
    </row>
    <row r="83" spans="1:10" x14ac:dyDescent="0.25">
      <c r="A83" s="24">
        <v>9</v>
      </c>
      <c r="B83" s="24">
        <v>6</v>
      </c>
      <c r="C83" s="20"/>
      <c r="D83" s="24">
        <v>9</v>
      </c>
      <c r="E83" s="24">
        <v>220</v>
      </c>
      <c r="F83" s="20"/>
      <c r="G83" s="20"/>
      <c r="H83" s="20"/>
      <c r="I83" s="20"/>
      <c r="J83" s="20"/>
    </row>
    <row r="84" spans="1:10" x14ac:dyDescent="0.25">
      <c r="A84" s="24">
        <v>10</v>
      </c>
      <c r="B84" s="24">
        <v>89</v>
      </c>
      <c r="C84" s="20"/>
      <c r="D84" s="24">
        <v>10</v>
      </c>
      <c r="E84" s="24">
        <v>187</v>
      </c>
      <c r="F84" s="20"/>
      <c r="G84" s="20"/>
      <c r="H84" s="20"/>
      <c r="I84" s="20"/>
      <c r="J84" s="20"/>
    </row>
    <row r="85" spans="1:10" x14ac:dyDescent="0.25">
      <c r="A85" s="24">
        <v>11</v>
      </c>
      <c r="B85" s="24">
        <v>95</v>
      </c>
      <c r="C85" s="20"/>
      <c r="D85" s="24">
        <v>11</v>
      </c>
      <c r="E85" s="24">
        <v>153</v>
      </c>
      <c r="F85" s="20"/>
      <c r="G85" s="20"/>
      <c r="H85" s="20"/>
      <c r="I85" s="20"/>
      <c r="J85" s="20"/>
    </row>
    <row r="86" spans="1:10" x14ac:dyDescent="0.25">
      <c r="A86" s="24">
        <v>12</v>
      </c>
      <c r="B86" s="24">
        <v>42</v>
      </c>
      <c r="C86" s="20"/>
      <c r="D86" s="24">
        <v>12</v>
      </c>
      <c r="E86" s="24">
        <v>216</v>
      </c>
      <c r="F86" s="20"/>
      <c r="G86" s="20"/>
      <c r="H86" s="20"/>
      <c r="I86" s="20"/>
      <c r="J86" s="20"/>
    </row>
    <row r="87" spans="1:10" x14ac:dyDescent="0.25">
      <c r="A87" s="24">
        <v>13</v>
      </c>
      <c r="B87" s="24">
        <v>143</v>
      </c>
      <c r="C87" s="20"/>
      <c r="D87" s="24">
        <v>13</v>
      </c>
      <c r="E87" s="24">
        <v>117</v>
      </c>
      <c r="F87" s="20"/>
      <c r="G87" s="20"/>
      <c r="H87" s="20"/>
      <c r="I87" s="20"/>
      <c r="J87" s="20"/>
    </row>
    <row r="88" spans="1:10" x14ac:dyDescent="0.25">
      <c r="A88" s="24">
        <v>14</v>
      </c>
      <c r="B88" s="24">
        <v>64</v>
      </c>
      <c r="C88" s="20"/>
      <c r="D88" s="24">
        <v>14</v>
      </c>
      <c r="E88" s="24">
        <v>156</v>
      </c>
      <c r="F88" s="20"/>
      <c r="G88" s="20"/>
      <c r="H88" s="20"/>
      <c r="I88" s="20"/>
      <c r="J88" s="20"/>
    </row>
    <row r="89" spans="1:10" x14ac:dyDescent="0.25">
      <c r="A89" s="24"/>
      <c r="B89" s="116"/>
      <c r="C89" s="20"/>
      <c r="D89" s="24"/>
      <c r="E89" s="116"/>
      <c r="F89" s="20"/>
      <c r="G89" s="20"/>
      <c r="H89" s="20"/>
      <c r="I89" s="20"/>
      <c r="J89" s="20"/>
    </row>
    <row r="90" spans="1:10" x14ac:dyDescent="0.25">
      <c r="A90" s="24" t="s">
        <v>589</v>
      </c>
      <c r="B90" s="116"/>
      <c r="C90" s="20"/>
      <c r="D90" s="24" t="s">
        <v>254</v>
      </c>
      <c r="E90" s="116"/>
      <c r="F90" s="20"/>
      <c r="G90" s="20"/>
      <c r="H90" s="20"/>
      <c r="I90" s="20"/>
      <c r="J90" s="20"/>
    </row>
    <row r="91" spans="1:10" x14ac:dyDescent="0.25">
      <c r="A91" s="24"/>
      <c r="B91" s="116"/>
      <c r="C91" s="20"/>
      <c r="D91" s="24"/>
      <c r="E91" s="116"/>
      <c r="F91" s="20"/>
      <c r="G91" s="20"/>
      <c r="H91" s="20"/>
      <c r="I91" s="20"/>
      <c r="J91" s="20"/>
    </row>
    <row r="92" spans="1:10" x14ac:dyDescent="0.25">
      <c r="A92" s="24">
        <v>1</v>
      </c>
      <c r="B92" s="24">
        <v>192</v>
      </c>
      <c r="C92" s="20"/>
      <c r="D92" s="24">
        <v>1</v>
      </c>
      <c r="E92" s="24">
        <v>28</v>
      </c>
      <c r="F92" s="20"/>
      <c r="G92" s="20"/>
      <c r="H92" s="20"/>
      <c r="I92" s="20"/>
      <c r="J92" s="20"/>
    </row>
    <row r="93" spans="1:10" x14ac:dyDescent="0.25">
      <c r="A93" s="24">
        <v>2</v>
      </c>
      <c r="B93" s="24">
        <v>188</v>
      </c>
      <c r="C93" s="20"/>
      <c r="D93" s="24">
        <v>2</v>
      </c>
      <c r="E93" s="24">
        <v>70</v>
      </c>
      <c r="F93" s="20"/>
      <c r="G93" s="20"/>
      <c r="H93" s="20"/>
      <c r="I93" s="20"/>
      <c r="J93" s="20"/>
    </row>
    <row r="94" spans="1:10" x14ac:dyDescent="0.25">
      <c r="A94" s="24">
        <v>3</v>
      </c>
      <c r="B94" s="24">
        <v>31</v>
      </c>
      <c r="C94" s="20"/>
      <c r="D94" s="24">
        <v>3</v>
      </c>
      <c r="E94" s="24">
        <v>83</v>
      </c>
      <c r="F94" s="20"/>
      <c r="G94" s="20"/>
      <c r="H94" s="20"/>
      <c r="I94" s="20"/>
      <c r="J94" s="20"/>
    </row>
    <row r="95" spans="1:10" x14ac:dyDescent="0.25">
      <c r="A95" s="24">
        <v>4</v>
      </c>
      <c r="B95" s="24">
        <v>9</v>
      </c>
      <c r="C95" s="20"/>
      <c r="D95" s="24">
        <v>4</v>
      </c>
      <c r="E95" s="24">
        <v>8</v>
      </c>
      <c r="F95" s="20"/>
      <c r="G95" s="20"/>
      <c r="H95" s="20"/>
      <c r="I95" s="20"/>
      <c r="J95" s="20"/>
    </row>
    <row r="96" spans="1:10" x14ac:dyDescent="0.25">
      <c r="A96" s="24">
        <v>5</v>
      </c>
      <c r="B96" s="24">
        <v>139</v>
      </c>
      <c r="C96" s="20"/>
      <c r="D96" s="24">
        <v>5</v>
      </c>
      <c r="E96" s="24">
        <v>82</v>
      </c>
      <c r="F96" s="20"/>
      <c r="G96" s="20"/>
      <c r="H96" s="20"/>
      <c r="I96" s="20"/>
      <c r="J96" s="20"/>
    </row>
    <row r="97" spans="1:10" x14ac:dyDescent="0.25">
      <c r="A97" s="24">
        <v>6</v>
      </c>
      <c r="B97" s="24">
        <v>197</v>
      </c>
      <c r="C97" s="20"/>
      <c r="D97" s="24">
        <v>6</v>
      </c>
      <c r="E97" s="24">
        <v>169</v>
      </c>
      <c r="F97" s="20"/>
      <c r="G97" s="20"/>
      <c r="H97" s="20"/>
      <c r="I97" s="20"/>
      <c r="J97" s="20"/>
    </row>
    <row r="98" spans="1:10" x14ac:dyDescent="0.25">
      <c r="A98" s="24">
        <v>7</v>
      </c>
      <c r="B98" s="24">
        <v>212</v>
      </c>
      <c r="C98" s="20"/>
      <c r="D98" s="24">
        <v>7</v>
      </c>
      <c r="E98" s="24">
        <v>149</v>
      </c>
      <c r="F98" s="20"/>
      <c r="G98" s="20"/>
      <c r="H98" s="20"/>
      <c r="I98" s="20"/>
      <c r="J98" s="20"/>
    </row>
    <row r="99" spans="1:10" x14ac:dyDescent="0.25">
      <c r="A99" s="24">
        <v>8</v>
      </c>
      <c r="B99" s="24">
        <v>68</v>
      </c>
      <c r="C99" s="20"/>
      <c r="D99" s="24">
        <v>8</v>
      </c>
      <c r="E99" s="24">
        <v>26</v>
      </c>
      <c r="F99" s="20"/>
      <c r="G99" s="20"/>
      <c r="H99" s="20"/>
      <c r="I99" s="20"/>
      <c r="J99" s="20"/>
    </row>
    <row r="100" spans="1:10" x14ac:dyDescent="0.25">
      <c r="A100" s="24">
        <v>9</v>
      </c>
      <c r="B100" s="24">
        <v>193</v>
      </c>
      <c r="C100" s="20"/>
      <c r="D100" s="24">
        <v>9</v>
      </c>
      <c r="E100" s="24">
        <v>130</v>
      </c>
      <c r="F100" s="20"/>
      <c r="G100" s="20"/>
      <c r="H100" s="20"/>
      <c r="I100" s="20"/>
      <c r="J100" s="20"/>
    </row>
    <row r="101" spans="1:10" x14ac:dyDescent="0.25">
      <c r="A101" s="24">
        <v>10</v>
      </c>
      <c r="B101" s="24">
        <v>35</v>
      </c>
      <c r="C101" s="20"/>
      <c r="D101" s="24">
        <v>10</v>
      </c>
      <c r="E101" s="24">
        <v>146</v>
      </c>
      <c r="F101" s="20"/>
      <c r="G101" s="20"/>
      <c r="H101" s="20"/>
      <c r="I101" s="20"/>
      <c r="J101" s="20"/>
    </row>
    <row r="102" spans="1:10" x14ac:dyDescent="0.25">
      <c r="A102" s="24">
        <v>11</v>
      </c>
      <c r="B102" s="24">
        <v>157</v>
      </c>
      <c r="C102" s="20"/>
      <c r="D102" s="24">
        <v>11</v>
      </c>
      <c r="E102" s="24">
        <v>39</v>
      </c>
      <c r="F102" s="20"/>
      <c r="G102" s="20"/>
      <c r="H102" s="20"/>
      <c r="I102" s="20"/>
      <c r="J102" s="20"/>
    </row>
    <row r="103" spans="1:10" x14ac:dyDescent="0.25">
      <c r="A103" s="24">
        <v>12</v>
      </c>
      <c r="B103" s="24">
        <v>119</v>
      </c>
      <c r="C103" s="20"/>
      <c r="D103" s="24">
        <v>12</v>
      </c>
      <c r="E103" s="24">
        <v>74</v>
      </c>
      <c r="F103" s="20"/>
      <c r="G103" s="20"/>
      <c r="H103" s="20"/>
      <c r="I103" s="20"/>
      <c r="J103" s="20"/>
    </row>
    <row r="104" spans="1:10" x14ac:dyDescent="0.25">
      <c r="A104" s="24">
        <v>13</v>
      </c>
      <c r="B104" s="24">
        <v>155</v>
      </c>
      <c r="C104" s="20"/>
      <c r="D104" s="24">
        <v>13</v>
      </c>
      <c r="E104" s="24">
        <v>151</v>
      </c>
      <c r="F104" s="20"/>
      <c r="G104" s="20"/>
      <c r="H104" s="20"/>
      <c r="I104" s="20"/>
      <c r="J104" s="20"/>
    </row>
    <row r="105" spans="1:10" x14ac:dyDescent="0.25">
      <c r="A105" s="24">
        <v>14</v>
      </c>
      <c r="B105" s="24">
        <v>111</v>
      </c>
      <c r="C105" s="20"/>
      <c r="D105" s="24">
        <v>14</v>
      </c>
      <c r="E105" s="24">
        <v>46</v>
      </c>
      <c r="F105" s="20"/>
      <c r="G105" s="20"/>
      <c r="H105" s="20"/>
      <c r="I105" s="20"/>
      <c r="J105" s="20"/>
    </row>
    <row r="106" spans="1:10" x14ac:dyDescent="0.25">
      <c r="A106" s="20"/>
      <c r="B106" s="51"/>
      <c r="C106" s="20"/>
      <c r="D106" s="20"/>
      <c r="E106" s="51"/>
      <c r="F106" s="20"/>
      <c r="G106" s="20"/>
      <c r="H106" s="20"/>
      <c r="I106" s="20"/>
      <c r="J106" s="20"/>
    </row>
    <row r="107" spans="1:10" x14ac:dyDescent="0.25">
      <c r="A107" s="20"/>
      <c r="B107" s="51"/>
      <c r="C107" s="20"/>
      <c r="D107" s="20"/>
      <c r="E107" s="51"/>
      <c r="F107" s="20"/>
      <c r="G107" s="20"/>
      <c r="H107" s="20"/>
      <c r="I107" s="20"/>
      <c r="J107" s="20"/>
    </row>
    <row r="108" spans="1:10" x14ac:dyDescent="0.25">
      <c r="A108" s="20"/>
      <c r="B108" s="51"/>
      <c r="C108" s="20"/>
      <c r="D108" s="20"/>
      <c r="E108" s="51"/>
      <c r="F108" s="20"/>
      <c r="G108" s="20"/>
      <c r="H108" s="20"/>
      <c r="I108" s="20"/>
      <c r="J108" s="20"/>
    </row>
    <row r="109" spans="1:10" x14ac:dyDescent="0.25">
      <c r="A109" s="20"/>
      <c r="B109" s="51"/>
      <c r="C109" s="20"/>
      <c r="D109" s="20"/>
      <c r="E109" s="51"/>
      <c r="F109" s="20"/>
      <c r="G109" s="20"/>
      <c r="H109" s="20"/>
      <c r="I109" s="20"/>
      <c r="J109" s="20"/>
    </row>
    <row r="110" spans="1:10" x14ac:dyDescent="0.25">
      <c r="A110" s="20"/>
      <c r="B110" s="51"/>
      <c r="C110" s="20"/>
      <c r="D110" s="20"/>
      <c r="E110" s="51"/>
      <c r="F110" s="20"/>
      <c r="G110" s="20"/>
      <c r="H110" s="20"/>
      <c r="I110" s="20"/>
      <c r="J110" s="20"/>
    </row>
    <row r="111" spans="1:10" x14ac:dyDescent="0.25">
      <c r="A111" s="20"/>
      <c r="B111" s="51"/>
      <c r="C111" s="20"/>
      <c r="D111" s="20"/>
      <c r="E111" s="51"/>
      <c r="F111" s="20"/>
      <c r="G111" s="20"/>
      <c r="H111" s="20"/>
      <c r="I111" s="20"/>
      <c r="J111" s="20"/>
    </row>
    <row r="112" spans="1:10" x14ac:dyDescent="0.25">
      <c r="A112" s="20"/>
      <c r="B112" s="51"/>
      <c r="C112" s="20"/>
      <c r="D112" s="20"/>
      <c r="E112" s="51"/>
      <c r="F112" s="20"/>
      <c r="G112" s="20"/>
      <c r="H112" s="20"/>
      <c r="I112" s="20"/>
      <c r="J112" s="20"/>
    </row>
    <row r="113" spans="1:10" x14ac:dyDescent="0.25">
      <c r="A113" s="20"/>
      <c r="B113" s="51"/>
      <c r="C113" s="20"/>
      <c r="D113" s="20"/>
      <c r="E113" s="51"/>
      <c r="F113" s="20"/>
      <c r="G113" s="20"/>
      <c r="H113" s="20"/>
      <c r="I113" s="20"/>
      <c r="J113" s="20"/>
    </row>
    <row r="114" spans="1:10" x14ac:dyDescent="0.25">
      <c r="A114" s="20"/>
      <c r="B114" s="51"/>
      <c r="C114" s="20"/>
      <c r="D114" s="20"/>
      <c r="E114" s="51"/>
      <c r="F114" s="20"/>
      <c r="G114" s="20"/>
      <c r="H114" s="20"/>
      <c r="I114" s="20"/>
      <c r="J114" s="20"/>
    </row>
    <row r="115" spans="1:10" x14ac:dyDescent="0.25">
      <c r="A115" s="20"/>
      <c r="B115" s="51"/>
      <c r="C115" s="20"/>
      <c r="D115" s="20"/>
      <c r="E115" s="51"/>
      <c r="F115" s="20"/>
      <c r="G115" s="20"/>
      <c r="H115" s="20"/>
      <c r="I115" s="20"/>
      <c r="J115" s="20"/>
    </row>
    <row r="116" spans="1:10" x14ac:dyDescent="0.25">
      <c r="A116" s="20"/>
      <c r="B116" s="51"/>
      <c r="C116" s="20"/>
      <c r="D116" s="20"/>
      <c r="E116" s="51"/>
      <c r="F116" s="20"/>
      <c r="G116" s="20"/>
      <c r="H116" s="20"/>
      <c r="I116" s="20"/>
      <c r="J116" s="20"/>
    </row>
    <row r="117" spans="1:10" x14ac:dyDescent="0.25">
      <c r="A117" s="20"/>
      <c r="B117" s="51"/>
      <c r="C117" s="20"/>
      <c r="D117" s="20"/>
      <c r="E117" s="51"/>
      <c r="F117" s="20"/>
      <c r="G117" s="20"/>
      <c r="H117" s="20"/>
      <c r="I117" s="20"/>
      <c r="J117" s="20"/>
    </row>
    <row r="118" spans="1:10" x14ac:dyDescent="0.25">
      <c r="A118" s="20"/>
      <c r="B118" s="51"/>
      <c r="C118" s="20"/>
      <c r="D118" s="20"/>
      <c r="E118" s="51"/>
      <c r="F118" s="20"/>
      <c r="G118" s="20"/>
      <c r="H118" s="20"/>
      <c r="I118" s="20"/>
      <c r="J118" s="20"/>
    </row>
    <row r="119" spans="1:10" x14ac:dyDescent="0.25">
      <c r="A119" s="20"/>
      <c r="B119" s="51"/>
      <c r="C119" s="20"/>
      <c r="D119" s="20"/>
      <c r="E119" s="51"/>
      <c r="F119" s="20"/>
      <c r="G119" s="20"/>
      <c r="H119" s="20"/>
      <c r="I119" s="20"/>
      <c r="J119" s="20"/>
    </row>
    <row r="120" spans="1:10" x14ac:dyDescent="0.25">
      <c r="A120" s="20"/>
      <c r="B120" s="51"/>
      <c r="C120" s="20"/>
      <c r="D120" s="20"/>
      <c r="E120" s="51"/>
      <c r="F120" s="20"/>
      <c r="G120" s="20"/>
      <c r="H120" s="20"/>
      <c r="I120" s="20"/>
      <c r="J120" s="20"/>
    </row>
    <row r="121" spans="1:10" x14ac:dyDescent="0.25">
      <c r="A121" s="20"/>
      <c r="B121" s="51"/>
      <c r="C121" s="20"/>
      <c r="D121" s="20"/>
      <c r="E121" s="51"/>
      <c r="F121" s="20"/>
      <c r="G121" s="20"/>
      <c r="H121" s="20"/>
      <c r="I121" s="20"/>
      <c r="J121" s="20"/>
    </row>
    <row r="122" spans="1:10" x14ac:dyDescent="0.25">
      <c r="A122" s="20"/>
      <c r="B122" s="51"/>
      <c r="C122" s="20"/>
      <c r="D122" s="20"/>
      <c r="E122" s="51"/>
      <c r="F122" s="20"/>
      <c r="G122" s="20"/>
      <c r="H122" s="20"/>
      <c r="I122" s="20"/>
      <c r="J122" s="20"/>
    </row>
    <row r="123" spans="1:10" x14ac:dyDescent="0.25">
      <c r="A123" s="20"/>
      <c r="B123" s="51"/>
      <c r="C123" s="20"/>
      <c r="D123" s="20"/>
      <c r="E123" s="51"/>
      <c r="F123" s="20"/>
      <c r="G123" s="20"/>
      <c r="H123" s="20"/>
      <c r="I123" s="20"/>
      <c r="J123" s="20"/>
    </row>
    <row r="124" spans="1:10" x14ac:dyDescent="0.25">
      <c r="A124" s="20"/>
      <c r="B124" s="51"/>
      <c r="C124" s="20"/>
      <c r="D124" s="20"/>
      <c r="E124" s="51"/>
      <c r="F124" s="20"/>
      <c r="G124" s="20"/>
      <c r="H124" s="20"/>
      <c r="I124" s="20"/>
      <c r="J124" s="20"/>
    </row>
    <row r="125" spans="1:10" x14ac:dyDescent="0.25">
      <c r="A125" s="20"/>
      <c r="B125" s="51"/>
      <c r="C125" s="20"/>
      <c r="D125" s="20"/>
      <c r="E125" s="51"/>
      <c r="F125" s="20"/>
      <c r="G125" s="20"/>
      <c r="H125" s="20"/>
      <c r="I125" s="20"/>
      <c r="J125" s="20"/>
    </row>
    <row r="126" spans="1:10" x14ac:dyDescent="0.25">
      <c r="A126" s="20"/>
      <c r="B126" s="51"/>
      <c r="C126" s="20"/>
      <c r="D126" s="20"/>
      <c r="E126" s="51"/>
      <c r="F126" s="20"/>
      <c r="G126" s="20"/>
      <c r="H126" s="20"/>
      <c r="I126" s="20"/>
      <c r="J126" s="20"/>
    </row>
    <row r="127" spans="1:10" x14ac:dyDescent="0.25">
      <c r="A127" s="20"/>
      <c r="B127" s="51"/>
      <c r="C127" s="20"/>
      <c r="D127" s="20"/>
      <c r="E127" s="51"/>
      <c r="F127" s="20"/>
      <c r="G127" s="20"/>
      <c r="H127" s="20"/>
      <c r="I127" s="20"/>
      <c r="J127" s="20"/>
    </row>
    <row r="128" spans="1:10" x14ac:dyDescent="0.25">
      <c r="A128" s="20"/>
      <c r="B128" s="51"/>
      <c r="C128" s="20"/>
      <c r="D128" s="20"/>
      <c r="E128" s="51"/>
      <c r="F128" s="20"/>
      <c r="G128" s="20"/>
      <c r="H128" s="20"/>
      <c r="I128" s="20"/>
      <c r="J128" s="20"/>
    </row>
    <row r="129" spans="1:10" x14ac:dyDescent="0.25">
      <c r="A129" s="20"/>
      <c r="B129" s="51"/>
      <c r="C129" s="20"/>
      <c r="D129" s="20"/>
      <c r="E129" s="51"/>
      <c r="F129" s="20"/>
      <c r="G129" s="20"/>
      <c r="H129" s="20"/>
      <c r="I129" s="20"/>
      <c r="J129" s="20"/>
    </row>
    <row r="130" spans="1:10" x14ac:dyDescent="0.25">
      <c r="A130" s="20"/>
      <c r="B130" s="51"/>
      <c r="C130" s="20"/>
      <c r="D130" s="20"/>
      <c r="E130" s="51"/>
      <c r="F130" s="20"/>
      <c r="G130" s="20"/>
      <c r="H130" s="20"/>
      <c r="I130" s="20"/>
      <c r="J130" s="20"/>
    </row>
    <row r="131" spans="1:10" x14ac:dyDescent="0.25">
      <c r="A131" s="20"/>
      <c r="B131" s="51"/>
      <c r="C131" s="20"/>
      <c r="D131" s="20"/>
      <c r="E131" s="51"/>
      <c r="F131" s="20"/>
      <c r="G131" s="20"/>
      <c r="H131" s="20"/>
      <c r="I131" s="20"/>
      <c r="J131" s="20"/>
    </row>
    <row r="132" spans="1:10" x14ac:dyDescent="0.25">
      <c r="A132" s="20"/>
      <c r="B132" s="51"/>
      <c r="C132" s="20"/>
      <c r="D132" s="20"/>
      <c r="E132" s="51"/>
      <c r="F132" s="20"/>
      <c r="G132" s="20"/>
      <c r="H132" s="20"/>
      <c r="I132" s="20"/>
      <c r="J132" s="20"/>
    </row>
    <row r="133" spans="1:10" x14ac:dyDescent="0.25">
      <c r="A133" s="20"/>
      <c r="B133" s="51"/>
      <c r="C133" s="20"/>
      <c r="D133" s="20"/>
      <c r="E133" s="51"/>
      <c r="F133" s="20"/>
      <c r="G133" s="20"/>
      <c r="H133" s="20"/>
      <c r="I133" s="20"/>
      <c r="J133" s="20"/>
    </row>
    <row r="134" spans="1:10" x14ac:dyDescent="0.25">
      <c r="A134" s="20"/>
      <c r="B134" s="51"/>
      <c r="C134" s="20"/>
      <c r="D134" s="20"/>
      <c r="E134" s="51"/>
      <c r="F134" s="20"/>
      <c r="G134" s="20"/>
      <c r="H134" s="20"/>
      <c r="I134" s="20"/>
      <c r="J134" s="20"/>
    </row>
    <row r="135" spans="1:10" x14ac:dyDescent="0.25">
      <c r="A135" s="20"/>
      <c r="B135" s="51"/>
      <c r="C135" s="20"/>
      <c r="D135" s="20"/>
      <c r="E135" s="51"/>
      <c r="F135" s="20"/>
      <c r="G135" s="20"/>
      <c r="H135" s="20"/>
      <c r="I135" s="20"/>
      <c r="J135" s="20"/>
    </row>
    <row r="136" spans="1:10" x14ac:dyDescent="0.25">
      <c r="A136" s="20"/>
      <c r="B136" s="51"/>
      <c r="C136" s="20"/>
      <c r="D136" s="20"/>
      <c r="E136" s="51"/>
      <c r="F136" s="20"/>
      <c r="G136" s="20"/>
      <c r="H136" s="20"/>
      <c r="I136" s="20"/>
      <c r="J136" s="20"/>
    </row>
    <row r="137" spans="1:10" x14ac:dyDescent="0.25">
      <c r="A137" s="20"/>
      <c r="B137" s="51"/>
      <c r="C137" s="20"/>
      <c r="D137" s="20"/>
      <c r="E137" s="51"/>
      <c r="F137" s="20"/>
      <c r="G137" s="20"/>
      <c r="H137" s="20"/>
      <c r="I137" s="20"/>
      <c r="J137" s="20"/>
    </row>
    <row r="138" spans="1:10" x14ac:dyDescent="0.25">
      <c r="A138" s="20"/>
      <c r="B138" s="51"/>
      <c r="C138" s="20"/>
      <c r="D138" s="20"/>
      <c r="E138" s="51"/>
      <c r="F138" s="20"/>
      <c r="G138" s="20"/>
      <c r="H138" s="20"/>
      <c r="I138" s="20"/>
      <c r="J138" s="20"/>
    </row>
    <row r="139" spans="1:10" x14ac:dyDescent="0.25">
      <c r="A139" s="20"/>
      <c r="B139" s="51"/>
      <c r="C139" s="20"/>
      <c r="D139" s="20"/>
      <c r="E139" s="51"/>
      <c r="F139" s="20"/>
      <c r="G139" s="20"/>
      <c r="H139" s="20"/>
      <c r="I139" s="20"/>
      <c r="J139" s="20"/>
    </row>
    <row r="140" spans="1:10" x14ac:dyDescent="0.25">
      <c r="A140" s="20"/>
      <c r="B140" s="51"/>
      <c r="C140" s="20"/>
      <c r="D140" s="20"/>
      <c r="E140" s="51"/>
      <c r="F140" s="20"/>
      <c r="G140" s="20"/>
      <c r="H140" s="20"/>
      <c r="I140" s="20"/>
      <c r="J140" s="20"/>
    </row>
    <row r="141" spans="1:10" x14ac:dyDescent="0.25">
      <c r="A141" s="20"/>
      <c r="B141" s="51"/>
      <c r="C141" s="20"/>
      <c r="D141" s="20"/>
      <c r="E141" s="51"/>
      <c r="F141" s="20"/>
      <c r="G141" s="20"/>
      <c r="H141" s="20"/>
      <c r="I141" s="20"/>
      <c r="J141" s="20"/>
    </row>
    <row r="142" spans="1:10" x14ac:dyDescent="0.25">
      <c r="A142" s="20"/>
      <c r="B142" s="51"/>
      <c r="C142" s="20"/>
      <c r="D142" s="20"/>
      <c r="E142" s="51"/>
      <c r="F142" s="20"/>
      <c r="G142" s="20"/>
      <c r="H142" s="20"/>
      <c r="I142" s="20"/>
      <c r="J142" s="20"/>
    </row>
    <row r="143" spans="1:10" x14ac:dyDescent="0.25">
      <c r="A143" s="20"/>
      <c r="B143" s="51"/>
      <c r="C143" s="20"/>
      <c r="D143" s="20"/>
      <c r="E143" s="51"/>
      <c r="F143" s="20"/>
      <c r="G143" s="20"/>
      <c r="H143" s="20"/>
      <c r="I143" s="20"/>
      <c r="J143" s="20"/>
    </row>
    <row r="144" spans="1:10" x14ac:dyDescent="0.25">
      <c r="A144" s="20"/>
      <c r="B144" s="51"/>
      <c r="C144" s="20"/>
      <c r="D144" s="20"/>
      <c r="E144" s="51"/>
      <c r="F144" s="20"/>
      <c r="G144" s="20"/>
      <c r="H144" s="20"/>
      <c r="I144" s="20"/>
      <c r="J144" s="20"/>
    </row>
    <row r="145" spans="1:10" x14ac:dyDescent="0.25">
      <c r="A145" s="20"/>
      <c r="B145" s="51"/>
      <c r="C145" s="20"/>
      <c r="D145" s="20"/>
      <c r="E145" s="51"/>
      <c r="F145" s="20"/>
      <c r="G145" s="20"/>
      <c r="H145" s="20"/>
      <c r="I145" s="20"/>
      <c r="J145" s="20"/>
    </row>
    <row r="146" spans="1:10" x14ac:dyDescent="0.25">
      <c r="A146" s="20"/>
      <c r="B146" s="51"/>
      <c r="C146" s="20"/>
      <c r="D146" s="20"/>
      <c r="E146" s="51"/>
      <c r="F146" s="20"/>
      <c r="G146" s="20"/>
      <c r="H146" s="20"/>
      <c r="I146" s="20"/>
      <c r="J146" s="20"/>
    </row>
    <row r="147" spans="1:10" x14ac:dyDescent="0.25">
      <c r="A147" s="20"/>
      <c r="B147" s="51"/>
      <c r="C147" s="20"/>
      <c r="D147" s="20"/>
      <c r="E147" s="51"/>
      <c r="F147" s="20"/>
      <c r="G147" s="20"/>
      <c r="H147" s="20"/>
      <c r="I147" s="20"/>
      <c r="J147" s="20"/>
    </row>
    <row r="148" spans="1:10" x14ac:dyDescent="0.25">
      <c r="A148" s="20"/>
      <c r="B148" s="51"/>
      <c r="C148" s="20"/>
      <c r="D148" s="20"/>
      <c r="E148" s="51"/>
      <c r="F148" s="20"/>
      <c r="G148" s="20"/>
      <c r="H148" s="20"/>
      <c r="I148" s="20"/>
      <c r="J148" s="20"/>
    </row>
    <row r="149" spans="1:10" x14ac:dyDescent="0.25">
      <c r="A149" s="20"/>
      <c r="B149" s="51"/>
      <c r="C149" s="20"/>
      <c r="D149" s="20"/>
      <c r="E149" s="51"/>
      <c r="F149" s="20"/>
      <c r="G149" s="20"/>
      <c r="H149" s="20"/>
      <c r="I149" s="20"/>
      <c r="J149" s="20"/>
    </row>
    <row r="150" spans="1:10" x14ac:dyDescent="0.25">
      <c r="A150" s="20"/>
      <c r="B150" s="51"/>
      <c r="C150" s="20"/>
      <c r="D150" s="20"/>
      <c r="E150" s="51"/>
      <c r="F150" s="20"/>
      <c r="G150" s="20"/>
      <c r="H150" s="20"/>
      <c r="I150" s="20"/>
      <c r="J150" s="20"/>
    </row>
    <row r="151" spans="1:10" x14ac:dyDescent="0.25">
      <c r="A151" s="20"/>
      <c r="B151" s="51"/>
      <c r="C151" s="20"/>
      <c r="D151" s="20"/>
      <c r="E151" s="51"/>
      <c r="F151" s="20"/>
      <c r="G151" s="20"/>
      <c r="H151" s="20"/>
      <c r="I151" s="20"/>
      <c r="J151" s="20"/>
    </row>
    <row r="152" spans="1:10" x14ac:dyDescent="0.25">
      <c r="A152" s="20"/>
      <c r="B152" s="51"/>
      <c r="C152" s="20"/>
      <c r="D152" s="20"/>
      <c r="E152" s="51"/>
      <c r="F152" s="20"/>
      <c r="G152" s="20"/>
      <c r="H152" s="20"/>
      <c r="I152" s="20"/>
      <c r="J152" s="20"/>
    </row>
    <row r="153" spans="1:10" x14ac:dyDescent="0.25">
      <c r="A153" s="20"/>
      <c r="B153" s="51"/>
      <c r="C153" s="20"/>
      <c r="D153" s="20"/>
      <c r="E153" s="51"/>
      <c r="F153" s="20"/>
      <c r="G153" s="20"/>
      <c r="H153" s="20"/>
      <c r="I153" s="20"/>
      <c r="J153" s="20"/>
    </row>
    <row r="154" spans="1:10" x14ac:dyDescent="0.25">
      <c r="A154" s="20"/>
      <c r="B154" s="51"/>
      <c r="C154" s="20"/>
      <c r="D154" s="20"/>
      <c r="E154" s="51"/>
      <c r="F154" s="20"/>
      <c r="G154" s="20"/>
      <c r="H154" s="20"/>
      <c r="I154" s="20"/>
      <c r="J154" s="20"/>
    </row>
    <row r="155" spans="1:10" x14ac:dyDescent="0.25">
      <c r="A155" s="20"/>
      <c r="B155" s="51"/>
      <c r="C155" s="20"/>
      <c r="D155" s="20"/>
      <c r="E155" s="51"/>
      <c r="F155" s="20"/>
      <c r="G155" s="20"/>
      <c r="H155" s="20"/>
      <c r="I155" s="20"/>
      <c r="J155" s="20"/>
    </row>
    <row r="156" spans="1:10" x14ac:dyDescent="0.25">
      <c r="A156" s="20"/>
      <c r="B156" s="51"/>
      <c r="C156" s="20"/>
      <c r="D156" s="20"/>
      <c r="E156" s="51"/>
      <c r="F156" s="20"/>
      <c r="G156" s="20"/>
      <c r="H156" s="20"/>
      <c r="I156" s="20"/>
      <c r="J156" s="20"/>
    </row>
    <row r="157" spans="1:10" x14ac:dyDescent="0.25">
      <c r="A157" s="20"/>
      <c r="B157" s="51"/>
      <c r="C157" s="20"/>
      <c r="D157" s="20"/>
      <c r="E157" s="51"/>
      <c r="F157" s="20"/>
      <c r="G157" s="20"/>
      <c r="H157" s="20"/>
      <c r="I157" s="20"/>
      <c r="J157" s="20"/>
    </row>
    <row r="158" spans="1:10" x14ac:dyDescent="0.25">
      <c r="A158" s="20"/>
      <c r="B158" s="51"/>
      <c r="C158" s="20"/>
      <c r="D158" s="20"/>
      <c r="E158" s="51"/>
      <c r="F158" s="20"/>
      <c r="G158" s="20"/>
      <c r="H158" s="20"/>
      <c r="I158" s="20"/>
      <c r="J158" s="20"/>
    </row>
    <row r="159" spans="1:10" x14ac:dyDescent="0.25">
      <c r="A159" s="20"/>
      <c r="B159" s="51"/>
      <c r="C159" s="20"/>
      <c r="D159" s="20"/>
      <c r="E159" s="51"/>
      <c r="F159" s="20"/>
      <c r="G159" s="20"/>
      <c r="H159" s="20"/>
      <c r="I159" s="20"/>
      <c r="J159" s="20"/>
    </row>
    <row r="160" spans="1:10" x14ac:dyDescent="0.25">
      <c r="A160" s="20"/>
      <c r="B160" s="51"/>
      <c r="C160" s="20"/>
      <c r="D160" s="20"/>
      <c r="E160" s="51"/>
      <c r="F160" s="20"/>
      <c r="G160" s="20"/>
      <c r="H160" s="20"/>
      <c r="I160" s="20"/>
      <c r="J160" s="20"/>
    </row>
    <row r="161" spans="1:10" x14ac:dyDescent="0.25">
      <c r="A161" s="20"/>
      <c r="B161" s="51"/>
      <c r="C161" s="20"/>
      <c r="D161" s="20"/>
      <c r="E161" s="51"/>
      <c r="F161" s="20"/>
      <c r="G161" s="20"/>
      <c r="H161" s="20"/>
      <c r="I161" s="20"/>
      <c r="J161" s="20"/>
    </row>
    <row r="162" spans="1:10" x14ac:dyDescent="0.25">
      <c r="A162" s="20"/>
      <c r="B162" s="51"/>
      <c r="C162" s="20"/>
      <c r="D162" s="20"/>
      <c r="E162" s="51"/>
      <c r="F162" s="20"/>
      <c r="G162" s="20"/>
      <c r="H162" s="20"/>
      <c r="I162" s="20"/>
      <c r="J162" s="20"/>
    </row>
    <row r="163" spans="1:10" x14ac:dyDescent="0.25">
      <c r="A163" s="20"/>
      <c r="B163" s="51"/>
      <c r="C163" s="20"/>
      <c r="D163" s="20"/>
      <c r="E163" s="51"/>
      <c r="F163" s="20"/>
      <c r="G163" s="20"/>
      <c r="H163" s="20"/>
      <c r="I163" s="20"/>
      <c r="J163" s="20"/>
    </row>
    <row r="164" spans="1:10" x14ac:dyDescent="0.25">
      <c r="A164" s="20"/>
      <c r="B164" s="51"/>
      <c r="C164" s="20"/>
      <c r="D164" s="20"/>
      <c r="E164" s="51"/>
      <c r="F164" s="20"/>
      <c r="G164" s="20"/>
      <c r="H164" s="20"/>
      <c r="I164" s="20"/>
      <c r="J164" s="20"/>
    </row>
    <row r="165" spans="1:10" x14ac:dyDescent="0.25">
      <c r="A165" s="20"/>
      <c r="B165" s="51"/>
      <c r="C165" s="20"/>
      <c r="D165" s="20"/>
      <c r="E165" s="51"/>
      <c r="F165" s="20"/>
      <c r="G165" s="20"/>
      <c r="H165" s="20"/>
      <c r="I165" s="20"/>
      <c r="J165" s="20"/>
    </row>
    <row r="166" spans="1:10" x14ac:dyDescent="0.25">
      <c r="A166" s="20"/>
      <c r="B166" s="51"/>
      <c r="C166" s="20"/>
      <c r="D166" s="20"/>
      <c r="E166" s="51"/>
      <c r="F166" s="20"/>
      <c r="G166" s="20"/>
      <c r="H166" s="20"/>
      <c r="I166" s="20"/>
      <c r="J166" s="20"/>
    </row>
    <row r="167" spans="1:10" x14ac:dyDescent="0.25">
      <c r="A167" s="20"/>
      <c r="B167" s="51"/>
      <c r="C167" s="20"/>
      <c r="D167" s="20"/>
      <c r="E167" s="51"/>
      <c r="F167" s="20"/>
      <c r="G167" s="20"/>
      <c r="H167" s="20"/>
      <c r="I167" s="20"/>
      <c r="J167" s="20"/>
    </row>
    <row r="168" spans="1:10" x14ac:dyDescent="0.25">
      <c r="A168" s="20"/>
      <c r="B168" s="51"/>
      <c r="C168" s="20"/>
      <c r="D168" s="20"/>
      <c r="E168" s="51"/>
      <c r="F168" s="20"/>
      <c r="G168" s="20"/>
      <c r="H168" s="20"/>
      <c r="I168" s="20"/>
      <c r="J168" s="20"/>
    </row>
    <row r="169" spans="1:10" x14ac:dyDescent="0.25">
      <c r="A169" s="20"/>
      <c r="B169" s="51"/>
      <c r="C169" s="20"/>
      <c r="D169" s="20"/>
      <c r="E169" s="51"/>
      <c r="F169" s="20"/>
      <c r="G169" s="20"/>
      <c r="H169" s="20"/>
      <c r="I169" s="20"/>
      <c r="J169" s="20"/>
    </row>
    <row r="170" spans="1:10" x14ac:dyDescent="0.25">
      <c r="A170" s="20"/>
      <c r="B170" s="51"/>
      <c r="C170" s="20"/>
      <c r="D170" s="20"/>
      <c r="E170" s="51"/>
      <c r="F170" s="20"/>
      <c r="G170" s="20"/>
      <c r="H170" s="20"/>
      <c r="I170" s="20"/>
      <c r="J170" s="20"/>
    </row>
    <row r="171" spans="1:10" x14ac:dyDescent="0.25">
      <c r="A171" s="20"/>
      <c r="B171" s="51"/>
      <c r="C171" s="20"/>
      <c r="D171" s="20"/>
      <c r="E171" s="51"/>
      <c r="F171" s="20"/>
      <c r="G171" s="20"/>
      <c r="H171" s="20"/>
      <c r="I171" s="20"/>
      <c r="J171" s="20"/>
    </row>
    <row r="172" spans="1:10" x14ac:dyDescent="0.25">
      <c r="A172" s="20"/>
      <c r="B172" s="51"/>
      <c r="C172" s="20"/>
      <c r="D172" s="20"/>
      <c r="E172" s="51"/>
      <c r="F172" s="20"/>
      <c r="G172" s="20"/>
      <c r="H172" s="20"/>
      <c r="I172" s="20"/>
      <c r="J172" s="20"/>
    </row>
    <row r="173" spans="1:10" x14ac:dyDescent="0.25">
      <c r="A173" s="20"/>
      <c r="B173" s="51"/>
      <c r="C173" s="20"/>
      <c r="D173" s="20"/>
      <c r="E173" s="51"/>
      <c r="F173" s="20"/>
      <c r="G173" s="20"/>
      <c r="H173" s="20"/>
      <c r="I173" s="20"/>
      <c r="J173" s="20"/>
    </row>
    <row r="174" spans="1:10" x14ac:dyDescent="0.25">
      <c r="A174" s="20"/>
      <c r="B174" s="51"/>
      <c r="C174" s="20"/>
      <c r="D174" s="20"/>
      <c r="E174" s="51"/>
      <c r="F174" s="20"/>
      <c r="G174" s="20"/>
      <c r="H174" s="20"/>
      <c r="I174" s="20"/>
      <c r="J174" s="20"/>
    </row>
    <row r="175" spans="1:10" x14ac:dyDescent="0.25">
      <c r="A175" s="20"/>
      <c r="B175" s="51"/>
      <c r="C175" s="20"/>
      <c r="D175" s="20"/>
      <c r="E175" s="51"/>
      <c r="F175" s="20"/>
      <c r="G175" s="20"/>
      <c r="H175" s="20"/>
      <c r="I175" s="20"/>
      <c r="J175" s="20"/>
    </row>
    <row r="176" spans="1:10" x14ac:dyDescent="0.25">
      <c r="A176" s="20"/>
      <c r="B176" s="51"/>
      <c r="C176" s="20"/>
      <c r="D176" s="20"/>
      <c r="E176" s="51"/>
      <c r="F176" s="20"/>
      <c r="G176" s="20"/>
      <c r="H176" s="20"/>
      <c r="I176" s="20"/>
      <c r="J176" s="20"/>
    </row>
    <row r="177" spans="1:10" x14ac:dyDescent="0.25">
      <c r="A177" s="20"/>
      <c r="B177" s="51"/>
      <c r="C177" s="20"/>
      <c r="D177" s="20"/>
      <c r="E177" s="51"/>
      <c r="F177" s="20"/>
      <c r="G177" s="20"/>
      <c r="H177" s="20"/>
      <c r="I177" s="20"/>
      <c r="J177" s="20"/>
    </row>
    <row r="178" spans="1:10" x14ac:dyDescent="0.25">
      <c r="A178" s="20"/>
      <c r="B178" s="51"/>
      <c r="C178" s="20"/>
      <c r="D178" s="20"/>
      <c r="E178" s="51"/>
      <c r="F178" s="20"/>
      <c r="G178" s="20"/>
      <c r="H178" s="20"/>
      <c r="I178" s="20"/>
      <c r="J178" s="20"/>
    </row>
    <row r="179" spans="1:10" x14ac:dyDescent="0.25">
      <c r="A179" s="20"/>
      <c r="B179" s="51"/>
      <c r="C179" s="20"/>
      <c r="D179" s="20"/>
      <c r="E179" s="51"/>
      <c r="F179" s="20"/>
      <c r="G179" s="20"/>
      <c r="H179" s="20"/>
      <c r="I179" s="20"/>
      <c r="J179" s="20"/>
    </row>
    <row r="180" spans="1:10" x14ac:dyDescent="0.25">
      <c r="A180" s="20"/>
      <c r="B180" s="51"/>
      <c r="C180" s="20"/>
      <c r="D180" s="20"/>
      <c r="E180" s="51"/>
      <c r="F180" s="20"/>
      <c r="G180" s="20"/>
      <c r="H180" s="20"/>
      <c r="I180" s="20"/>
      <c r="J180" s="20"/>
    </row>
    <row r="181" spans="1:10" x14ac:dyDescent="0.25">
      <c r="A181" s="20"/>
      <c r="B181" s="51"/>
      <c r="C181" s="20"/>
      <c r="D181" s="20"/>
      <c r="E181" s="51"/>
      <c r="F181" s="20"/>
      <c r="G181" s="20"/>
      <c r="H181" s="20"/>
      <c r="I181" s="20"/>
      <c r="J181" s="20"/>
    </row>
    <row r="182" spans="1:10" x14ac:dyDescent="0.25">
      <c r="A182" s="20"/>
      <c r="B182" s="51"/>
      <c r="C182" s="20"/>
      <c r="D182" s="20"/>
      <c r="E182" s="51"/>
      <c r="F182" s="20"/>
      <c r="G182" s="20"/>
      <c r="H182" s="20"/>
      <c r="I182" s="20"/>
      <c r="J182" s="20"/>
    </row>
    <row r="183" spans="1:10" x14ac:dyDescent="0.25">
      <c r="A183" s="20"/>
      <c r="B183" s="51"/>
      <c r="C183" s="20"/>
      <c r="D183" s="20"/>
      <c r="E183" s="51"/>
      <c r="F183" s="20"/>
      <c r="G183" s="20"/>
      <c r="H183" s="20"/>
      <c r="I183" s="20"/>
      <c r="J183" s="20"/>
    </row>
    <row r="184" spans="1:10" x14ac:dyDescent="0.25">
      <c r="A184" s="20"/>
      <c r="B184" s="51"/>
      <c r="C184" s="20"/>
      <c r="D184" s="20"/>
      <c r="E184" s="51"/>
      <c r="F184" s="20"/>
      <c r="G184" s="20"/>
      <c r="H184" s="20"/>
      <c r="I184" s="20"/>
      <c r="J184" s="20"/>
    </row>
    <row r="185" spans="1:10" x14ac:dyDescent="0.25">
      <c r="A185" s="20"/>
      <c r="B185" s="51"/>
      <c r="C185" s="20"/>
      <c r="D185" s="20"/>
      <c r="E185" s="51"/>
      <c r="F185" s="20"/>
      <c r="G185" s="20"/>
      <c r="H185" s="20"/>
      <c r="I185" s="20"/>
      <c r="J185" s="20"/>
    </row>
    <row r="186" spans="1:10" x14ac:dyDescent="0.25">
      <c r="A186" s="20"/>
      <c r="B186" s="51"/>
      <c r="C186" s="20"/>
      <c r="D186" s="20"/>
      <c r="E186" s="51"/>
      <c r="F186" s="20"/>
      <c r="G186" s="20"/>
      <c r="H186" s="20"/>
      <c r="I186" s="20"/>
      <c r="J186" s="20"/>
    </row>
    <row r="187" spans="1:10" x14ac:dyDescent="0.25">
      <c r="A187" s="20"/>
      <c r="B187" s="51"/>
      <c r="C187" s="20"/>
      <c r="D187" s="20"/>
      <c r="E187" s="51"/>
      <c r="F187" s="20"/>
      <c r="G187" s="20"/>
      <c r="H187" s="20"/>
      <c r="I187" s="20"/>
      <c r="J187" s="20"/>
    </row>
    <row r="188" spans="1:10" x14ac:dyDescent="0.25">
      <c r="A188" s="20"/>
      <c r="B188" s="51"/>
      <c r="C188" s="20"/>
      <c r="D188" s="20"/>
      <c r="E188" s="51"/>
      <c r="F188" s="20"/>
      <c r="G188" s="20"/>
      <c r="H188" s="20"/>
      <c r="I188" s="20"/>
      <c r="J188" s="20"/>
    </row>
    <row r="189" spans="1:10" x14ac:dyDescent="0.25">
      <c r="A189" s="20"/>
      <c r="B189" s="51"/>
      <c r="C189" s="20"/>
      <c r="D189" s="20"/>
      <c r="E189" s="51"/>
      <c r="F189" s="20"/>
      <c r="G189" s="20"/>
      <c r="H189" s="20"/>
      <c r="I189" s="20"/>
      <c r="J189" s="20"/>
    </row>
    <row r="190" spans="1:10" x14ac:dyDescent="0.25">
      <c r="A190" s="20"/>
      <c r="B190" s="51"/>
      <c r="C190" s="20"/>
      <c r="D190" s="20"/>
      <c r="E190" s="51"/>
      <c r="F190" s="20"/>
      <c r="G190" s="20"/>
      <c r="H190" s="20"/>
      <c r="I190" s="20"/>
      <c r="J190" s="20"/>
    </row>
    <row r="191" spans="1:10" x14ac:dyDescent="0.25">
      <c r="A191" s="20"/>
      <c r="B191" s="51"/>
      <c r="C191" s="20"/>
      <c r="D191" s="20"/>
      <c r="E191" s="51"/>
      <c r="F191" s="20"/>
      <c r="G191" s="20"/>
      <c r="H191" s="20"/>
      <c r="I191" s="20"/>
      <c r="J191" s="20"/>
    </row>
    <row r="192" spans="1:10" x14ac:dyDescent="0.25">
      <c r="A192" s="20"/>
      <c r="B192" s="51"/>
      <c r="C192" s="20"/>
      <c r="D192" s="20"/>
      <c r="E192" s="51"/>
      <c r="F192" s="20"/>
      <c r="G192" s="20"/>
      <c r="H192" s="20"/>
      <c r="I192" s="20"/>
      <c r="J192" s="20"/>
    </row>
    <row r="193" spans="1:10" x14ac:dyDescent="0.25">
      <c r="A193" s="20"/>
      <c r="B193" s="51"/>
      <c r="C193" s="20"/>
      <c r="D193" s="20"/>
      <c r="E193" s="51"/>
      <c r="F193" s="20"/>
      <c r="G193" s="20"/>
      <c r="H193" s="20"/>
      <c r="I193" s="20"/>
      <c r="J193" s="20"/>
    </row>
    <row r="194" spans="1:10" x14ac:dyDescent="0.25">
      <c r="A194" s="20"/>
      <c r="B194" s="51"/>
      <c r="C194" s="20"/>
      <c r="D194" s="20"/>
      <c r="E194" s="51"/>
      <c r="F194" s="20"/>
      <c r="G194" s="20"/>
      <c r="H194" s="20"/>
      <c r="I194" s="20"/>
      <c r="J194" s="20"/>
    </row>
    <row r="195" spans="1:10" x14ac:dyDescent="0.25">
      <c r="A195" s="20"/>
      <c r="B195" s="51"/>
      <c r="C195" s="20"/>
      <c r="D195" s="20"/>
      <c r="E195" s="51"/>
      <c r="F195" s="20"/>
      <c r="G195" s="20"/>
      <c r="H195" s="20"/>
      <c r="I195" s="20"/>
      <c r="J195" s="20"/>
    </row>
    <row r="196" spans="1:10" x14ac:dyDescent="0.25">
      <c r="A196" s="20"/>
      <c r="B196" s="51"/>
      <c r="C196" s="20"/>
      <c r="D196" s="20"/>
      <c r="E196" s="51"/>
      <c r="F196" s="20"/>
      <c r="G196" s="20"/>
      <c r="H196" s="20"/>
      <c r="I196" s="20"/>
      <c r="J196" s="20"/>
    </row>
    <row r="197" spans="1:10" x14ac:dyDescent="0.25">
      <c r="A197" s="20"/>
      <c r="B197" s="51"/>
      <c r="C197" s="20"/>
      <c r="D197" s="20"/>
      <c r="E197" s="51"/>
      <c r="F197" s="20"/>
      <c r="G197" s="20"/>
      <c r="H197" s="20"/>
      <c r="I197" s="20"/>
      <c r="J197" s="20"/>
    </row>
    <row r="198" spans="1:10" x14ac:dyDescent="0.25">
      <c r="A198" s="20"/>
      <c r="B198" s="51"/>
      <c r="C198" s="20"/>
      <c r="D198" s="20"/>
      <c r="E198" s="51"/>
      <c r="F198" s="20"/>
      <c r="G198" s="20"/>
      <c r="H198" s="20"/>
      <c r="I198" s="20"/>
      <c r="J198" s="20"/>
    </row>
    <row r="199" spans="1:10" x14ac:dyDescent="0.25">
      <c r="A199" s="20"/>
      <c r="B199" s="51"/>
      <c r="C199" s="20"/>
      <c r="D199" s="20"/>
      <c r="E199" s="51"/>
      <c r="F199" s="20"/>
      <c r="G199" s="20"/>
      <c r="H199" s="20"/>
      <c r="I199" s="20"/>
      <c r="J199" s="20"/>
    </row>
    <row r="200" spans="1:10" x14ac:dyDescent="0.25">
      <c r="A200" s="20"/>
      <c r="B200" s="51"/>
      <c r="C200" s="20"/>
      <c r="D200" s="20"/>
      <c r="E200" s="51"/>
      <c r="F200" s="20"/>
      <c r="G200" s="20"/>
      <c r="H200" s="20"/>
      <c r="I200" s="20"/>
      <c r="J200" s="20"/>
    </row>
    <row r="201" spans="1:10" x14ac:dyDescent="0.25">
      <c r="A201" s="20"/>
      <c r="B201" s="51"/>
      <c r="C201" s="20"/>
      <c r="D201" s="20"/>
      <c r="E201" s="51"/>
      <c r="F201" s="20"/>
      <c r="G201" s="20"/>
      <c r="H201" s="20"/>
      <c r="I201" s="20"/>
      <c r="J201" s="20"/>
    </row>
    <row r="202" spans="1:10" x14ac:dyDescent="0.25">
      <c r="A202" s="20"/>
      <c r="B202" s="51"/>
      <c r="C202" s="20"/>
      <c r="D202" s="20"/>
      <c r="E202" s="51"/>
      <c r="F202" s="20"/>
      <c r="G202" s="20"/>
      <c r="H202" s="20"/>
      <c r="I202" s="20"/>
      <c r="J202" s="20"/>
    </row>
    <row r="203" spans="1:10" x14ac:dyDescent="0.25">
      <c r="A203" s="20"/>
      <c r="B203" s="51"/>
      <c r="C203" s="20"/>
      <c r="D203" s="20"/>
      <c r="E203" s="51"/>
      <c r="F203" s="20"/>
      <c r="G203" s="20"/>
      <c r="H203" s="20"/>
      <c r="I203" s="20"/>
      <c r="J203" s="20"/>
    </row>
    <row r="204" spans="1:10" x14ac:dyDescent="0.25">
      <c r="A204" s="20"/>
      <c r="B204" s="51"/>
      <c r="C204" s="20"/>
      <c r="D204" s="20"/>
      <c r="E204" s="51"/>
      <c r="F204" s="20"/>
      <c r="G204" s="20"/>
      <c r="H204" s="20"/>
      <c r="I204" s="20"/>
      <c r="J204" s="20"/>
    </row>
    <row r="205" spans="1:10" x14ac:dyDescent="0.25">
      <c r="A205" s="20"/>
      <c r="B205" s="51"/>
      <c r="C205" s="20"/>
      <c r="D205" s="20"/>
      <c r="E205" s="51"/>
      <c r="F205" s="20"/>
      <c r="G205" s="20"/>
      <c r="H205" s="20"/>
      <c r="I205" s="20"/>
      <c r="J205" s="20"/>
    </row>
    <row r="206" spans="1:10" x14ac:dyDescent="0.25">
      <c r="A206" s="20"/>
      <c r="B206" s="51"/>
      <c r="C206" s="20"/>
      <c r="D206" s="20"/>
      <c r="E206" s="51"/>
      <c r="F206" s="20"/>
      <c r="G206" s="20"/>
      <c r="H206" s="20"/>
      <c r="I206" s="20"/>
      <c r="J206" s="20"/>
    </row>
    <row r="207" spans="1:10" x14ac:dyDescent="0.25">
      <c r="A207" s="20"/>
      <c r="B207" s="51"/>
      <c r="C207" s="20"/>
      <c r="D207" s="20"/>
      <c r="E207" s="51"/>
      <c r="F207" s="20"/>
      <c r="G207" s="20"/>
      <c r="H207" s="20"/>
      <c r="I207" s="20"/>
      <c r="J207" s="20"/>
    </row>
    <row r="208" spans="1:10" x14ac:dyDescent="0.25">
      <c r="A208" s="20"/>
      <c r="B208" s="51"/>
      <c r="C208" s="20"/>
      <c r="D208" s="20"/>
      <c r="E208" s="51"/>
      <c r="F208" s="20"/>
      <c r="G208" s="20"/>
      <c r="H208" s="20"/>
      <c r="I208" s="20"/>
      <c r="J208" s="20"/>
    </row>
    <row r="209" spans="1:10" x14ac:dyDescent="0.25">
      <c r="A209" s="20"/>
      <c r="B209" s="51"/>
      <c r="C209" s="20"/>
      <c r="D209" s="20"/>
      <c r="E209" s="51"/>
      <c r="F209" s="20"/>
      <c r="G209" s="20"/>
      <c r="H209" s="20"/>
      <c r="I209" s="20"/>
      <c r="J209" s="20"/>
    </row>
    <row r="210" spans="1:10" x14ac:dyDescent="0.25">
      <c r="A210" s="20"/>
      <c r="B210" s="51"/>
      <c r="C210" s="20"/>
      <c r="D210" s="20"/>
      <c r="E210" s="51"/>
      <c r="F210" s="20"/>
      <c r="G210" s="20"/>
      <c r="H210" s="20"/>
      <c r="I210" s="20"/>
      <c r="J210" s="20"/>
    </row>
    <row r="211" spans="1:10" x14ac:dyDescent="0.25">
      <c r="A211" s="20"/>
      <c r="B211" s="51"/>
      <c r="C211" s="20"/>
      <c r="D211" s="20"/>
      <c r="E211" s="51"/>
      <c r="F211" s="20"/>
      <c r="G211" s="20"/>
      <c r="H211" s="20"/>
      <c r="I211" s="20"/>
      <c r="J211" s="20"/>
    </row>
  </sheetData>
  <pageMargins left="0.7" right="0.7" top="0.75" bottom="0.75" header="0.3" footer="0.3"/>
  <pageSetup paperSiz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2:Z90"/>
  <sheetViews>
    <sheetView windowProtection="1" topLeftCell="A57" workbookViewId="0">
      <selection activeCell="C75" sqref="C75:K84"/>
    </sheetView>
  </sheetViews>
  <sheetFormatPr defaultRowHeight="15" x14ac:dyDescent="0.25"/>
  <cols>
    <col min="4" max="5" width="12.7109375" customWidth="1"/>
    <col min="6" max="6" width="25.7109375" style="98" customWidth="1"/>
    <col min="7" max="7" width="18.7109375" customWidth="1"/>
    <col min="8" max="8" width="15.7109375" style="154" customWidth="1"/>
    <col min="9" max="10" width="13.7109375" customWidth="1"/>
    <col min="20" max="21" width="12.7109375" customWidth="1"/>
    <col min="22" max="22" width="25.7109375" style="98" customWidth="1"/>
    <col min="23" max="23" width="18.7109375" customWidth="1"/>
    <col min="24" max="24" width="15.7109375" style="98" customWidth="1"/>
    <col min="25" max="25" width="13.7109375" customWidth="1"/>
  </cols>
  <sheetData>
    <row r="2" spans="3:26" ht="23.25" x14ac:dyDescent="0.35">
      <c r="C2" s="42" t="s">
        <v>590</v>
      </c>
      <c r="D2" s="42"/>
      <c r="E2" s="42"/>
      <c r="F2" s="147"/>
      <c r="G2" s="42"/>
      <c r="H2" s="153"/>
      <c r="I2" s="20"/>
      <c r="J2" s="18"/>
      <c r="K2" s="1"/>
      <c r="S2" s="42" t="s">
        <v>593</v>
      </c>
      <c r="T2" s="42"/>
      <c r="U2" s="42"/>
      <c r="V2" s="147"/>
      <c r="W2" s="42"/>
      <c r="X2" s="147"/>
      <c r="Y2" s="20"/>
    </row>
    <row r="3" spans="3:26" x14ac:dyDescent="0.25">
      <c r="C3" s="19"/>
      <c r="D3" s="19"/>
      <c r="E3" s="19"/>
      <c r="F3" s="148"/>
      <c r="G3" s="19"/>
      <c r="H3" s="99"/>
      <c r="I3" s="20"/>
      <c r="J3" s="18"/>
      <c r="K3" s="1"/>
      <c r="T3" s="19"/>
      <c r="U3" s="19"/>
      <c r="V3" s="148"/>
      <c r="W3" s="19"/>
      <c r="X3" s="148"/>
      <c r="Y3" s="20"/>
    </row>
    <row r="4" spans="3:26" x14ac:dyDescent="0.25">
      <c r="C4" s="19"/>
      <c r="D4" s="19"/>
      <c r="E4" s="19"/>
      <c r="F4" s="148"/>
      <c r="G4" s="19"/>
      <c r="H4" s="99"/>
      <c r="I4" s="20"/>
      <c r="J4" s="18"/>
      <c r="K4" s="1"/>
      <c r="T4" s="19"/>
      <c r="U4" s="19"/>
      <c r="V4" s="148"/>
      <c r="W4" s="19"/>
      <c r="X4" s="148"/>
      <c r="Y4" s="20"/>
    </row>
    <row r="5" spans="3:26" x14ac:dyDescent="0.25">
      <c r="F5" s="148" t="s">
        <v>595</v>
      </c>
      <c r="G5" s="19" t="s">
        <v>591</v>
      </c>
      <c r="J5" s="18"/>
      <c r="K5" s="1"/>
      <c r="V5" s="148" t="s">
        <v>594</v>
      </c>
      <c r="W5" s="19" t="s">
        <v>591</v>
      </c>
    </row>
    <row r="6" spans="3:26" x14ac:dyDescent="0.25">
      <c r="J6" s="18"/>
      <c r="K6" s="1"/>
    </row>
    <row r="7" spans="3:26" x14ac:dyDescent="0.25">
      <c r="C7" s="86"/>
      <c r="D7" s="86"/>
      <c r="E7" s="86"/>
      <c r="F7" s="145" t="s">
        <v>6</v>
      </c>
      <c r="G7" s="86"/>
      <c r="H7" s="144"/>
      <c r="I7" s="86"/>
      <c r="J7" s="86"/>
      <c r="K7" s="20"/>
      <c r="S7" s="86"/>
      <c r="T7" s="86"/>
      <c r="U7" s="86"/>
      <c r="V7" s="149"/>
      <c r="W7" s="86"/>
      <c r="X7" s="149"/>
      <c r="Y7" s="86"/>
      <c r="Z7" s="86"/>
    </row>
    <row r="8" spans="3:26" x14ac:dyDescent="0.25">
      <c r="C8" s="86"/>
      <c r="D8" s="87" t="s">
        <v>41</v>
      </c>
      <c r="E8" s="87" t="s">
        <v>133</v>
      </c>
      <c r="F8" s="145" t="s">
        <v>131</v>
      </c>
      <c r="G8" s="87" t="s">
        <v>132</v>
      </c>
      <c r="H8" s="145" t="s">
        <v>284</v>
      </c>
      <c r="I8" s="87" t="s">
        <v>15</v>
      </c>
      <c r="J8" s="86"/>
      <c r="K8" s="1"/>
      <c r="S8" s="86"/>
      <c r="T8" s="87" t="s">
        <v>41</v>
      </c>
      <c r="U8" s="87" t="s">
        <v>133</v>
      </c>
      <c r="V8" s="145" t="s">
        <v>131</v>
      </c>
      <c r="W8" s="87" t="s">
        <v>132</v>
      </c>
      <c r="X8" s="145" t="s">
        <v>284</v>
      </c>
      <c r="Y8" s="87" t="s">
        <v>15</v>
      </c>
      <c r="Z8" s="86"/>
    </row>
    <row r="9" spans="3:26" x14ac:dyDescent="0.25">
      <c r="C9" s="86"/>
      <c r="D9" s="26" t="s">
        <v>134</v>
      </c>
      <c r="E9" s="26">
        <v>5389</v>
      </c>
      <c r="F9" s="142"/>
      <c r="G9" s="26" t="s">
        <v>52</v>
      </c>
      <c r="H9" s="142">
        <v>7.36</v>
      </c>
      <c r="I9" s="26"/>
      <c r="J9" s="86"/>
      <c r="K9" s="1"/>
      <c r="S9" s="86"/>
      <c r="T9" s="26" t="s">
        <v>134</v>
      </c>
      <c r="U9" s="26">
        <v>5289</v>
      </c>
      <c r="V9" s="26"/>
      <c r="W9" s="26"/>
      <c r="X9" s="26"/>
      <c r="Y9" s="26"/>
      <c r="Z9" s="86"/>
    </row>
    <row r="10" spans="3:26" ht="15.75" x14ac:dyDescent="0.25">
      <c r="C10" s="86"/>
      <c r="D10" s="26" t="s">
        <v>135</v>
      </c>
      <c r="E10" s="26">
        <v>5281</v>
      </c>
      <c r="F10" s="142" t="s">
        <v>600</v>
      </c>
      <c r="G10" s="26" t="s">
        <v>52</v>
      </c>
      <c r="H10" s="142">
        <v>7.2</v>
      </c>
      <c r="I10" s="26"/>
      <c r="J10" s="85"/>
      <c r="K10" s="21"/>
      <c r="S10" s="86"/>
      <c r="T10" s="26" t="s">
        <v>135</v>
      </c>
      <c r="U10" s="26">
        <v>5270</v>
      </c>
      <c r="V10" s="26"/>
      <c r="W10" s="26"/>
      <c r="X10" s="26"/>
      <c r="Y10" s="26"/>
      <c r="Z10" s="86"/>
    </row>
    <row r="11" spans="3:26" x14ac:dyDescent="0.25">
      <c r="C11" s="86"/>
      <c r="D11" s="26" t="s">
        <v>136</v>
      </c>
      <c r="E11" s="26">
        <v>5311</v>
      </c>
      <c r="F11" s="142" t="s">
        <v>597</v>
      </c>
      <c r="G11" s="26" t="s">
        <v>52</v>
      </c>
      <c r="H11" s="142">
        <v>7.44</v>
      </c>
      <c r="I11" s="26" t="s">
        <v>100</v>
      </c>
      <c r="J11" s="85"/>
      <c r="K11" s="1"/>
      <c r="S11" s="86"/>
      <c r="T11" s="26" t="s">
        <v>136</v>
      </c>
      <c r="U11" s="26">
        <v>5424</v>
      </c>
      <c r="V11" s="26" t="s">
        <v>304</v>
      </c>
      <c r="W11" s="26" t="s">
        <v>52</v>
      </c>
      <c r="X11" s="26">
        <v>40.049999999999997</v>
      </c>
      <c r="Y11" s="26" t="s">
        <v>18</v>
      </c>
      <c r="Z11" s="86"/>
    </row>
    <row r="12" spans="3:26" x14ac:dyDescent="0.25">
      <c r="C12" s="86"/>
      <c r="D12" s="26" t="s">
        <v>137</v>
      </c>
      <c r="E12" s="26">
        <v>2335</v>
      </c>
      <c r="F12" s="142"/>
      <c r="G12" s="26" t="s">
        <v>52</v>
      </c>
      <c r="H12" s="142">
        <v>7.4</v>
      </c>
      <c r="I12" s="26"/>
      <c r="J12" s="85"/>
      <c r="K12" s="1"/>
      <c r="S12" s="86"/>
      <c r="T12" s="26" t="s">
        <v>137</v>
      </c>
      <c r="U12" s="26">
        <v>5336</v>
      </c>
      <c r="V12" s="26"/>
      <c r="W12" s="26"/>
      <c r="X12" s="26"/>
      <c r="Y12" s="26"/>
      <c r="Z12" s="86"/>
    </row>
    <row r="13" spans="3:26" x14ac:dyDescent="0.25">
      <c r="C13" s="86"/>
      <c r="D13" s="26" t="s">
        <v>138</v>
      </c>
      <c r="E13" s="26">
        <v>5240</v>
      </c>
      <c r="F13" s="142"/>
      <c r="G13" s="26" t="s">
        <v>100</v>
      </c>
      <c r="H13" s="142">
        <v>7.56</v>
      </c>
      <c r="I13" s="26"/>
      <c r="J13" s="85"/>
      <c r="K13" s="1"/>
      <c r="S13" s="86"/>
      <c r="T13" s="26" t="s">
        <v>138</v>
      </c>
      <c r="U13" s="26">
        <v>5385</v>
      </c>
      <c r="V13" s="26"/>
      <c r="W13" s="26"/>
      <c r="X13" s="26"/>
      <c r="Y13" s="26"/>
      <c r="Z13" s="86"/>
    </row>
    <row r="14" spans="3:26" x14ac:dyDescent="0.25">
      <c r="C14" s="86"/>
      <c r="D14" s="26" t="s">
        <v>139</v>
      </c>
      <c r="E14" s="26">
        <v>5304</v>
      </c>
      <c r="F14" s="142"/>
      <c r="G14" s="26" t="s">
        <v>52</v>
      </c>
      <c r="H14" s="142">
        <v>7.2</v>
      </c>
      <c r="I14" s="26"/>
      <c r="J14" s="86"/>
      <c r="K14" s="18"/>
      <c r="S14" s="86"/>
      <c r="T14" s="26" t="s">
        <v>139</v>
      </c>
      <c r="U14" s="26">
        <v>5383</v>
      </c>
      <c r="V14" s="26"/>
      <c r="W14" s="26"/>
      <c r="X14" s="26"/>
      <c r="Y14" s="26"/>
      <c r="Z14" s="86"/>
    </row>
    <row r="15" spans="3:26" ht="15.75" x14ac:dyDescent="0.25">
      <c r="C15" s="86"/>
      <c r="D15" s="88"/>
      <c r="E15" s="88"/>
      <c r="F15" s="143"/>
      <c r="G15" s="88"/>
      <c r="H15" s="143"/>
      <c r="I15" s="88"/>
      <c r="J15" s="89"/>
      <c r="K15" s="21"/>
      <c r="S15" s="89"/>
      <c r="T15" s="88"/>
      <c r="U15" s="88"/>
      <c r="V15" s="88"/>
      <c r="W15" s="88"/>
      <c r="X15" s="88"/>
      <c r="Y15" s="88"/>
      <c r="Z15" s="86"/>
    </row>
    <row r="16" spans="3:26" x14ac:dyDescent="0.25">
      <c r="C16" s="86"/>
      <c r="D16" s="90" t="s">
        <v>47</v>
      </c>
      <c r="E16" s="88"/>
      <c r="F16" s="143"/>
      <c r="G16" s="88"/>
      <c r="H16" s="143"/>
      <c r="I16" s="88"/>
      <c r="J16" s="89"/>
      <c r="K16" s="20"/>
      <c r="S16" s="89"/>
      <c r="T16" s="90" t="s">
        <v>47</v>
      </c>
      <c r="U16" s="88"/>
      <c r="V16" s="88"/>
      <c r="W16" s="88"/>
      <c r="X16" s="88"/>
      <c r="Y16" s="88"/>
      <c r="Z16" s="86"/>
    </row>
    <row r="17" spans="3:26" x14ac:dyDescent="0.25">
      <c r="C17" s="86"/>
      <c r="D17" s="26" t="s">
        <v>134</v>
      </c>
      <c r="E17" s="26">
        <v>5307</v>
      </c>
      <c r="F17" s="142"/>
      <c r="G17" s="26" t="s">
        <v>52</v>
      </c>
      <c r="H17" s="142">
        <v>7.28</v>
      </c>
      <c r="I17" s="26"/>
      <c r="J17" s="86"/>
      <c r="K17" s="18"/>
      <c r="S17" s="86"/>
      <c r="T17" s="26" t="s">
        <v>134</v>
      </c>
      <c r="U17" s="26">
        <v>5343</v>
      </c>
      <c r="V17" s="26"/>
      <c r="W17" s="26"/>
      <c r="X17" s="26"/>
      <c r="Y17" s="26"/>
      <c r="Z17" s="86"/>
    </row>
    <row r="18" spans="3:26" x14ac:dyDescent="0.25">
      <c r="C18" s="86"/>
      <c r="D18" s="26" t="s">
        <v>135</v>
      </c>
      <c r="E18" s="26">
        <v>5393</v>
      </c>
      <c r="F18" s="142"/>
      <c r="G18" s="26" t="s">
        <v>52</v>
      </c>
      <c r="H18" s="142">
        <v>7.28</v>
      </c>
      <c r="I18" s="26"/>
      <c r="J18" s="86"/>
      <c r="K18" s="1"/>
      <c r="S18" s="86"/>
      <c r="T18" s="26" t="s">
        <v>135</v>
      </c>
      <c r="U18" s="26">
        <v>5186</v>
      </c>
      <c r="V18" s="26"/>
      <c r="W18" s="26"/>
      <c r="X18" s="26"/>
      <c r="Y18" s="26"/>
      <c r="Z18" s="86"/>
    </row>
    <row r="19" spans="3:26" ht="15.75" x14ac:dyDescent="0.25">
      <c r="C19" s="86"/>
      <c r="D19" s="26" t="s">
        <v>136</v>
      </c>
      <c r="E19" s="26">
        <v>5288</v>
      </c>
      <c r="F19" s="142" t="s">
        <v>290</v>
      </c>
      <c r="G19" s="26" t="s">
        <v>52</v>
      </c>
      <c r="H19" s="142">
        <v>8.1199999999999992</v>
      </c>
      <c r="I19" s="26" t="s">
        <v>52</v>
      </c>
      <c r="J19" s="86"/>
      <c r="K19" s="21"/>
      <c r="S19" s="86"/>
      <c r="T19" s="26" t="s">
        <v>136</v>
      </c>
      <c r="U19" s="26">
        <v>5317</v>
      </c>
      <c r="V19" s="26" t="s">
        <v>302</v>
      </c>
      <c r="W19" s="26" t="s">
        <v>52</v>
      </c>
      <c r="X19" s="26">
        <v>40.04</v>
      </c>
      <c r="Y19" s="26" t="s">
        <v>18</v>
      </c>
      <c r="Z19" s="86"/>
    </row>
    <row r="20" spans="3:26" x14ac:dyDescent="0.25">
      <c r="C20" s="86"/>
      <c r="D20" s="26" t="s">
        <v>137</v>
      </c>
      <c r="E20" s="26">
        <v>2503</v>
      </c>
      <c r="F20" s="142"/>
      <c r="G20" s="26" t="s">
        <v>52</v>
      </c>
      <c r="H20" s="142">
        <v>7.24</v>
      </c>
      <c r="I20" s="26"/>
      <c r="J20" s="86"/>
      <c r="K20" s="1"/>
      <c r="S20" s="86"/>
      <c r="T20" s="26" t="s">
        <v>137</v>
      </c>
      <c r="U20" s="26">
        <v>5303</v>
      </c>
      <c r="V20" s="26"/>
      <c r="W20" s="26"/>
      <c r="X20" s="26"/>
      <c r="Y20" s="26"/>
      <c r="Z20" s="86"/>
    </row>
    <row r="21" spans="3:26" x14ac:dyDescent="0.25">
      <c r="C21" s="86"/>
      <c r="D21" s="26" t="s">
        <v>138</v>
      </c>
      <c r="E21" s="26">
        <v>2511</v>
      </c>
      <c r="F21" s="142"/>
      <c r="G21" s="26" t="s">
        <v>52</v>
      </c>
      <c r="H21" s="142">
        <v>7.24</v>
      </c>
      <c r="I21" s="26"/>
      <c r="J21" s="86"/>
      <c r="K21" s="1"/>
      <c r="S21" s="86"/>
      <c r="T21" s="26" t="s">
        <v>138</v>
      </c>
      <c r="U21" s="26">
        <v>5337</v>
      </c>
      <c r="V21" s="26"/>
      <c r="W21" s="26"/>
      <c r="X21" s="26"/>
      <c r="Y21" s="26"/>
      <c r="Z21" s="86"/>
    </row>
    <row r="22" spans="3:26" x14ac:dyDescent="0.25">
      <c r="C22" s="86"/>
      <c r="D22" s="26" t="s">
        <v>139</v>
      </c>
      <c r="E22" s="26">
        <v>5309</v>
      </c>
      <c r="F22" s="142"/>
      <c r="G22" s="26" t="s">
        <v>52</v>
      </c>
      <c r="H22" s="142">
        <v>7.32</v>
      </c>
      <c r="I22" s="26"/>
      <c r="J22" s="86"/>
      <c r="K22" s="1"/>
      <c r="S22" s="86"/>
      <c r="T22" s="26" t="s">
        <v>139</v>
      </c>
      <c r="U22" s="26">
        <v>5382</v>
      </c>
      <c r="V22" s="26"/>
      <c r="W22" s="26"/>
      <c r="X22" s="26"/>
      <c r="Y22" s="26"/>
      <c r="Z22" s="86"/>
    </row>
    <row r="23" spans="3:26" x14ac:dyDescent="0.25">
      <c r="C23" s="86"/>
      <c r="D23" s="88"/>
      <c r="E23" s="88"/>
      <c r="F23" s="143"/>
      <c r="G23" s="88"/>
      <c r="H23" s="143"/>
      <c r="I23" s="88"/>
      <c r="J23" s="89"/>
      <c r="K23" s="18"/>
      <c r="S23" s="89"/>
      <c r="T23" s="88"/>
      <c r="U23" s="88"/>
      <c r="V23" s="88"/>
      <c r="W23" s="88"/>
      <c r="X23" s="88"/>
      <c r="Y23" s="88"/>
      <c r="Z23" s="86"/>
    </row>
    <row r="24" spans="3:26" x14ac:dyDescent="0.25">
      <c r="C24" s="86"/>
      <c r="D24" s="90" t="s">
        <v>48</v>
      </c>
      <c r="E24" s="88"/>
      <c r="F24" s="143"/>
      <c r="G24" s="88"/>
      <c r="H24" s="143"/>
      <c r="I24" s="88"/>
      <c r="J24" s="89"/>
      <c r="K24" s="1"/>
      <c r="S24" s="89"/>
      <c r="T24" s="90" t="s">
        <v>48</v>
      </c>
      <c r="U24" s="88"/>
      <c r="V24" s="88"/>
      <c r="W24" s="88"/>
      <c r="X24" s="88"/>
      <c r="Y24" s="88"/>
      <c r="Z24" s="86"/>
    </row>
    <row r="25" spans="3:26" x14ac:dyDescent="0.25">
      <c r="C25" s="86"/>
      <c r="D25" s="26" t="s">
        <v>134</v>
      </c>
      <c r="E25" s="26">
        <v>5283</v>
      </c>
      <c r="F25" s="142" t="s">
        <v>598</v>
      </c>
      <c r="G25" s="26" t="s">
        <v>52</v>
      </c>
      <c r="H25" s="142">
        <v>7</v>
      </c>
      <c r="I25" s="26"/>
      <c r="J25" s="86"/>
      <c r="K25" s="56"/>
      <c r="S25" s="86"/>
      <c r="T25" s="26" t="s">
        <v>134</v>
      </c>
      <c r="U25" s="26">
        <v>5290</v>
      </c>
      <c r="V25" s="26"/>
      <c r="W25" s="26"/>
      <c r="X25" s="26"/>
      <c r="Y25" s="26"/>
      <c r="Z25" s="86"/>
    </row>
    <row r="26" spans="3:26" x14ac:dyDescent="0.25">
      <c r="C26" s="86"/>
      <c r="D26" s="26" t="s">
        <v>135</v>
      </c>
      <c r="E26" s="26">
        <v>5330</v>
      </c>
      <c r="F26" s="142" t="s">
        <v>599</v>
      </c>
      <c r="G26" s="26" t="s">
        <v>52</v>
      </c>
      <c r="H26" s="142">
        <v>7.2</v>
      </c>
      <c r="I26" s="26"/>
      <c r="J26" s="86"/>
      <c r="K26" s="1"/>
      <c r="S26" s="86"/>
      <c r="T26" s="26" t="s">
        <v>135</v>
      </c>
      <c r="U26" s="26">
        <v>5297</v>
      </c>
      <c r="V26" s="26"/>
      <c r="W26" s="26"/>
      <c r="X26" s="26"/>
      <c r="Y26" s="26"/>
      <c r="Z26" s="86"/>
    </row>
    <row r="27" spans="3:26" x14ac:dyDescent="0.25">
      <c r="C27" s="86"/>
      <c r="D27" s="26" t="s">
        <v>136</v>
      </c>
      <c r="E27" s="26">
        <v>5295</v>
      </c>
      <c r="F27" s="142" t="s">
        <v>596</v>
      </c>
      <c r="G27" s="26" t="s">
        <v>52</v>
      </c>
      <c r="H27" s="142">
        <v>7.12</v>
      </c>
      <c r="I27" s="26" t="s">
        <v>100</v>
      </c>
      <c r="J27" s="86"/>
      <c r="K27" s="1"/>
      <c r="S27" s="86"/>
      <c r="T27" s="26" t="s">
        <v>136</v>
      </c>
      <c r="U27" s="26">
        <v>5423</v>
      </c>
      <c r="V27" s="26" t="s">
        <v>303</v>
      </c>
      <c r="W27" s="26" t="s">
        <v>52</v>
      </c>
      <c r="X27" s="26">
        <v>40</v>
      </c>
      <c r="Y27" s="26" t="s">
        <v>18</v>
      </c>
      <c r="Z27" s="86"/>
    </row>
    <row r="28" spans="3:26" x14ac:dyDescent="0.25">
      <c r="C28" s="86"/>
      <c r="D28" s="26" t="s">
        <v>137</v>
      </c>
      <c r="E28" s="26">
        <v>5238</v>
      </c>
      <c r="F28" s="142"/>
      <c r="G28" s="26" t="s">
        <v>52</v>
      </c>
      <c r="H28" s="142">
        <v>7.2</v>
      </c>
      <c r="I28" s="26"/>
      <c r="J28" s="86"/>
      <c r="K28" s="1"/>
      <c r="S28" s="86"/>
      <c r="T28" s="26" t="s">
        <v>137</v>
      </c>
      <c r="U28" s="26">
        <v>5384</v>
      </c>
      <c r="V28" s="26"/>
      <c r="W28" s="26"/>
      <c r="X28" s="26"/>
      <c r="Y28" s="26"/>
      <c r="Z28" s="86"/>
    </row>
    <row r="29" spans="3:26" x14ac:dyDescent="0.25">
      <c r="C29" s="86"/>
      <c r="D29" s="26" t="s">
        <v>138</v>
      </c>
      <c r="E29" s="26">
        <v>5269</v>
      </c>
      <c r="F29" s="142"/>
      <c r="G29" s="26" t="s">
        <v>97</v>
      </c>
      <c r="H29" s="142">
        <v>7.06</v>
      </c>
      <c r="I29" s="26"/>
      <c r="J29" s="86"/>
      <c r="S29" s="86"/>
      <c r="T29" s="26" t="s">
        <v>138</v>
      </c>
      <c r="U29" s="26">
        <v>5236</v>
      </c>
      <c r="V29" s="26"/>
      <c r="W29" s="26"/>
      <c r="X29" s="26"/>
      <c r="Y29" s="26"/>
      <c r="Z29" s="86"/>
    </row>
    <row r="30" spans="3:26" x14ac:dyDescent="0.25">
      <c r="C30" s="86"/>
      <c r="D30" s="26" t="s">
        <v>139</v>
      </c>
      <c r="E30" s="26">
        <v>5255</v>
      </c>
      <c r="F30" s="142"/>
      <c r="G30" s="26" t="s">
        <v>52</v>
      </c>
      <c r="H30" s="142">
        <v>7.6</v>
      </c>
      <c r="I30" s="26"/>
      <c r="J30" s="86"/>
      <c r="K30" s="1"/>
      <c r="S30" s="86"/>
      <c r="T30" s="26" t="s">
        <v>139</v>
      </c>
      <c r="U30" s="26">
        <v>5249</v>
      </c>
      <c r="V30" s="26"/>
      <c r="W30" s="26"/>
      <c r="X30" s="26"/>
      <c r="Y30" s="26"/>
      <c r="Z30" s="86"/>
    </row>
    <row r="31" spans="3:26" x14ac:dyDescent="0.25">
      <c r="C31" s="86"/>
      <c r="D31" s="85"/>
      <c r="E31" s="85"/>
      <c r="F31" s="144"/>
      <c r="G31" s="85"/>
      <c r="H31" s="144"/>
      <c r="I31" s="85"/>
      <c r="J31" s="86"/>
      <c r="S31" s="86"/>
      <c r="T31" s="85"/>
      <c r="U31" s="85"/>
      <c r="V31" s="85"/>
      <c r="W31" s="85"/>
      <c r="X31" s="85"/>
      <c r="Y31" s="85"/>
      <c r="Z31" s="86"/>
    </row>
    <row r="32" spans="3:26" x14ac:dyDescent="0.25">
      <c r="C32" s="86"/>
      <c r="D32" s="87" t="s">
        <v>49</v>
      </c>
      <c r="E32" s="85"/>
      <c r="F32" s="144"/>
      <c r="G32" s="85"/>
      <c r="H32" s="144"/>
      <c r="I32" s="85"/>
      <c r="J32" s="86"/>
      <c r="K32" s="1"/>
      <c r="S32" s="86"/>
      <c r="T32" s="87" t="s">
        <v>49</v>
      </c>
      <c r="U32" s="85"/>
      <c r="V32" s="85"/>
      <c r="W32" s="85"/>
      <c r="X32" s="85"/>
      <c r="Y32" s="85"/>
      <c r="Z32" s="86"/>
    </row>
    <row r="33" spans="3:26" x14ac:dyDescent="0.25">
      <c r="C33" s="86"/>
      <c r="D33" s="26" t="s">
        <v>134</v>
      </c>
      <c r="E33" s="26">
        <v>5314</v>
      </c>
      <c r="F33" s="142"/>
      <c r="G33" s="26" t="s">
        <v>52</v>
      </c>
      <c r="H33" s="142">
        <v>7.44</v>
      </c>
      <c r="I33" s="26"/>
      <c r="J33" s="86"/>
      <c r="K33" s="1"/>
      <c r="S33" s="86"/>
      <c r="T33" s="26" t="s">
        <v>134</v>
      </c>
      <c r="U33" s="26">
        <v>5339</v>
      </c>
      <c r="V33" s="26"/>
      <c r="W33" s="26"/>
      <c r="X33" s="26"/>
      <c r="Y33" s="26"/>
      <c r="Z33" s="86"/>
    </row>
    <row r="34" spans="3:26" x14ac:dyDescent="0.25">
      <c r="C34" s="86"/>
      <c r="D34" s="26" t="s">
        <v>135</v>
      </c>
      <c r="E34" s="26">
        <v>5392</v>
      </c>
      <c r="F34" s="146"/>
      <c r="G34" s="26" t="s">
        <v>52</v>
      </c>
      <c r="H34" s="142">
        <v>7.36</v>
      </c>
      <c r="I34" s="25"/>
      <c r="J34" s="86"/>
      <c r="K34" s="56"/>
      <c r="S34" s="86"/>
      <c r="T34" s="26" t="s">
        <v>135</v>
      </c>
      <c r="U34" s="26">
        <v>5296</v>
      </c>
      <c r="V34" s="25"/>
      <c r="W34" s="25"/>
      <c r="X34" s="25"/>
      <c r="Y34" s="25"/>
      <c r="Z34" s="86"/>
    </row>
    <row r="35" spans="3:26" x14ac:dyDescent="0.25">
      <c r="C35" s="86"/>
      <c r="D35" s="26" t="s">
        <v>136</v>
      </c>
      <c r="E35" s="26">
        <v>5331</v>
      </c>
      <c r="F35" s="142" t="s">
        <v>290</v>
      </c>
      <c r="G35" s="26" t="s">
        <v>52</v>
      </c>
      <c r="H35" s="142">
        <v>7.68</v>
      </c>
      <c r="I35" s="26" t="s">
        <v>52</v>
      </c>
      <c r="J35" s="86"/>
      <c r="K35" s="1"/>
      <c r="S35" s="86"/>
      <c r="T35" s="26" t="s">
        <v>136</v>
      </c>
      <c r="U35" s="26">
        <v>5341</v>
      </c>
      <c r="V35" s="26" t="s">
        <v>302</v>
      </c>
      <c r="W35" s="26" t="s">
        <v>52</v>
      </c>
      <c r="X35" s="26">
        <v>40.340000000000003</v>
      </c>
      <c r="Y35" s="26" t="s">
        <v>18</v>
      </c>
      <c r="Z35" s="86"/>
    </row>
    <row r="36" spans="3:26" x14ac:dyDescent="0.25">
      <c r="C36" s="86"/>
      <c r="D36" s="26" t="s">
        <v>137</v>
      </c>
      <c r="E36" s="26">
        <v>5407</v>
      </c>
      <c r="F36" s="146"/>
      <c r="G36" s="26" t="s">
        <v>52</v>
      </c>
      <c r="H36" s="142">
        <v>7.36</v>
      </c>
      <c r="I36" s="25"/>
      <c r="J36" s="86"/>
      <c r="K36" s="1"/>
      <c r="S36" s="86"/>
      <c r="T36" s="26" t="s">
        <v>137</v>
      </c>
      <c r="U36" s="26">
        <v>5340</v>
      </c>
      <c r="V36" s="25"/>
      <c r="W36" s="25"/>
      <c r="X36" s="25"/>
      <c r="Y36" s="25"/>
      <c r="Z36" s="86"/>
    </row>
    <row r="37" spans="3:26" x14ac:dyDescent="0.25">
      <c r="C37" s="86"/>
      <c r="D37" s="26" t="s">
        <v>138</v>
      </c>
      <c r="E37" s="26">
        <v>2510</v>
      </c>
      <c r="F37" s="146"/>
      <c r="G37" s="26" t="s">
        <v>52</v>
      </c>
      <c r="H37" s="142">
        <v>7.24</v>
      </c>
      <c r="I37" s="25"/>
      <c r="J37" s="86"/>
      <c r="K37" s="1"/>
      <c r="S37" s="86"/>
      <c r="T37" s="26" t="s">
        <v>138</v>
      </c>
      <c r="U37" s="26">
        <v>5275</v>
      </c>
      <c r="V37" s="25"/>
      <c r="W37" s="25"/>
      <c r="X37" s="25"/>
      <c r="Y37" s="25"/>
      <c r="Z37" s="86"/>
    </row>
    <row r="38" spans="3:26" x14ac:dyDescent="0.25">
      <c r="C38" s="86"/>
      <c r="D38" s="26" t="s">
        <v>139</v>
      </c>
      <c r="E38" s="26">
        <v>5239</v>
      </c>
      <c r="F38" s="146"/>
      <c r="G38" s="26" t="s">
        <v>52</v>
      </c>
      <c r="H38" s="142">
        <v>8.1199999999999992</v>
      </c>
      <c r="I38" s="25"/>
      <c r="J38" s="86"/>
      <c r="S38" s="86"/>
      <c r="T38" s="26" t="s">
        <v>139</v>
      </c>
      <c r="U38" s="26">
        <v>5342</v>
      </c>
      <c r="V38" s="25"/>
      <c r="W38" s="25"/>
      <c r="X38" s="25"/>
      <c r="Y38" s="25"/>
      <c r="Z38" s="86"/>
    </row>
    <row r="39" spans="3:26" x14ac:dyDescent="0.25">
      <c r="C39" s="86"/>
      <c r="D39" s="86"/>
      <c r="E39" s="86"/>
      <c r="F39" s="149"/>
      <c r="G39" s="86"/>
      <c r="H39" s="144"/>
      <c r="I39" s="86"/>
      <c r="J39" s="86"/>
      <c r="K39" s="1"/>
      <c r="S39" s="86"/>
      <c r="T39" s="86"/>
      <c r="U39" s="86"/>
      <c r="V39" s="149"/>
      <c r="W39" s="86"/>
      <c r="X39" s="149"/>
      <c r="Y39" s="86"/>
      <c r="Z39" s="86"/>
    </row>
    <row r="40" spans="3:26" x14ac:dyDescent="0.25">
      <c r="C40" s="86"/>
      <c r="D40" s="86"/>
      <c r="E40" s="86"/>
      <c r="F40" s="149"/>
      <c r="G40" s="86"/>
      <c r="H40" s="144"/>
      <c r="I40" s="86"/>
      <c r="J40" s="86"/>
      <c r="K40" s="1"/>
      <c r="S40" s="86"/>
      <c r="T40" s="86"/>
      <c r="U40" s="86"/>
      <c r="V40" s="149"/>
      <c r="W40" s="86"/>
      <c r="X40" s="149"/>
      <c r="Y40" s="86"/>
      <c r="Z40" s="86"/>
    </row>
    <row r="41" spans="3:26" ht="15.75" x14ac:dyDescent="0.25">
      <c r="C41" s="21"/>
      <c r="D41" s="21"/>
      <c r="E41" s="21"/>
      <c r="F41" s="150"/>
      <c r="G41" s="21"/>
      <c r="H41" s="150"/>
      <c r="I41" s="21"/>
      <c r="J41" s="21"/>
      <c r="K41" s="18"/>
      <c r="T41" s="21"/>
      <c r="U41" s="21"/>
      <c r="V41" s="150"/>
      <c r="W41" s="21"/>
      <c r="X41" s="150"/>
      <c r="Y41" s="21"/>
    </row>
    <row r="42" spans="3:26" ht="15.75" x14ac:dyDescent="0.25">
      <c r="C42" s="21"/>
      <c r="D42" s="21"/>
      <c r="E42" s="21"/>
      <c r="F42" s="150"/>
      <c r="G42" s="21"/>
      <c r="H42" s="150"/>
      <c r="I42" s="21"/>
      <c r="J42" s="21"/>
      <c r="K42" s="18"/>
      <c r="T42" s="21"/>
      <c r="U42" s="21"/>
      <c r="V42" s="150"/>
      <c r="W42" s="21"/>
      <c r="X42" s="150"/>
      <c r="Y42" s="21"/>
    </row>
    <row r="43" spans="3:26" ht="15.75" x14ac:dyDescent="0.25">
      <c r="C43" s="21"/>
      <c r="D43" s="21"/>
      <c r="E43" s="21"/>
      <c r="F43" s="150"/>
      <c r="G43" s="21"/>
      <c r="H43" s="150"/>
      <c r="I43" s="21"/>
      <c r="J43" s="21"/>
      <c r="K43" s="18"/>
      <c r="T43" s="21"/>
      <c r="U43" s="21"/>
      <c r="V43" s="150"/>
      <c r="W43" s="21"/>
      <c r="X43" s="150"/>
      <c r="Y43" s="21"/>
    </row>
    <row r="44" spans="3:26" ht="15.75" x14ac:dyDescent="0.25">
      <c r="C44" s="21"/>
      <c r="D44" s="21"/>
      <c r="E44" s="21"/>
      <c r="F44" s="150"/>
      <c r="G44" s="21"/>
      <c r="H44" s="150"/>
      <c r="I44" s="21"/>
      <c r="J44" s="21"/>
      <c r="K44" s="18"/>
      <c r="T44" s="21"/>
      <c r="U44" s="21"/>
      <c r="V44" s="150"/>
      <c r="W44" s="21"/>
      <c r="X44" s="150"/>
      <c r="Y44" s="21"/>
    </row>
    <row r="45" spans="3:26" ht="15.75" x14ac:dyDescent="0.25">
      <c r="C45" s="21"/>
      <c r="D45" s="21"/>
      <c r="E45" s="21"/>
      <c r="F45" s="150"/>
      <c r="G45" s="21"/>
      <c r="H45" s="150"/>
      <c r="I45" s="21"/>
      <c r="J45" s="21"/>
      <c r="K45" s="18"/>
      <c r="T45" s="21"/>
      <c r="U45" s="21"/>
      <c r="V45" s="150"/>
      <c r="W45" s="21"/>
      <c r="X45" s="150"/>
      <c r="Y45" s="21"/>
    </row>
    <row r="58" spans="3:24" ht="21" x14ac:dyDescent="0.35">
      <c r="C58" s="140"/>
    </row>
    <row r="59" spans="3:24" x14ac:dyDescent="0.25">
      <c r="V59"/>
      <c r="X59"/>
    </row>
    <row r="60" spans="3:24" ht="15.75" x14ac:dyDescent="0.25">
      <c r="C60" s="70"/>
      <c r="D60" s="70"/>
      <c r="E60" s="70"/>
      <c r="F60" s="164"/>
      <c r="G60" s="70"/>
      <c r="H60" s="164"/>
      <c r="I60" s="70"/>
      <c r="J60" s="70"/>
      <c r="V60"/>
      <c r="X60"/>
    </row>
    <row r="61" spans="3:24" x14ac:dyDescent="0.25">
      <c r="C61" s="18"/>
      <c r="D61" s="18"/>
      <c r="E61" s="18"/>
      <c r="F61" s="154"/>
      <c r="G61" s="18"/>
      <c r="I61" s="18"/>
      <c r="V61"/>
      <c r="X61"/>
    </row>
    <row r="62" spans="3:24" x14ac:dyDescent="0.25">
      <c r="C62" s="18"/>
      <c r="D62" s="18"/>
      <c r="E62" s="18"/>
      <c r="F62" s="154"/>
      <c r="G62" s="18"/>
      <c r="I62" s="18"/>
      <c r="J62" s="18"/>
      <c r="V62"/>
      <c r="X62"/>
    </row>
    <row r="63" spans="3:24" x14ac:dyDescent="0.25">
      <c r="C63" s="18"/>
      <c r="D63" s="18"/>
      <c r="E63" s="18"/>
      <c r="F63" s="154"/>
      <c r="G63" s="18"/>
      <c r="I63" s="18"/>
      <c r="J63" s="18"/>
      <c r="V63"/>
      <c r="X63"/>
    </row>
    <row r="64" spans="3:24" x14ac:dyDescent="0.25">
      <c r="C64" s="18"/>
      <c r="D64" s="18"/>
      <c r="E64" s="18"/>
      <c r="F64" s="154"/>
      <c r="G64" s="18"/>
      <c r="I64" s="18"/>
      <c r="J64" s="18"/>
      <c r="V64"/>
      <c r="X64"/>
    </row>
    <row r="65" spans="3:24" x14ac:dyDescent="0.25">
      <c r="C65" s="18"/>
      <c r="D65" s="18"/>
      <c r="E65" s="18"/>
      <c r="F65" s="154"/>
      <c r="G65" s="18"/>
      <c r="I65" s="18"/>
      <c r="J65" s="18"/>
      <c r="V65"/>
      <c r="X65"/>
    </row>
    <row r="66" spans="3:24" x14ac:dyDescent="0.25">
      <c r="C66" s="18"/>
      <c r="D66" s="18"/>
      <c r="E66" s="18"/>
      <c r="F66" s="154"/>
      <c r="G66" s="18"/>
      <c r="I66" s="18"/>
      <c r="V66"/>
      <c r="X66"/>
    </row>
    <row r="67" spans="3:24" x14ac:dyDescent="0.25">
      <c r="F67"/>
      <c r="H67"/>
      <c r="V67"/>
      <c r="X67"/>
    </row>
    <row r="68" spans="3:24" x14ac:dyDescent="0.25">
      <c r="F68"/>
      <c r="H68"/>
      <c r="V68"/>
      <c r="X68"/>
    </row>
    <row r="69" spans="3:24" x14ac:dyDescent="0.25">
      <c r="C69" s="18"/>
      <c r="D69" s="18"/>
      <c r="E69" s="18"/>
      <c r="F69" s="154"/>
      <c r="G69" s="18"/>
      <c r="I69" s="18"/>
      <c r="V69"/>
      <c r="X69"/>
    </row>
    <row r="70" spans="3:24" x14ac:dyDescent="0.25">
      <c r="C70" s="18"/>
      <c r="D70" s="18"/>
      <c r="E70" s="18"/>
      <c r="F70" s="154"/>
      <c r="G70" s="18"/>
      <c r="I70" s="18"/>
      <c r="V70"/>
      <c r="X70"/>
    </row>
    <row r="71" spans="3:24" x14ac:dyDescent="0.25">
      <c r="C71" s="18"/>
      <c r="D71" s="18"/>
      <c r="E71" s="18"/>
      <c r="F71" s="154"/>
      <c r="G71" s="18"/>
      <c r="I71" s="18"/>
      <c r="J71" s="18"/>
      <c r="V71"/>
      <c r="X71"/>
    </row>
    <row r="72" spans="3:24" x14ac:dyDescent="0.25">
      <c r="C72" s="18"/>
      <c r="D72" s="18"/>
      <c r="E72" s="18"/>
      <c r="F72" s="154"/>
      <c r="G72" s="18"/>
      <c r="I72" s="18"/>
      <c r="J72" s="18"/>
      <c r="V72"/>
      <c r="X72"/>
    </row>
    <row r="73" spans="3:24" x14ac:dyDescent="0.25">
      <c r="C73" s="18"/>
      <c r="D73" s="18"/>
      <c r="E73" s="18"/>
      <c r="F73" s="154"/>
      <c r="G73" s="18"/>
      <c r="I73" s="18"/>
      <c r="J73" s="18"/>
      <c r="V73"/>
      <c r="X73"/>
    </row>
    <row r="74" spans="3:24" x14ac:dyDescent="0.25">
      <c r="C74" s="18"/>
      <c r="D74" s="18"/>
      <c r="E74" s="18"/>
      <c r="F74" s="154"/>
      <c r="G74" s="18"/>
      <c r="I74" s="18"/>
      <c r="J74" s="18"/>
      <c r="V74"/>
      <c r="X74"/>
    </row>
    <row r="75" spans="3:24" x14ac:dyDescent="0.25">
      <c r="F75"/>
      <c r="H75"/>
      <c r="V75"/>
      <c r="X75"/>
    </row>
    <row r="76" spans="3:24" x14ac:dyDescent="0.25">
      <c r="F76"/>
      <c r="H76"/>
      <c r="V76"/>
      <c r="X76"/>
    </row>
    <row r="77" spans="3:24" x14ac:dyDescent="0.25">
      <c r="F77"/>
      <c r="H77"/>
      <c r="V77"/>
      <c r="X77"/>
    </row>
    <row r="78" spans="3:24" x14ac:dyDescent="0.25">
      <c r="F78"/>
      <c r="H78"/>
      <c r="V78"/>
      <c r="X78"/>
    </row>
    <row r="79" spans="3:24" x14ac:dyDescent="0.25">
      <c r="F79"/>
      <c r="H79"/>
      <c r="V79"/>
      <c r="X79"/>
    </row>
    <row r="80" spans="3:24" x14ac:dyDescent="0.25">
      <c r="F80"/>
      <c r="H80"/>
      <c r="V80"/>
      <c r="X80"/>
    </row>
    <row r="81" spans="3:24" x14ac:dyDescent="0.25">
      <c r="F81"/>
      <c r="H81"/>
      <c r="V81"/>
      <c r="X81"/>
    </row>
    <row r="82" spans="3:24" x14ac:dyDescent="0.25">
      <c r="F82"/>
      <c r="H82"/>
      <c r="V82"/>
      <c r="X82"/>
    </row>
    <row r="83" spans="3:24" x14ac:dyDescent="0.25">
      <c r="F83"/>
      <c r="H83"/>
      <c r="V83"/>
      <c r="X83"/>
    </row>
    <row r="84" spans="3:24" x14ac:dyDescent="0.25">
      <c r="F84"/>
      <c r="H84"/>
      <c r="V84"/>
      <c r="X84"/>
    </row>
    <row r="85" spans="3:24" x14ac:dyDescent="0.25">
      <c r="C85" s="18"/>
      <c r="D85" s="18"/>
      <c r="E85" s="18"/>
      <c r="F85" s="154"/>
      <c r="G85" s="18"/>
      <c r="I85" s="18"/>
      <c r="J85" s="18"/>
      <c r="V85"/>
      <c r="X85"/>
    </row>
    <row r="86" spans="3:24" x14ac:dyDescent="0.25">
      <c r="C86" s="18"/>
      <c r="D86" s="18"/>
      <c r="E86" s="18"/>
      <c r="F86" s="154"/>
      <c r="G86" s="18"/>
      <c r="I86" s="18"/>
      <c r="J86" s="18"/>
      <c r="V86"/>
      <c r="X86"/>
    </row>
    <row r="87" spans="3:24" x14ac:dyDescent="0.25">
      <c r="C87" s="18"/>
      <c r="D87" s="18"/>
      <c r="E87" s="18"/>
      <c r="F87" s="154"/>
      <c r="G87" s="18"/>
      <c r="I87" s="18"/>
      <c r="J87" s="18"/>
      <c r="V87"/>
      <c r="X87"/>
    </row>
    <row r="88" spans="3:24" x14ac:dyDescent="0.25">
      <c r="C88" s="18"/>
      <c r="D88" s="18"/>
      <c r="E88" s="18"/>
      <c r="F88" s="154"/>
      <c r="G88" s="18"/>
      <c r="I88" s="18"/>
      <c r="J88" s="18"/>
      <c r="V88"/>
      <c r="X88"/>
    </row>
    <row r="89" spans="3:24" x14ac:dyDescent="0.25">
      <c r="C89" s="18"/>
      <c r="D89" s="18"/>
      <c r="E89" s="18"/>
      <c r="F89" s="154"/>
      <c r="G89" s="18"/>
      <c r="I89" s="18"/>
      <c r="J89" s="18"/>
      <c r="V89"/>
      <c r="X89"/>
    </row>
    <row r="90" spans="3:24" x14ac:dyDescent="0.25">
      <c r="C90" s="18"/>
      <c r="D90" s="18"/>
      <c r="E90" s="18"/>
      <c r="F90" s="154"/>
      <c r="G90" s="18"/>
      <c r="I90" s="18"/>
      <c r="J90" s="18"/>
      <c r="V90"/>
      <c r="X90"/>
    </row>
  </sheetData>
  <pageMargins left="0.7" right="0.7" top="0.75" bottom="0.75" header="0.3" footer="0.3"/>
  <pageSetup paperSize="1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4:L39"/>
  <sheetViews>
    <sheetView windowProtection="1" topLeftCell="A4" workbookViewId="0">
      <selection activeCell="M14" sqref="M14"/>
    </sheetView>
  </sheetViews>
  <sheetFormatPr defaultRowHeight="15" x14ac:dyDescent="0.25"/>
  <cols>
    <col min="3" max="5" width="12.7109375" customWidth="1"/>
    <col min="6" max="6" width="28.7109375" customWidth="1"/>
    <col min="7" max="7" width="30.7109375" customWidth="1"/>
    <col min="8" max="8" width="28.7109375" customWidth="1"/>
    <col min="9" max="9" width="30.7109375" customWidth="1"/>
    <col min="10" max="11" width="12.7109375" customWidth="1"/>
    <col min="12" max="12" width="18.7109375" style="155" customWidth="1"/>
  </cols>
  <sheetData>
    <row r="4" spans="3:12" ht="21" x14ac:dyDescent="0.35">
      <c r="C4" s="140" t="s">
        <v>592</v>
      </c>
      <c r="F4" s="98"/>
      <c r="J4" s="154"/>
    </row>
    <row r="5" spans="3:12" ht="21" x14ac:dyDescent="0.35">
      <c r="C5" s="140"/>
      <c r="F5" s="98"/>
      <c r="J5" s="154"/>
    </row>
    <row r="6" spans="3:12" s="19" customFormat="1" ht="21" x14ac:dyDescent="0.35">
      <c r="C6" s="140"/>
      <c r="D6" s="19" t="s">
        <v>602</v>
      </c>
      <c r="F6" s="148"/>
      <c r="J6" s="99"/>
      <c r="L6" s="155"/>
    </row>
    <row r="7" spans="3:12" ht="21" x14ac:dyDescent="0.35">
      <c r="C7" s="140"/>
      <c r="F7" s="98"/>
      <c r="J7" s="154"/>
    </row>
    <row r="8" spans="3:12" x14ac:dyDescent="0.25">
      <c r="C8" s="25"/>
      <c r="D8" s="25"/>
      <c r="E8" s="25"/>
      <c r="F8" s="100" t="s">
        <v>601</v>
      </c>
      <c r="G8" s="91" t="s">
        <v>603</v>
      </c>
      <c r="H8" s="100" t="s">
        <v>601</v>
      </c>
      <c r="I8" s="91" t="s">
        <v>604</v>
      </c>
      <c r="J8" s="142"/>
      <c r="K8" s="25"/>
      <c r="L8" s="156"/>
    </row>
    <row r="9" spans="3:12" ht="15.75" x14ac:dyDescent="0.25">
      <c r="C9" s="38" t="s">
        <v>41</v>
      </c>
      <c r="D9" s="38" t="s">
        <v>175</v>
      </c>
      <c r="E9" s="38" t="s">
        <v>89</v>
      </c>
      <c r="F9" s="151" t="s">
        <v>606</v>
      </c>
      <c r="G9" s="38" t="s">
        <v>43</v>
      </c>
      <c r="H9" s="38" t="s">
        <v>607</v>
      </c>
      <c r="I9" s="38" t="s">
        <v>90</v>
      </c>
      <c r="J9" s="151" t="s">
        <v>91</v>
      </c>
      <c r="K9" s="38" t="s">
        <v>92</v>
      </c>
      <c r="L9" s="38" t="s">
        <v>634</v>
      </c>
    </row>
    <row r="10" spans="3:12" ht="15.75" x14ac:dyDescent="0.25">
      <c r="C10" s="26">
        <v>1</v>
      </c>
      <c r="D10" s="26" t="s">
        <v>623</v>
      </c>
      <c r="E10" s="26">
        <v>5389</v>
      </c>
      <c r="F10" s="142" t="s">
        <v>628</v>
      </c>
      <c r="G10" s="23">
        <v>25</v>
      </c>
      <c r="H10" s="26" t="s">
        <v>632</v>
      </c>
      <c r="I10" s="26">
        <v>124.5</v>
      </c>
      <c r="J10" s="160" t="s">
        <v>52</v>
      </c>
      <c r="K10" s="26">
        <v>7.58</v>
      </c>
      <c r="L10" s="162" t="s">
        <v>100</v>
      </c>
    </row>
    <row r="11" spans="3:12" x14ac:dyDescent="0.25">
      <c r="C11" s="26">
        <v>2</v>
      </c>
      <c r="D11" s="26" t="s">
        <v>624</v>
      </c>
      <c r="E11" s="26">
        <v>5281</v>
      </c>
      <c r="F11" s="142" t="s">
        <v>629</v>
      </c>
      <c r="G11" s="26">
        <v>19</v>
      </c>
      <c r="H11" s="26" t="s">
        <v>631</v>
      </c>
      <c r="I11" s="26">
        <v>29.2</v>
      </c>
      <c r="J11" s="160" t="s">
        <v>52</v>
      </c>
      <c r="K11" s="26">
        <v>7.36</v>
      </c>
      <c r="L11" s="80" t="s">
        <v>97</v>
      </c>
    </row>
    <row r="12" spans="3:12" x14ac:dyDescent="0.25">
      <c r="C12" s="26">
        <v>3</v>
      </c>
      <c r="D12" s="26" t="s">
        <v>625</v>
      </c>
      <c r="E12" s="26">
        <v>5311</v>
      </c>
      <c r="F12" s="142" t="s">
        <v>630</v>
      </c>
      <c r="G12" s="26">
        <v>7.2</v>
      </c>
      <c r="H12" s="26" t="s">
        <v>633</v>
      </c>
      <c r="I12" s="26">
        <v>21</v>
      </c>
      <c r="J12" s="160" t="s">
        <v>52</v>
      </c>
      <c r="K12" s="26">
        <v>7.52</v>
      </c>
      <c r="L12" s="163" t="s">
        <v>52</v>
      </c>
    </row>
    <row r="13" spans="3:12" x14ac:dyDescent="0.25">
      <c r="C13" s="26">
        <v>4</v>
      </c>
      <c r="D13" s="26" t="s">
        <v>308</v>
      </c>
      <c r="E13" s="26">
        <v>2335</v>
      </c>
      <c r="F13" s="142">
        <v>20.8</v>
      </c>
      <c r="G13" s="26">
        <v>35</v>
      </c>
      <c r="H13" s="26">
        <v>63.8</v>
      </c>
      <c r="I13" s="26">
        <v>98.5</v>
      </c>
      <c r="J13" s="160" t="s">
        <v>52</v>
      </c>
      <c r="K13" s="26">
        <v>7.6</v>
      </c>
      <c r="L13" s="163" t="s">
        <v>52</v>
      </c>
    </row>
    <row r="14" spans="3:12" x14ac:dyDescent="0.25">
      <c r="C14" s="26">
        <v>5</v>
      </c>
      <c r="D14" s="26" t="s">
        <v>614</v>
      </c>
      <c r="E14" s="26">
        <v>5240</v>
      </c>
      <c r="F14" s="142">
        <v>22.8</v>
      </c>
      <c r="G14" s="26">
        <v>8.4</v>
      </c>
      <c r="H14" s="26">
        <v>48.6</v>
      </c>
      <c r="I14" s="26">
        <v>13.3</v>
      </c>
      <c r="J14" s="161" t="s">
        <v>97</v>
      </c>
      <c r="K14" s="26">
        <v>7.72</v>
      </c>
      <c r="L14" s="163" t="s">
        <v>52</v>
      </c>
    </row>
    <row r="15" spans="3:12" x14ac:dyDescent="0.25">
      <c r="C15" s="26">
        <v>6</v>
      </c>
      <c r="D15" s="26" t="s">
        <v>626</v>
      </c>
      <c r="E15" s="26">
        <v>5304</v>
      </c>
      <c r="F15" s="142">
        <v>5.7</v>
      </c>
      <c r="G15" s="26">
        <v>7</v>
      </c>
      <c r="H15" s="26">
        <v>14.5</v>
      </c>
      <c r="I15" s="26">
        <v>16</v>
      </c>
      <c r="J15" s="160" t="s">
        <v>52</v>
      </c>
      <c r="K15" s="26">
        <v>7.36</v>
      </c>
      <c r="L15" s="163" t="s">
        <v>52</v>
      </c>
    </row>
    <row r="16" spans="3:12" x14ac:dyDescent="0.25">
      <c r="C16" s="141"/>
      <c r="D16" s="141"/>
      <c r="E16" s="141"/>
      <c r="F16" s="152"/>
      <c r="G16" s="141"/>
      <c r="H16" s="141"/>
      <c r="I16" s="141"/>
      <c r="J16" s="152"/>
      <c r="K16" s="141"/>
      <c r="L16" s="158"/>
    </row>
    <row r="17" spans="3:12" ht="15.75" x14ac:dyDescent="0.25">
      <c r="C17" s="38" t="s">
        <v>47</v>
      </c>
      <c r="D17" s="38"/>
      <c r="E17" s="26"/>
      <c r="F17" s="142"/>
      <c r="G17" s="26"/>
      <c r="H17" s="26"/>
      <c r="I17" s="26"/>
      <c r="J17" s="142"/>
      <c r="K17" s="26"/>
      <c r="L17" s="156"/>
    </row>
    <row r="18" spans="3:12" x14ac:dyDescent="0.25">
      <c r="C18" s="26">
        <v>1</v>
      </c>
      <c r="D18" s="26" t="s">
        <v>612</v>
      </c>
      <c r="E18" s="26">
        <v>5307</v>
      </c>
      <c r="F18" s="142">
        <v>6.6</v>
      </c>
      <c r="G18" s="26">
        <v>11.4</v>
      </c>
      <c r="H18" s="26">
        <v>11.7</v>
      </c>
      <c r="I18" s="26">
        <v>16</v>
      </c>
      <c r="J18" s="160" t="s">
        <v>52</v>
      </c>
      <c r="K18" s="26">
        <v>7.48</v>
      </c>
      <c r="L18" s="163" t="s">
        <v>52</v>
      </c>
    </row>
    <row r="19" spans="3:12" x14ac:dyDescent="0.25">
      <c r="C19" s="26">
        <v>2</v>
      </c>
      <c r="D19" s="26" t="s">
        <v>623</v>
      </c>
      <c r="E19" s="26">
        <v>5393</v>
      </c>
      <c r="F19" s="142">
        <v>22</v>
      </c>
      <c r="G19" s="26">
        <v>14.4</v>
      </c>
      <c r="H19" s="26">
        <v>68.900000000000006</v>
      </c>
      <c r="I19" s="26">
        <v>42.2</v>
      </c>
      <c r="J19" s="160" t="s">
        <v>52</v>
      </c>
      <c r="K19" s="26">
        <v>7.4</v>
      </c>
      <c r="L19" s="163" t="s">
        <v>52</v>
      </c>
    </row>
    <row r="20" spans="3:12" x14ac:dyDescent="0.25">
      <c r="C20" s="26">
        <v>3</v>
      </c>
      <c r="D20" s="26" t="s">
        <v>605</v>
      </c>
      <c r="E20" s="26">
        <v>5288</v>
      </c>
      <c r="F20" s="142">
        <v>19.2</v>
      </c>
      <c r="G20" s="26">
        <v>20</v>
      </c>
      <c r="H20" s="26">
        <v>123.8</v>
      </c>
      <c r="I20" s="26">
        <v>145</v>
      </c>
      <c r="J20" s="160" t="s">
        <v>52</v>
      </c>
      <c r="K20" s="26">
        <v>8.32</v>
      </c>
      <c r="L20" s="163" t="s">
        <v>52</v>
      </c>
    </row>
    <row r="21" spans="3:12" x14ac:dyDescent="0.25">
      <c r="C21" s="26">
        <v>4</v>
      </c>
      <c r="D21" s="26" t="s">
        <v>627</v>
      </c>
      <c r="E21" s="26">
        <v>2503</v>
      </c>
      <c r="F21" s="142">
        <v>5</v>
      </c>
      <c r="G21" s="26">
        <v>6</v>
      </c>
      <c r="H21" s="26">
        <v>9.1</v>
      </c>
      <c r="I21" s="26">
        <v>11</v>
      </c>
      <c r="J21" s="160" t="s">
        <v>52</v>
      </c>
      <c r="K21" s="26">
        <v>7.4</v>
      </c>
      <c r="L21" s="163" t="s">
        <v>52</v>
      </c>
    </row>
    <row r="22" spans="3:12" x14ac:dyDescent="0.25">
      <c r="C22" s="26">
        <v>5</v>
      </c>
      <c r="D22" s="26" t="s">
        <v>308</v>
      </c>
      <c r="E22" s="26">
        <v>2511</v>
      </c>
      <c r="F22" s="142">
        <v>7</v>
      </c>
      <c r="G22" s="26">
        <v>14.7</v>
      </c>
      <c r="H22" s="26">
        <v>23.4</v>
      </c>
      <c r="I22" s="26">
        <v>38.799999999999997</v>
      </c>
      <c r="J22" s="160" t="s">
        <v>52</v>
      </c>
      <c r="K22" s="26">
        <v>7.44</v>
      </c>
      <c r="L22" s="163" t="s">
        <v>52</v>
      </c>
    </row>
    <row r="23" spans="3:12" x14ac:dyDescent="0.25">
      <c r="C23" s="26">
        <v>6</v>
      </c>
      <c r="D23" s="26" t="s">
        <v>612</v>
      </c>
      <c r="E23" s="26">
        <v>5309</v>
      </c>
      <c r="F23" s="142">
        <v>24.2</v>
      </c>
      <c r="G23" s="26">
        <v>11.4</v>
      </c>
      <c r="H23" s="26">
        <v>53.7</v>
      </c>
      <c r="I23" s="26">
        <v>31.2</v>
      </c>
      <c r="J23" s="161" t="s">
        <v>97</v>
      </c>
      <c r="K23" s="26">
        <v>7.48</v>
      </c>
      <c r="L23" s="163" t="s">
        <v>52</v>
      </c>
    </row>
    <row r="24" spans="3:12" x14ac:dyDescent="0.25">
      <c r="C24" s="141"/>
      <c r="D24" s="141"/>
      <c r="E24" s="141"/>
      <c r="F24" s="152"/>
      <c r="G24" s="141"/>
      <c r="H24" s="141"/>
      <c r="I24" s="141"/>
      <c r="J24" s="152"/>
      <c r="K24" s="141"/>
      <c r="L24" s="159"/>
    </row>
    <row r="25" spans="3:12" ht="15.75" x14ac:dyDescent="0.25">
      <c r="C25" s="38" t="s">
        <v>48</v>
      </c>
      <c r="D25" s="38"/>
      <c r="E25" s="26"/>
      <c r="F25" s="142"/>
      <c r="G25" s="23"/>
      <c r="H25" s="26"/>
      <c r="I25" s="26"/>
      <c r="J25" s="142"/>
      <c r="K25" s="26"/>
      <c r="L25" s="157"/>
    </row>
    <row r="26" spans="3:12" ht="15.75" x14ac:dyDescent="0.25">
      <c r="C26" s="26">
        <v>1</v>
      </c>
      <c r="D26" s="26" t="s">
        <v>605</v>
      </c>
      <c r="E26" s="26">
        <v>5283</v>
      </c>
      <c r="F26" s="142" t="s">
        <v>608</v>
      </c>
      <c r="G26" s="26">
        <v>6.3</v>
      </c>
      <c r="H26" s="26" t="s">
        <v>609</v>
      </c>
      <c r="I26" s="23">
        <v>13.3</v>
      </c>
      <c r="J26" s="160" t="s">
        <v>52</v>
      </c>
      <c r="K26" s="26">
        <v>7.48</v>
      </c>
      <c r="L26" s="80" t="s">
        <v>97</v>
      </c>
    </row>
    <row r="27" spans="3:12" x14ac:dyDescent="0.25">
      <c r="C27" s="26">
        <v>2</v>
      </c>
      <c r="D27" s="26" t="s">
        <v>612</v>
      </c>
      <c r="E27" s="26">
        <v>5330</v>
      </c>
      <c r="F27" s="142" t="s">
        <v>610</v>
      </c>
      <c r="G27" s="26">
        <v>12.5</v>
      </c>
      <c r="H27" s="26" t="s">
        <v>611</v>
      </c>
      <c r="I27" s="26">
        <v>27.2</v>
      </c>
      <c r="J27" s="160" t="s">
        <v>52</v>
      </c>
      <c r="K27" s="26">
        <v>7.76</v>
      </c>
      <c r="L27" s="80" t="s">
        <v>97</v>
      </c>
    </row>
    <row r="28" spans="3:12" x14ac:dyDescent="0.25">
      <c r="C28" s="26">
        <v>3</v>
      </c>
      <c r="D28" s="26" t="s">
        <v>613</v>
      </c>
      <c r="E28" s="26">
        <v>5295</v>
      </c>
      <c r="F28" s="142">
        <v>25.8</v>
      </c>
      <c r="G28" s="26">
        <v>31.7</v>
      </c>
      <c r="H28" s="26">
        <v>74.099999999999994</v>
      </c>
      <c r="I28" s="26">
        <v>98</v>
      </c>
      <c r="J28" s="160" t="s">
        <v>52</v>
      </c>
      <c r="K28" s="26">
        <v>7</v>
      </c>
      <c r="L28" s="163" t="s">
        <v>52</v>
      </c>
    </row>
    <row r="29" spans="3:12" x14ac:dyDescent="0.25">
      <c r="C29" s="26">
        <v>4</v>
      </c>
      <c r="D29" s="26" t="s">
        <v>614</v>
      </c>
      <c r="E29" s="26">
        <v>5238</v>
      </c>
      <c r="F29" s="142">
        <v>12.1</v>
      </c>
      <c r="G29" s="26">
        <v>4</v>
      </c>
      <c r="H29" s="26">
        <v>32.6</v>
      </c>
      <c r="I29" s="26">
        <v>9.6</v>
      </c>
      <c r="J29" s="161" t="s">
        <v>97</v>
      </c>
      <c r="K29" s="26">
        <v>7.56</v>
      </c>
      <c r="L29" s="163" t="s">
        <v>52</v>
      </c>
    </row>
    <row r="30" spans="3:12" x14ac:dyDescent="0.25">
      <c r="C30" s="26">
        <v>5</v>
      </c>
      <c r="D30" s="26" t="s">
        <v>615</v>
      </c>
      <c r="E30" s="26">
        <v>5269</v>
      </c>
      <c r="F30" s="142">
        <v>19.600000000000001</v>
      </c>
      <c r="G30" s="26">
        <v>25.8</v>
      </c>
      <c r="H30" s="26">
        <v>81.400000000000006</v>
      </c>
      <c r="I30" s="26">
        <v>106.5</v>
      </c>
      <c r="J30" s="161" t="s">
        <v>97</v>
      </c>
      <c r="K30" s="26">
        <v>7.44</v>
      </c>
      <c r="L30" s="163" t="s">
        <v>52</v>
      </c>
    </row>
    <row r="31" spans="3:12" x14ac:dyDescent="0.25">
      <c r="C31" s="26">
        <v>6</v>
      </c>
      <c r="D31" s="26" t="s">
        <v>616</v>
      </c>
      <c r="E31" s="26">
        <v>5255</v>
      </c>
      <c r="F31" s="142" t="s">
        <v>617</v>
      </c>
      <c r="G31" s="26">
        <v>14</v>
      </c>
      <c r="H31" s="26" t="s">
        <v>618</v>
      </c>
      <c r="I31" s="26">
        <v>45.6</v>
      </c>
      <c r="J31" s="160" t="s">
        <v>52</v>
      </c>
      <c r="K31" s="26">
        <v>6.58</v>
      </c>
      <c r="L31" s="162" t="s">
        <v>100</v>
      </c>
    </row>
    <row r="32" spans="3:12" x14ac:dyDescent="0.25">
      <c r="C32" s="141"/>
      <c r="D32" s="141"/>
      <c r="E32" s="141"/>
      <c r="F32" s="152"/>
      <c r="G32" s="141"/>
      <c r="H32" s="141"/>
      <c r="I32" s="141"/>
      <c r="J32" s="152"/>
      <c r="K32" s="141"/>
      <c r="L32" s="159"/>
    </row>
    <row r="33" spans="3:12" ht="15.75" x14ac:dyDescent="0.25">
      <c r="C33" s="38" t="s">
        <v>49</v>
      </c>
      <c r="D33" s="38"/>
      <c r="E33" s="26"/>
      <c r="F33" s="142"/>
      <c r="G33" s="26"/>
      <c r="H33" s="26"/>
      <c r="I33" s="26"/>
      <c r="J33" s="142"/>
      <c r="K33" s="26"/>
      <c r="L33" s="157"/>
    </row>
    <row r="34" spans="3:12" x14ac:dyDescent="0.25">
      <c r="C34" s="26">
        <v>1</v>
      </c>
      <c r="D34" s="26" t="s">
        <v>625</v>
      </c>
      <c r="E34" s="26">
        <v>5314</v>
      </c>
      <c r="F34" s="142">
        <v>5</v>
      </c>
      <c r="G34" s="26">
        <v>6</v>
      </c>
      <c r="H34" s="26">
        <v>8.6</v>
      </c>
      <c r="I34" s="26">
        <v>10.199999999999999</v>
      </c>
      <c r="J34" s="160" t="s">
        <v>52</v>
      </c>
      <c r="K34" s="26">
        <v>7.36</v>
      </c>
      <c r="L34" s="163" t="s">
        <v>52</v>
      </c>
    </row>
    <row r="35" spans="3:12" x14ac:dyDescent="0.25">
      <c r="C35" s="26">
        <v>2</v>
      </c>
      <c r="D35" s="26" t="s">
        <v>623</v>
      </c>
      <c r="E35" s="26">
        <v>5392</v>
      </c>
      <c r="F35" s="142">
        <v>12.7</v>
      </c>
      <c r="G35" s="26">
        <v>9.5</v>
      </c>
      <c r="H35" s="26">
        <v>33.9</v>
      </c>
      <c r="I35" s="26">
        <v>31</v>
      </c>
      <c r="J35" s="160" t="s">
        <v>52</v>
      </c>
      <c r="K35" s="26">
        <v>7.28</v>
      </c>
      <c r="L35" s="163" t="s">
        <v>52</v>
      </c>
    </row>
    <row r="36" spans="3:12" x14ac:dyDescent="0.25">
      <c r="C36" s="26">
        <v>3</v>
      </c>
      <c r="D36" s="26" t="s">
        <v>612</v>
      </c>
      <c r="E36" s="26">
        <v>5331</v>
      </c>
      <c r="F36" s="142">
        <v>54</v>
      </c>
      <c r="G36" s="26">
        <v>18</v>
      </c>
      <c r="H36" s="26">
        <v>162.80000000000001</v>
      </c>
      <c r="I36" s="26">
        <v>38.799999999999997</v>
      </c>
      <c r="J36" s="160" t="s">
        <v>52</v>
      </c>
      <c r="K36" s="26">
        <v>7.48</v>
      </c>
      <c r="L36" s="163" t="s">
        <v>52</v>
      </c>
    </row>
    <row r="37" spans="3:12" x14ac:dyDescent="0.25">
      <c r="C37" s="26">
        <v>4</v>
      </c>
      <c r="D37" s="26" t="s">
        <v>623</v>
      </c>
      <c r="E37" s="26">
        <v>5407</v>
      </c>
      <c r="F37" s="142">
        <v>46.4</v>
      </c>
      <c r="G37" s="26">
        <v>19.2</v>
      </c>
      <c r="H37" s="26">
        <v>196</v>
      </c>
      <c r="I37" s="26">
        <v>41.8</v>
      </c>
      <c r="J37" s="160" t="s">
        <v>52</v>
      </c>
      <c r="K37" s="26">
        <v>7.2</v>
      </c>
      <c r="L37" s="163" t="s">
        <v>52</v>
      </c>
    </row>
    <row r="38" spans="3:12" x14ac:dyDescent="0.25">
      <c r="C38" s="26">
        <v>5</v>
      </c>
      <c r="D38" s="26" t="s">
        <v>308</v>
      </c>
      <c r="E38" s="26">
        <v>2510</v>
      </c>
      <c r="F38" s="142">
        <v>7.3</v>
      </c>
      <c r="G38" s="26">
        <v>8.5</v>
      </c>
      <c r="H38" s="26">
        <v>16.399999999999999</v>
      </c>
      <c r="I38" s="26">
        <v>19.600000000000001</v>
      </c>
      <c r="J38" s="160" t="s">
        <v>52</v>
      </c>
      <c r="K38" s="26">
        <v>7.04</v>
      </c>
      <c r="L38" s="163" t="s">
        <v>52</v>
      </c>
    </row>
    <row r="39" spans="3:12" x14ac:dyDescent="0.25">
      <c r="C39" s="26">
        <v>6</v>
      </c>
      <c r="D39" s="26" t="s">
        <v>614</v>
      </c>
      <c r="E39" s="26">
        <v>5239</v>
      </c>
      <c r="F39" s="142">
        <v>12.1</v>
      </c>
      <c r="G39" s="26">
        <v>6.1</v>
      </c>
      <c r="H39" s="26">
        <v>43.2</v>
      </c>
      <c r="I39" s="26">
        <v>24.2</v>
      </c>
      <c r="J39" s="160" t="s">
        <v>52</v>
      </c>
      <c r="K39" s="26">
        <v>7.92</v>
      </c>
      <c r="L39" s="163" t="s">
        <v>52</v>
      </c>
    </row>
  </sheetData>
  <pageMargins left="0.7" right="0.7" top="0.75" bottom="0.75" header="0.3" footer="0.3"/>
  <pageSetup paperSize="1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J39"/>
  <sheetViews>
    <sheetView windowProtection="1" topLeftCell="A16" workbookViewId="0">
      <selection activeCell="C24" sqref="C24:I29"/>
    </sheetView>
  </sheetViews>
  <sheetFormatPr defaultRowHeight="15" x14ac:dyDescent="0.25"/>
  <cols>
    <col min="3" max="5" width="12.7109375" customWidth="1"/>
    <col min="6" max="6" width="25.7109375" customWidth="1"/>
    <col min="7" max="7" width="19.42578125" customWidth="1"/>
    <col min="8" max="9" width="12.7109375" customWidth="1"/>
  </cols>
  <sheetData>
    <row r="2" spans="2:10" ht="21" x14ac:dyDescent="0.35">
      <c r="B2" s="94" t="s">
        <v>619</v>
      </c>
      <c r="C2" s="94"/>
      <c r="D2" s="94"/>
      <c r="E2" s="94"/>
      <c r="F2" s="94"/>
      <c r="G2" s="94"/>
    </row>
    <row r="5" spans="2:10" x14ac:dyDescent="0.25">
      <c r="F5" s="20" t="s">
        <v>285</v>
      </c>
      <c r="G5" s="56" t="s">
        <v>291</v>
      </c>
    </row>
    <row r="6" spans="2:10" x14ac:dyDescent="0.25">
      <c r="B6" s="86"/>
      <c r="C6" s="86"/>
      <c r="D6" s="86"/>
      <c r="E6" s="86"/>
      <c r="F6" s="86"/>
      <c r="G6" s="86"/>
      <c r="H6" s="86"/>
      <c r="I6" s="86"/>
      <c r="J6" s="86"/>
    </row>
    <row r="7" spans="2:10" x14ac:dyDescent="0.25">
      <c r="B7" s="86"/>
      <c r="C7" s="87" t="s">
        <v>41</v>
      </c>
      <c r="D7" s="87" t="s">
        <v>175</v>
      </c>
      <c r="E7" s="87" t="s">
        <v>133</v>
      </c>
      <c r="F7" s="87" t="s">
        <v>131</v>
      </c>
      <c r="G7" s="87" t="s">
        <v>132</v>
      </c>
      <c r="H7" s="87" t="s">
        <v>284</v>
      </c>
      <c r="I7" s="87" t="s">
        <v>15</v>
      </c>
      <c r="J7" s="86"/>
    </row>
    <row r="8" spans="2:10" x14ac:dyDescent="0.25">
      <c r="B8" s="86"/>
      <c r="C8" s="26" t="s">
        <v>134</v>
      </c>
      <c r="D8" s="26"/>
      <c r="E8" s="26">
        <v>5389</v>
      </c>
      <c r="F8" s="26"/>
      <c r="G8" s="26" t="s">
        <v>52</v>
      </c>
      <c r="H8" s="26"/>
      <c r="I8" s="26"/>
      <c r="J8" s="86"/>
    </row>
    <row r="9" spans="2:10" x14ac:dyDescent="0.25">
      <c r="B9" s="86"/>
      <c r="C9" s="26" t="s">
        <v>135</v>
      </c>
      <c r="D9" s="26"/>
      <c r="E9" s="26">
        <v>5281</v>
      </c>
      <c r="F9" s="26"/>
      <c r="G9" s="26" t="s">
        <v>52</v>
      </c>
      <c r="H9" s="26"/>
      <c r="I9" s="26"/>
      <c r="J9" s="85"/>
    </row>
    <row r="10" spans="2:10" x14ac:dyDescent="0.25">
      <c r="B10" s="86"/>
      <c r="C10" s="26" t="s">
        <v>136</v>
      </c>
      <c r="D10" s="26"/>
      <c r="E10" s="26">
        <v>5311</v>
      </c>
      <c r="F10" s="26" t="s">
        <v>622</v>
      </c>
      <c r="G10" s="26" t="s">
        <v>52</v>
      </c>
      <c r="H10" s="26">
        <v>42.7</v>
      </c>
      <c r="I10" s="26" t="s">
        <v>18</v>
      </c>
      <c r="J10" s="85"/>
    </row>
    <row r="11" spans="2:10" x14ac:dyDescent="0.25">
      <c r="B11" s="86"/>
      <c r="C11" s="26" t="s">
        <v>137</v>
      </c>
      <c r="D11" s="26"/>
      <c r="E11" s="26">
        <v>2335</v>
      </c>
      <c r="F11" s="26"/>
      <c r="G11" s="26" t="s">
        <v>52</v>
      </c>
      <c r="H11" s="26"/>
      <c r="I11" s="26"/>
      <c r="J11" s="85"/>
    </row>
    <row r="12" spans="2:10" x14ac:dyDescent="0.25">
      <c r="B12" s="86"/>
      <c r="C12" s="26" t="s">
        <v>138</v>
      </c>
      <c r="D12" s="26"/>
      <c r="E12" s="26">
        <v>5240</v>
      </c>
      <c r="F12" s="26"/>
      <c r="G12" s="26" t="s">
        <v>52</v>
      </c>
      <c r="H12" s="26"/>
      <c r="I12" s="26"/>
      <c r="J12" s="85"/>
    </row>
    <row r="13" spans="2:10" x14ac:dyDescent="0.25">
      <c r="B13" s="86"/>
      <c r="C13" s="26" t="s">
        <v>139</v>
      </c>
      <c r="D13" s="26"/>
      <c r="E13" s="26">
        <v>5304</v>
      </c>
      <c r="F13" s="26"/>
      <c r="G13" s="26" t="s">
        <v>52</v>
      </c>
      <c r="H13" s="26"/>
      <c r="I13" s="26"/>
      <c r="J13" s="86"/>
    </row>
    <row r="14" spans="2:10" x14ac:dyDescent="0.25">
      <c r="B14" s="86"/>
      <c r="C14" s="88"/>
      <c r="D14" s="88"/>
      <c r="E14" s="88"/>
      <c r="F14" s="88"/>
      <c r="G14" s="88"/>
      <c r="H14" s="88"/>
      <c r="I14" s="88"/>
      <c r="J14" s="89"/>
    </row>
    <row r="15" spans="2:10" x14ac:dyDescent="0.25">
      <c r="B15" s="86"/>
      <c r="C15" s="90" t="s">
        <v>47</v>
      </c>
      <c r="D15" s="90"/>
      <c r="E15" s="88"/>
      <c r="F15" s="88"/>
      <c r="G15" s="88"/>
      <c r="H15" s="88"/>
      <c r="I15" s="88"/>
      <c r="J15" s="89"/>
    </row>
    <row r="16" spans="2:10" x14ac:dyDescent="0.25">
      <c r="B16" s="86"/>
      <c r="C16" s="26" t="s">
        <v>134</v>
      </c>
      <c r="D16" s="26"/>
      <c r="E16" s="26">
        <v>5307</v>
      </c>
      <c r="F16" s="26"/>
      <c r="G16" s="26" t="s">
        <v>52</v>
      </c>
      <c r="H16" s="26"/>
      <c r="I16" s="26"/>
      <c r="J16" s="86"/>
    </row>
    <row r="17" spans="2:10" x14ac:dyDescent="0.25">
      <c r="B17" s="86"/>
      <c r="C17" s="26" t="s">
        <v>135</v>
      </c>
      <c r="D17" s="26"/>
      <c r="E17" s="26">
        <v>5393</v>
      </c>
      <c r="F17" s="26"/>
      <c r="G17" s="26" t="s">
        <v>52</v>
      </c>
      <c r="H17" s="26"/>
      <c r="I17" s="26"/>
      <c r="J17" s="86"/>
    </row>
    <row r="18" spans="2:10" x14ac:dyDescent="0.25">
      <c r="B18" s="86"/>
      <c r="C18" s="26" t="s">
        <v>136</v>
      </c>
      <c r="D18" s="26"/>
      <c r="E18" s="26">
        <v>5288</v>
      </c>
      <c r="F18" s="26" t="s">
        <v>304</v>
      </c>
      <c r="G18" s="26" t="s">
        <v>52</v>
      </c>
      <c r="H18" s="26">
        <v>42</v>
      </c>
      <c r="I18" s="26" t="s">
        <v>18</v>
      </c>
      <c r="J18" s="86"/>
    </row>
    <row r="19" spans="2:10" x14ac:dyDescent="0.25">
      <c r="B19" s="86"/>
      <c r="C19" s="26" t="s">
        <v>137</v>
      </c>
      <c r="D19" s="26"/>
      <c r="E19" s="26">
        <v>2503</v>
      </c>
      <c r="F19" s="26"/>
      <c r="G19" s="26" t="s">
        <v>52</v>
      </c>
      <c r="H19" s="26"/>
      <c r="I19" s="26"/>
      <c r="J19" s="86"/>
    </row>
    <row r="20" spans="2:10" x14ac:dyDescent="0.25">
      <c r="B20" s="86"/>
      <c r="C20" s="26" t="s">
        <v>138</v>
      </c>
      <c r="D20" s="26"/>
      <c r="E20" s="26">
        <v>2511</v>
      </c>
      <c r="F20" s="26"/>
      <c r="G20" s="26" t="s">
        <v>52</v>
      </c>
      <c r="H20" s="26"/>
      <c r="I20" s="26"/>
      <c r="J20" s="86"/>
    </row>
    <row r="21" spans="2:10" x14ac:dyDescent="0.25">
      <c r="B21" s="86"/>
      <c r="C21" s="26" t="s">
        <v>139</v>
      </c>
      <c r="D21" s="26"/>
      <c r="E21" s="26">
        <v>5309</v>
      </c>
      <c r="F21" s="26"/>
      <c r="G21" s="26" t="s">
        <v>52</v>
      </c>
      <c r="H21" s="26"/>
      <c r="I21" s="26"/>
      <c r="J21" s="86"/>
    </row>
    <row r="22" spans="2:10" x14ac:dyDescent="0.25">
      <c r="B22" s="86"/>
      <c r="C22" s="88"/>
      <c r="D22" s="88"/>
      <c r="E22" s="88"/>
      <c r="F22" s="88"/>
      <c r="G22" s="88"/>
      <c r="H22" s="88"/>
      <c r="I22" s="88"/>
      <c r="J22" s="89"/>
    </row>
    <row r="23" spans="2:10" x14ac:dyDescent="0.25">
      <c r="B23" s="86"/>
      <c r="C23" s="90" t="s">
        <v>48</v>
      </c>
      <c r="D23" s="90"/>
      <c r="E23" s="88"/>
      <c r="F23" s="88"/>
      <c r="G23" s="88"/>
      <c r="H23" s="88"/>
      <c r="I23" s="88"/>
      <c r="J23" s="89"/>
    </row>
    <row r="24" spans="2:10" x14ac:dyDescent="0.25">
      <c r="B24" s="86"/>
      <c r="C24" s="26" t="s">
        <v>134</v>
      </c>
      <c r="D24" s="26" t="s">
        <v>314</v>
      </c>
      <c r="E24" s="26">
        <v>5681</v>
      </c>
      <c r="F24" s="26"/>
      <c r="G24" s="26" t="s">
        <v>52</v>
      </c>
      <c r="H24" s="26"/>
      <c r="I24" s="26"/>
      <c r="J24" s="86"/>
    </row>
    <row r="25" spans="2:10" x14ac:dyDescent="0.25">
      <c r="B25" s="86"/>
      <c r="C25" s="26" t="s">
        <v>135</v>
      </c>
      <c r="D25" s="26" t="s">
        <v>616</v>
      </c>
      <c r="E25" s="26">
        <v>5253</v>
      </c>
      <c r="F25" s="26"/>
      <c r="G25" s="26" t="s">
        <v>52</v>
      </c>
      <c r="H25" s="26"/>
      <c r="I25" s="26"/>
      <c r="J25" s="86"/>
    </row>
    <row r="26" spans="2:10" x14ac:dyDescent="0.25">
      <c r="B26" s="86"/>
      <c r="C26" s="26" t="s">
        <v>136</v>
      </c>
      <c r="D26" s="26" t="s">
        <v>613</v>
      </c>
      <c r="E26" s="26">
        <v>5295</v>
      </c>
      <c r="F26" s="26" t="s">
        <v>620</v>
      </c>
      <c r="G26" s="26" t="s">
        <v>52</v>
      </c>
      <c r="H26" s="26">
        <v>42.5</v>
      </c>
      <c r="I26" s="26" t="s">
        <v>18</v>
      </c>
      <c r="J26" s="86"/>
    </row>
    <row r="27" spans="2:10" x14ac:dyDescent="0.25">
      <c r="B27" s="86"/>
      <c r="C27" s="26" t="s">
        <v>137</v>
      </c>
      <c r="D27" s="26" t="s">
        <v>614</v>
      </c>
      <c r="E27" s="26">
        <v>5238</v>
      </c>
      <c r="F27" s="26"/>
      <c r="G27" s="26" t="s">
        <v>52</v>
      </c>
      <c r="H27" s="26"/>
      <c r="I27" s="26"/>
      <c r="J27" s="86"/>
    </row>
    <row r="28" spans="2:10" x14ac:dyDescent="0.25">
      <c r="B28" s="86"/>
      <c r="C28" s="26" t="s">
        <v>138</v>
      </c>
      <c r="D28" s="26" t="s">
        <v>615</v>
      </c>
      <c r="E28" s="26">
        <v>5269</v>
      </c>
      <c r="F28" s="26"/>
      <c r="G28" s="26" t="s">
        <v>52</v>
      </c>
      <c r="H28" s="26"/>
      <c r="I28" s="26"/>
      <c r="J28" s="86"/>
    </row>
    <row r="29" spans="2:10" x14ac:dyDescent="0.25">
      <c r="B29" s="86"/>
      <c r="C29" s="26" t="s">
        <v>139</v>
      </c>
      <c r="D29" s="26" t="s">
        <v>616</v>
      </c>
      <c r="E29" s="26">
        <v>5241</v>
      </c>
      <c r="F29" s="26"/>
      <c r="G29" s="26" t="s">
        <v>52</v>
      </c>
      <c r="H29" s="26"/>
      <c r="I29" s="26"/>
      <c r="J29" s="86"/>
    </row>
    <row r="30" spans="2:10" x14ac:dyDescent="0.25">
      <c r="B30" s="86"/>
      <c r="C30" s="85"/>
      <c r="D30" s="85"/>
      <c r="E30" s="85"/>
      <c r="F30" s="85"/>
      <c r="G30" s="85"/>
      <c r="H30" s="85"/>
      <c r="I30" s="85"/>
      <c r="J30" s="86"/>
    </row>
    <row r="31" spans="2:10" x14ac:dyDescent="0.25">
      <c r="B31" s="86"/>
      <c r="C31" s="87" t="s">
        <v>49</v>
      </c>
      <c r="D31" s="87"/>
      <c r="E31" s="85"/>
      <c r="F31" s="85"/>
      <c r="G31" s="85"/>
      <c r="H31" s="85"/>
      <c r="I31" s="85"/>
      <c r="J31" s="86"/>
    </row>
    <row r="32" spans="2:10" x14ac:dyDescent="0.25">
      <c r="B32" s="86"/>
      <c r="C32" s="26" t="s">
        <v>134</v>
      </c>
      <c r="D32" s="26"/>
      <c r="E32" s="26">
        <v>5314</v>
      </c>
      <c r="F32" s="26"/>
      <c r="G32" s="26" t="s">
        <v>52</v>
      </c>
      <c r="H32" s="26"/>
      <c r="I32" s="26"/>
      <c r="J32" s="86"/>
    </row>
    <row r="33" spans="2:10" x14ac:dyDescent="0.25">
      <c r="B33" s="86"/>
      <c r="C33" s="26" t="s">
        <v>135</v>
      </c>
      <c r="D33" s="26"/>
      <c r="E33" s="26">
        <v>5392</v>
      </c>
      <c r="F33" s="25"/>
      <c r="G33" s="26" t="s">
        <v>52</v>
      </c>
      <c r="H33" s="25"/>
      <c r="I33" s="25"/>
      <c r="J33" s="86"/>
    </row>
    <row r="34" spans="2:10" x14ac:dyDescent="0.25">
      <c r="B34" s="86"/>
      <c r="C34" s="26" t="s">
        <v>136</v>
      </c>
      <c r="D34" s="26"/>
      <c r="E34" s="26">
        <v>5331</v>
      </c>
      <c r="F34" s="26" t="s">
        <v>621</v>
      </c>
      <c r="G34" s="26" t="s">
        <v>52</v>
      </c>
      <c r="H34" s="26">
        <v>42.2</v>
      </c>
      <c r="I34" s="26" t="s">
        <v>18</v>
      </c>
      <c r="J34" s="86"/>
    </row>
    <row r="35" spans="2:10" x14ac:dyDescent="0.25">
      <c r="B35" s="86"/>
      <c r="C35" s="26" t="s">
        <v>137</v>
      </c>
      <c r="D35" s="26"/>
      <c r="E35" s="26">
        <v>5407</v>
      </c>
      <c r="F35" s="25"/>
      <c r="G35" s="26" t="s">
        <v>52</v>
      </c>
      <c r="H35" s="25"/>
      <c r="I35" s="25"/>
      <c r="J35" s="86"/>
    </row>
    <row r="36" spans="2:10" x14ac:dyDescent="0.25">
      <c r="B36" s="86"/>
      <c r="C36" s="26" t="s">
        <v>138</v>
      </c>
      <c r="D36" s="26"/>
      <c r="E36" s="26">
        <v>2510</v>
      </c>
      <c r="F36" s="25"/>
      <c r="G36" s="26" t="s">
        <v>52</v>
      </c>
      <c r="H36" s="25"/>
      <c r="I36" s="25"/>
      <c r="J36" s="86"/>
    </row>
    <row r="37" spans="2:10" x14ac:dyDescent="0.25">
      <c r="B37" s="86"/>
      <c r="C37" s="26" t="s">
        <v>139</v>
      </c>
      <c r="D37" s="26"/>
      <c r="E37" s="26">
        <v>5239</v>
      </c>
      <c r="F37" s="25"/>
      <c r="G37" s="26" t="s">
        <v>52</v>
      </c>
      <c r="H37" s="25"/>
      <c r="I37" s="25"/>
      <c r="J37" s="86"/>
    </row>
    <row r="38" spans="2:10" x14ac:dyDescent="0.25">
      <c r="B38" s="86"/>
      <c r="C38" s="86"/>
      <c r="D38" s="86"/>
      <c r="E38" s="86"/>
      <c r="F38" s="86"/>
      <c r="G38" s="86"/>
      <c r="H38" s="86"/>
      <c r="I38" s="86"/>
      <c r="J38" s="86"/>
    </row>
    <row r="39" spans="2:10" x14ac:dyDescent="0.25">
      <c r="B39" s="86"/>
      <c r="C39" s="86"/>
      <c r="D39" s="86"/>
      <c r="E39" s="86"/>
      <c r="F39" s="86"/>
      <c r="G39" s="86"/>
      <c r="H39" s="86"/>
      <c r="I39" s="86"/>
      <c r="J39" s="86"/>
    </row>
  </sheetData>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44"/>
  <sheetViews>
    <sheetView windowProtection="1" workbookViewId="0">
      <selection activeCell="M10" sqref="M10:P30"/>
    </sheetView>
  </sheetViews>
  <sheetFormatPr defaultRowHeight="15" x14ac:dyDescent="0.25"/>
  <cols>
    <col min="1" max="1" width="9.7109375" style="56" customWidth="1"/>
    <col min="2" max="3" width="9.140625" style="19"/>
    <col min="4" max="4" width="18.7109375" style="19" customWidth="1"/>
    <col min="5" max="5" width="9.140625" style="19"/>
    <col min="6" max="6" width="18.42578125" style="19" customWidth="1"/>
    <col min="7" max="13" width="9.140625" style="19"/>
    <col min="15" max="16" width="24.7109375" style="1" customWidth="1"/>
    <col min="17" max="17" width="24.7109375" style="56" customWidth="1"/>
    <col min="18" max="18" width="24.7109375" style="20" customWidth="1"/>
  </cols>
  <sheetData>
    <row r="2" spans="1:18" s="165" customFormat="1" ht="21" x14ac:dyDescent="0.35">
      <c r="A2" s="167"/>
      <c r="B2" s="166" t="s">
        <v>635</v>
      </c>
      <c r="C2" s="166"/>
      <c r="D2" s="166"/>
      <c r="E2" s="166"/>
      <c r="F2" s="166"/>
      <c r="G2" s="166"/>
      <c r="H2" s="166"/>
      <c r="I2" s="166"/>
      <c r="J2" s="166"/>
      <c r="K2" s="166"/>
      <c r="L2" s="166"/>
      <c r="M2" s="166"/>
      <c r="O2" s="169"/>
      <c r="P2" s="169"/>
      <c r="Q2" s="167"/>
      <c r="R2" s="174"/>
    </row>
    <row r="5" spans="1:18" x14ac:dyDescent="0.25">
      <c r="B5" s="19" t="s">
        <v>636</v>
      </c>
      <c r="E5" s="19" t="s">
        <v>651</v>
      </c>
    </row>
    <row r="6" spans="1:18" x14ac:dyDescent="0.25">
      <c r="E6" s="19" t="s">
        <v>677</v>
      </c>
    </row>
    <row r="8" spans="1:18" x14ac:dyDescent="0.25">
      <c r="A8" s="56" t="s">
        <v>638</v>
      </c>
      <c r="B8" s="57" t="s">
        <v>646</v>
      </c>
      <c r="C8" s="57"/>
      <c r="D8" s="57"/>
      <c r="E8" s="57"/>
      <c r="F8" s="19" t="s">
        <v>637</v>
      </c>
    </row>
    <row r="9" spans="1:18" x14ac:dyDescent="0.25">
      <c r="B9" s="56"/>
      <c r="C9" s="56"/>
      <c r="D9" s="56"/>
      <c r="E9" s="56"/>
      <c r="F9" s="56"/>
      <c r="G9" s="56"/>
      <c r="H9" s="56"/>
      <c r="I9" s="56"/>
      <c r="J9" s="56"/>
      <c r="K9" s="56"/>
      <c r="L9" s="56"/>
      <c r="M9" s="56"/>
    </row>
    <row r="10" spans="1:18" x14ac:dyDescent="0.25">
      <c r="A10" s="91" t="s">
        <v>639</v>
      </c>
      <c r="B10" s="91" t="s">
        <v>645</v>
      </c>
      <c r="C10" s="56"/>
      <c r="D10" s="56"/>
      <c r="E10" s="91" t="s">
        <v>639</v>
      </c>
      <c r="F10" s="91" t="s">
        <v>652</v>
      </c>
      <c r="G10" s="168" t="s">
        <v>658</v>
      </c>
      <c r="H10" s="168"/>
      <c r="I10" s="168"/>
      <c r="M10" s="172" t="s">
        <v>678</v>
      </c>
      <c r="N10" s="173"/>
      <c r="O10" s="173"/>
      <c r="P10" s="173"/>
      <c r="Q10" s="173"/>
    </row>
    <row r="11" spans="1:18" x14ac:dyDescent="0.25">
      <c r="A11" s="91" t="s">
        <v>640</v>
      </c>
      <c r="B11" s="91" t="s">
        <v>645</v>
      </c>
      <c r="C11" s="56"/>
      <c r="D11" s="56"/>
      <c r="E11" s="91" t="s">
        <v>640</v>
      </c>
      <c r="F11" s="91" t="s">
        <v>653</v>
      </c>
      <c r="G11" s="168" t="s">
        <v>658</v>
      </c>
      <c r="H11" s="168"/>
      <c r="I11" s="168"/>
      <c r="M11" s="56"/>
      <c r="N11" s="56"/>
      <c r="O11" s="56"/>
      <c r="P11" s="56"/>
    </row>
    <row r="12" spans="1:18" x14ac:dyDescent="0.25">
      <c r="A12" s="91" t="s">
        <v>641</v>
      </c>
      <c r="B12" s="91" t="s">
        <v>647</v>
      </c>
      <c r="C12" s="56"/>
      <c r="D12" s="56"/>
      <c r="E12" s="91" t="s">
        <v>641</v>
      </c>
      <c r="F12" s="91" t="s">
        <v>654</v>
      </c>
      <c r="G12" s="168"/>
      <c r="H12" s="168"/>
      <c r="I12" s="168"/>
      <c r="M12" s="20" t="s">
        <v>42</v>
      </c>
      <c r="N12" s="20"/>
      <c r="O12" s="20" t="s">
        <v>680</v>
      </c>
      <c r="P12" s="20" t="s">
        <v>681</v>
      </c>
      <c r="Q12" s="20" t="s">
        <v>682</v>
      </c>
      <c r="R12" s="20" t="s">
        <v>686</v>
      </c>
    </row>
    <row r="13" spans="1:18" x14ac:dyDescent="0.25">
      <c r="A13" s="91" t="s">
        <v>642</v>
      </c>
      <c r="B13" s="91" t="s">
        <v>648</v>
      </c>
      <c r="C13" s="56"/>
      <c r="D13" s="56"/>
      <c r="E13" s="91" t="s">
        <v>642</v>
      </c>
      <c r="F13" s="91" t="s">
        <v>655</v>
      </c>
      <c r="G13" s="168"/>
      <c r="H13" s="168"/>
      <c r="I13" s="168"/>
      <c r="M13" s="20" t="s">
        <v>679</v>
      </c>
      <c r="N13" s="20"/>
      <c r="O13" s="20">
        <v>24.91</v>
      </c>
      <c r="P13" s="20">
        <v>22.82</v>
      </c>
      <c r="Q13" s="20" t="s">
        <v>685</v>
      </c>
      <c r="R13" s="20" t="s">
        <v>699</v>
      </c>
    </row>
    <row r="14" spans="1:18" x14ac:dyDescent="0.25">
      <c r="A14" s="91" t="s">
        <v>643</v>
      </c>
      <c r="B14" s="91" t="s">
        <v>649</v>
      </c>
      <c r="C14" s="56"/>
      <c r="D14" s="56"/>
      <c r="E14" s="91" t="s">
        <v>643</v>
      </c>
      <c r="F14" s="91" t="s">
        <v>656</v>
      </c>
      <c r="G14" s="168"/>
      <c r="H14" s="168"/>
      <c r="I14" s="168"/>
      <c r="M14" s="20">
        <v>2</v>
      </c>
      <c r="N14" s="20"/>
      <c r="O14" s="20">
        <v>22.82</v>
      </c>
      <c r="P14" s="20">
        <v>20.87</v>
      </c>
      <c r="Q14" s="20" t="s">
        <v>687</v>
      </c>
      <c r="R14" s="20" t="s">
        <v>688</v>
      </c>
    </row>
    <row r="15" spans="1:18" x14ac:dyDescent="0.25">
      <c r="A15" s="91" t="s">
        <v>644</v>
      </c>
      <c r="B15" s="91" t="s">
        <v>650</v>
      </c>
      <c r="C15" s="56"/>
      <c r="D15" s="56"/>
      <c r="E15" s="91" t="s">
        <v>644</v>
      </c>
      <c r="F15" s="91" t="s">
        <v>657</v>
      </c>
      <c r="G15" s="168"/>
      <c r="H15" s="168"/>
      <c r="I15" s="168"/>
      <c r="M15" s="20">
        <v>3</v>
      </c>
      <c r="N15" s="20"/>
      <c r="O15" s="20">
        <v>20.87</v>
      </c>
      <c r="P15" s="20">
        <v>18.829999999999998</v>
      </c>
      <c r="Q15" s="20" t="s">
        <v>689</v>
      </c>
      <c r="R15" s="20" t="s">
        <v>690</v>
      </c>
    </row>
    <row r="16" spans="1:18" x14ac:dyDescent="0.25">
      <c r="A16" s="91"/>
      <c r="B16" s="91"/>
      <c r="C16" s="56"/>
      <c r="D16" s="56"/>
      <c r="E16" s="91"/>
      <c r="F16" s="91"/>
      <c r="G16" s="168"/>
      <c r="H16" s="168"/>
      <c r="I16" s="168"/>
      <c r="M16" s="20">
        <v>4</v>
      </c>
      <c r="N16" s="20"/>
      <c r="O16" s="20">
        <v>18.829999999999998</v>
      </c>
      <c r="P16" s="20">
        <v>16.899999999999999</v>
      </c>
      <c r="Q16" s="20" t="s">
        <v>691</v>
      </c>
      <c r="R16" s="20" t="s">
        <v>692</v>
      </c>
    </row>
    <row r="17" spans="1:18" x14ac:dyDescent="0.25">
      <c r="A17" s="91" t="s">
        <v>659</v>
      </c>
      <c r="B17" s="91" t="s">
        <v>665</v>
      </c>
      <c r="C17" s="56"/>
      <c r="D17" s="56"/>
      <c r="E17" s="91" t="s">
        <v>659</v>
      </c>
      <c r="F17" s="91" t="s">
        <v>670</v>
      </c>
      <c r="G17" s="168"/>
      <c r="H17" s="168"/>
      <c r="I17" s="168"/>
      <c r="M17" s="20">
        <v>5</v>
      </c>
      <c r="N17" s="20"/>
      <c r="O17" s="20">
        <v>16.899999999999999</v>
      </c>
      <c r="P17" s="20">
        <v>14.95</v>
      </c>
      <c r="Q17" s="20" t="s">
        <v>687</v>
      </c>
      <c r="R17" s="20" t="s">
        <v>688</v>
      </c>
    </row>
    <row r="18" spans="1:18" x14ac:dyDescent="0.25">
      <c r="A18" s="91" t="s">
        <v>660</v>
      </c>
      <c r="B18" s="91" t="s">
        <v>666</v>
      </c>
      <c r="C18" s="56"/>
      <c r="D18" s="56"/>
      <c r="E18" s="91" t="s">
        <v>660</v>
      </c>
      <c r="F18" s="91" t="s">
        <v>671</v>
      </c>
      <c r="G18" s="168"/>
      <c r="H18" s="168"/>
      <c r="I18" s="168"/>
      <c r="M18" s="20">
        <v>6</v>
      </c>
      <c r="N18" s="20"/>
      <c r="O18" s="20">
        <v>14.95</v>
      </c>
      <c r="P18" s="20">
        <v>12.96</v>
      </c>
      <c r="Q18" s="20" t="s">
        <v>693</v>
      </c>
      <c r="R18" s="20" t="s">
        <v>694</v>
      </c>
    </row>
    <row r="19" spans="1:18" x14ac:dyDescent="0.25">
      <c r="A19" s="91" t="s">
        <v>661</v>
      </c>
      <c r="B19" s="91" t="s">
        <v>667</v>
      </c>
      <c r="C19" s="56"/>
      <c r="D19" s="56"/>
      <c r="E19" s="91" t="s">
        <v>661</v>
      </c>
      <c r="F19" s="91" t="s">
        <v>672</v>
      </c>
      <c r="G19" s="168" t="s">
        <v>673</v>
      </c>
      <c r="H19" s="168"/>
      <c r="I19" s="168"/>
      <c r="M19" s="20">
        <v>7</v>
      </c>
      <c r="N19" s="20"/>
      <c r="O19" s="20">
        <v>12.96</v>
      </c>
      <c r="P19" s="20">
        <v>11.12</v>
      </c>
      <c r="Q19" s="20" t="s">
        <v>696</v>
      </c>
      <c r="R19" s="20" t="s">
        <v>695</v>
      </c>
    </row>
    <row r="20" spans="1:18" x14ac:dyDescent="0.25">
      <c r="A20" s="91" t="s">
        <v>662</v>
      </c>
      <c r="B20" s="91" t="s">
        <v>668</v>
      </c>
      <c r="C20" s="56"/>
      <c r="D20" s="56"/>
      <c r="E20" s="91" t="s">
        <v>662</v>
      </c>
      <c r="F20" s="91" t="s">
        <v>674</v>
      </c>
      <c r="G20" s="168"/>
      <c r="H20" s="168"/>
      <c r="I20" s="168"/>
      <c r="M20" s="20">
        <v>8</v>
      </c>
      <c r="N20" s="20"/>
      <c r="O20" s="20">
        <v>11.12</v>
      </c>
      <c r="P20" s="20">
        <v>9.1199999999999992</v>
      </c>
      <c r="Q20" s="20" t="s">
        <v>697</v>
      </c>
      <c r="R20" s="20" t="s">
        <v>698</v>
      </c>
    </row>
    <row r="21" spans="1:18" x14ac:dyDescent="0.25">
      <c r="A21" s="91" t="s">
        <v>663</v>
      </c>
      <c r="B21" s="91" t="s">
        <v>669</v>
      </c>
      <c r="C21" s="56"/>
      <c r="D21" s="56"/>
      <c r="E21" s="91" t="s">
        <v>663</v>
      </c>
      <c r="F21" s="91" t="s">
        <v>675</v>
      </c>
      <c r="G21" s="168"/>
      <c r="H21" s="168"/>
      <c r="I21" s="168"/>
      <c r="M21" s="20">
        <v>9</v>
      </c>
      <c r="N21" s="20"/>
      <c r="O21" s="20">
        <v>9.1199999999999992</v>
      </c>
      <c r="P21" s="20">
        <v>7.13</v>
      </c>
      <c r="Q21" s="20" t="s">
        <v>693</v>
      </c>
      <c r="R21" s="20" t="s">
        <v>694</v>
      </c>
    </row>
    <row r="22" spans="1:18" x14ac:dyDescent="0.25">
      <c r="A22" s="91" t="s">
        <v>664</v>
      </c>
      <c r="B22" s="91" t="s">
        <v>668</v>
      </c>
      <c r="C22" s="56"/>
      <c r="D22" s="56"/>
      <c r="E22" s="91" t="s">
        <v>664</v>
      </c>
      <c r="F22" s="91" t="s">
        <v>676</v>
      </c>
      <c r="G22" s="168"/>
      <c r="H22" s="168"/>
      <c r="I22" s="168"/>
      <c r="M22" s="20">
        <v>10</v>
      </c>
      <c r="N22" s="20"/>
      <c r="O22" s="20">
        <v>7.13</v>
      </c>
      <c r="P22" s="20">
        <v>5.1989999999999998</v>
      </c>
      <c r="Q22" s="20" t="s">
        <v>700</v>
      </c>
      <c r="R22" s="20" t="s">
        <v>692</v>
      </c>
    </row>
    <row r="23" spans="1:18" x14ac:dyDescent="0.25">
      <c r="B23" s="56"/>
      <c r="C23" s="56"/>
      <c r="D23" s="56"/>
      <c r="E23" s="56"/>
      <c r="F23" s="56"/>
      <c r="M23" s="20">
        <v>11</v>
      </c>
      <c r="N23" s="170"/>
      <c r="O23" s="20">
        <v>5.1989999999999998</v>
      </c>
      <c r="P23" s="20">
        <v>3.2530000000000001</v>
      </c>
      <c r="Q23" s="20" t="s">
        <v>701</v>
      </c>
      <c r="R23" s="20" t="s">
        <v>702</v>
      </c>
    </row>
    <row r="24" spans="1:18" x14ac:dyDescent="0.25">
      <c r="B24" s="56"/>
      <c r="C24" s="56"/>
      <c r="D24" s="56"/>
      <c r="E24" s="56"/>
      <c r="F24" s="56"/>
      <c r="M24" s="20">
        <v>12</v>
      </c>
      <c r="N24" s="170"/>
      <c r="O24" s="20">
        <v>3.2530000000000001</v>
      </c>
      <c r="P24" s="20">
        <v>1.2729999999999999</v>
      </c>
      <c r="Q24" s="20" t="s">
        <v>703</v>
      </c>
      <c r="R24" s="20" t="s">
        <v>705</v>
      </c>
    </row>
    <row r="25" spans="1:18" x14ac:dyDescent="0.25">
      <c r="B25" s="56"/>
      <c r="C25" s="56"/>
      <c r="D25" s="56"/>
      <c r="E25" s="56"/>
      <c r="F25" s="56"/>
      <c r="M25" s="20">
        <v>13</v>
      </c>
      <c r="N25" s="170"/>
      <c r="O25" s="20">
        <v>1.2729999999999999</v>
      </c>
      <c r="P25" s="20">
        <v>0</v>
      </c>
      <c r="Q25" s="20" t="s">
        <v>707</v>
      </c>
      <c r="R25" s="20" t="s">
        <v>706</v>
      </c>
    </row>
    <row r="26" spans="1:18" x14ac:dyDescent="0.25">
      <c r="B26" s="56"/>
      <c r="C26" s="56"/>
      <c r="D26" s="56"/>
      <c r="E26" s="56"/>
      <c r="F26" s="56"/>
      <c r="M26" s="20"/>
      <c r="N26" s="170"/>
      <c r="O26" s="20"/>
      <c r="P26" s="20"/>
      <c r="Q26" s="20"/>
    </row>
    <row r="27" spans="1:18" x14ac:dyDescent="0.25">
      <c r="B27" s="56"/>
      <c r="C27" s="56"/>
      <c r="D27" s="56"/>
      <c r="E27" s="56"/>
      <c r="F27" s="56"/>
      <c r="M27" s="20"/>
      <c r="N27" s="170" t="s">
        <v>684</v>
      </c>
      <c r="O27" s="20"/>
      <c r="P27" s="20"/>
      <c r="Q27" s="20"/>
    </row>
    <row r="28" spans="1:18" ht="15.75" x14ac:dyDescent="0.25">
      <c r="B28" s="56"/>
      <c r="C28" s="56"/>
      <c r="D28" s="56"/>
      <c r="E28" s="56"/>
      <c r="F28" s="56"/>
      <c r="M28" s="20"/>
      <c r="N28" s="171" t="s">
        <v>704</v>
      </c>
      <c r="O28" s="21"/>
      <c r="P28" s="21"/>
      <c r="Q28" s="70"/>
      <c r="R28" s="70"/>
    </row>
    <row r="29" spans="1:18" ht="15.75" x14ac:dyDescent="0.25">
      <c r="B29" s="57"/>
      <c r="C29" s="56"/>
      <c r="D29" s="56"/>
      <c r="E29" s="56"/>
      <c r="F29" s="56"/>
      <c r="M29" s="20"/>
      <c r="N29" s="171" t="s">
        <v>683</v>
      </c>
      <c r="O29" s="21"/>
      <c r="P29" s="21"/>
      <c r="Q29" s="70"/>
      <c r="R29" s="70"/>
    </row>
    <row r="30" spans="1:18" x14ac:dyDescent="0.25">
      <c r="B30" s="56"/>
      <c r="C30" s="56"/>
      <c r="D30" s="56"/>
      <c r="E30" s="56"/>
      <c r="F30" s="56"/>
      <c r="M30" s="56"/>
    </row>
    <row r="31" spans="1:18" x14ac:dyDescent="0.25">
      <c r="B31" s="56"/>
      <c r="C31" s="56"/>
      <c r="D31" s="56"/>
      <c r="E31" s="56"/>
      <c r="F31" s="56"/>
      <c r="M31" s="56"/>
    </row>
    <row r="32" spans="1:18" x14ac:dyDescent="0.25">
      <c r="B32" s="56"/>
      <c r="C32" s="56"/>
      <c r="D32" s="56"/>
      <c r="E32" s="56"/>
      <c r="F32" s="56"/>
      <c r="M32" s="56"/>
    </row>
    <row r="33" spans="2:13" x14ac:dyDescent="0.25">
      <c r="B33" s="56"/>
      <c r="C33" s="56"/>
      <c r="D33" s="56"/>
      <c r="E33" s="56"/>
      <c r="F33" s="56"/>
      <c r="M33" s="56"/>
    </row>
    <row r="34" spans="2:13" x14ac:dyDescent="0.25">
      <c r="B34" s="56"/>
      <c r="C34" s="56"/>
      <c r="D34" s="56"/>
      <c r="E34" s="56"/>
      <c r="F34" s="56"/>
      <c r="G34" s="56"/>
      <c r="H34" s="56"/>
      <c r="I34" s="56"/>
      <c r="J34" s="56"/>
      <c r="K34" s="56"/>
      <c r="L34" s="56"/>
      <c r="M34" s="56"/>
    </row>
    <row r="35" spans="2:13" x14ac:dyDescent="0.25">
      <c r="B35" s="56"/>
      <c r="C35" s="56"/>
      <c r="D35" s="56"/>
      <c r="E35" s="56"/>
      <c r="F35" s="56"/>
      <c r="G35" s="56"/>
      <c r="H35" s="56"/>
      <c r="I35" s="56"/>
      <c r="J35" s="56"/>
      <c r="K35" s="56"/>
      <c r="L35" s="56"/>
      <c r="M35" s="56"/>
    </row>
    <row r="36" spans="2:13" x14ac:dyDescent="0.25">
      <c r="B36" s="56"/>
      <c r="C36" s="56"/>
      <c r="D36" s="56"/>
      <c r="E36" s="56"/>
      <c r="F36" s="56"/>
      <c r="G36" s="56"/>
      <c r="H36" s="56"/>
      <c r="I36" s="56"/>
      <c r="J36" s="56"/>
      <c r="K36" s="56"/>
      <c r="L36" s="56"/>
      <c r="M36" s="56"/>
    </row>
    <row r="37" spans="2:13" x14ac:dyDescent="0.25">
      <c r="B37" s="56"/>
      <c r="C37" s="56"/>
      <c r="D37" s="56"/>
      <c r="E37" s="56"/>
      <c r="F37" s="56"/>
      <c r="G37" s="56"/>
      <c r="H37" s="56"/>
      <c r="I37" s="56"/>
      <c r="J37" s="56"/>
      <c r="K37" s="56"/>
      <c r="L37" s="56"/>
      <c r="M37" s="56"/>
    </row>
    <row r="38" spans="2:13" x14ac:dyDescent="0.25">
      <c r="B38" s="56"/>
      <c r="C38" s="56"/>
      <c r="D38" s="56"/>
      <c r="E38" s="56"/>
      <c r="F38" s="56"/>
      <c r="G38" s="56"/>
      <c r="H38" s="56"/>
      <c r="I38" s="56"/>
      <c r="J38" s="56"/>
      <c r="K38" s="56"/>
      <c r="L38" s="56"/>
      <c r="M38" s="56"/>
    </row>
    <row r="39" spans="2:13" x14ac:dyDescent="0.25">
      <c r="B39" s="56"/>
      <c r="C39" s="56"/>
      <c r="D39" s="56"/>
      <c r="E39" s="56"/>
      <c r="F39" s="56"/>
      <c r="G39" s="56"/>
      <c r="H39" s="56"/>
      <c r="I39" s="56"/>
      <c r="J39" s="56"/>
      <c r="K39" s="56"/>
      <c r="L39" s="56"/>
      <c r="M39" s="56"/>
    </row>
    <row r="40" spans="2:13" x14ac:dyDescent="0.25">
      <c r="B40" s="56"/>
      <c r="C40" s="56"/>
      <c r="D40" s="56"/>
      <c r="E40" s="56"/>
      <c r="F40" s="56"/>
      <c r="G40" s="56"/>
      <c r="H40" s="56"/>
      <c r="I40" s="56"/>
      <c r="J40" s="56"/>
      <c r="K40" s="56"/>
      <c r="L40" s="56"/>
      <c r="M40" s="56"/>
    </row>
    <row r="41" spans="2:13" x14ac:dyDescent="0.25">
      <c r="B41" s="56"/>
      <c r="C41" s="56"/>
      <c r="D41" s="56"/>
      <c r="E41" s="56"/>
      <c r="F41" s="56"/>
      <c r="G41" s="56"/>
      <c r="H41" s="56"/>
      <c r="I41" s="56"/>
      <c r="J41" s="56"/>
      <c r="K41" s="56"/>
      <c r="L41" s="56"/>
      <c r="M41" s="56"/>
    </row>
    <row r="42" spans="2:13" x14ac:dyDescent="0.25">
      <c r="B42" s="56"/>
    </row>
    <row r="43" spans="2:13" x14ac:dyDescent="0.25">
      <c r="B43" s="56"/>
    </row>
    <row r="44" spans="2:13" x14ac:dyDescent="0.25">
      <c r="B44" s="56"/>
    </row>
  </sheetData>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J26"/>
  <sheetViews>
    <sheetView windowProtection="1" workbookViewId="0">
      <selection activeCell="D38" sqref="D38"/>
    </sheetView>
  </sheetViews>
  <sheetFormatPr defaultRowHeight="15" x14ac:dyDescent="0.25"/>
  <cols>
    <col min="4" max="7" width="24.7109375" customWidth="1"/>
  </cols>
  <sheetData>
    <row r="3" spans="2:7" x14ac:dyDescent="0.25">
      <c r="B3" s="172" t="s">
        <v>678</v>
      </c>
      <c r="C3" s="173"/>
      <c r="D3" s="173"/>
      <c r="E3" s="173"/>
      <c r="F3" s="173"/>
      <c r="G3" s="20"/>
    </row>
    <row r="4" spans="2:7" x14ac:dyDescent="0.25">
      <c r="B4" s="56"/>
      <c r="C4" s="56"/>
      <c r="D4" s="56"/>
      <c r="E4" s="56"/>
      <c r="F4" s="56"/>
      <c r="G4" s="20"/>
    </row>
    <row r="5" spans="2:7" x14ac:dyDescent="0.25">
      <c r="B5" s="24" t="s">
        <v>42</v>
      </c>
      <c r="C5" s="24"/>
      <c r="D5" s="24" t="s">
        <v>680</v>
      </c>
      <c r="E5" s="24" t="s">
        <v>681</v>
      </c>
      <c r="F5" s="24" t="s">
        <v>682</v>
      </c>
      <c r="G5" s="24" t="s">
        <v>686</v>
      </c>
    </row>
    <row r="6" spans="2:7" x14ac:dyDescent="0.25">
      <c r="B6" s="24" t="s">
        <v>679</v>
      </c>
      <c r="C6" s="24"/>
      <c r="D6" s="24">
        <v>24.91</v>
      </c>
      <c r="E6" s="24">
        <v>22.82</v>
      </c>
      <c r="F6" s="24" t="s">
        <v>685</v>
      </c>
      <c r="G6" s="24" t="s">
        <v>708</v>
      </c>
    </row>
    <row r="7" spans="2:7" x14ac:dyDescent="0.25">
      <c r="B7" s="24">
        <v>2</v>
      </c>
      <c r="C7" s="24"/>
      <c r="D7" s="24">
        <v>22.82</v>
      </c>
      <c r="E7" s="24">
        <v>20.87</v>
      </c>
      <c r="F7" s="24" t="s">
        <v>687</v>
      </c>
      <c r="G7" s="24" t="s">
        <v>709</v>
      </c>
    </row>
    <row r="8" spans="2:7" x14ac:dyDescent="0.25">
      <c r="B8" s="24">
        <v>3</v>
      </c>
      <c r="C8" s="24"/>
      <c r="D8" s="24">
        <v>20.87</v>
      </c>
      <c r="E8" s="24">
        <v>18.829999999999998</v>
      </c>
      <c r="F8" s="24" t="s">
        <v>689</v>
      </c>
      <c r="G8" s="24" t="s">
        <v>710</v>
      </c>
    </row>
    <row r="9" spans="2:7" x14ac:dyDescent="0.25">
      <c r="B9" s="24">
        <v>4</v>
      </c>
      <c r="C9" s="24"/>
      <c r="D9" s="24">
        <v>18.829999999999998</v>
      </c>
      <c r="E9" s="24">
        <v>16.899999999999999</v>
      </c>
      <c r="F9" s="24" t="s">
        <v>691</v>
      </c>
      <c r="G9" s="24" t="s">
        <v>711</v>
      </c>
    </row>
    <row r="10" spans="2:7" x14ac:dyDescent="0.25">
      <c r="B10" s="24">
        <v>5</v>
      </c>
      <c r="C10" s="24"/>
      <c r="D10" s="24">
        <v>16.899999999999999</v>
      </c>
      <c r="E10" s="24">
        <v>14.95</v>
      </c>
      <c r="F10" s="24" t="s">
        <v>687</v>
      </c>
      <c r="G10" s="24" t="s">
        <v>709</v>
      </c>
    </row>
    <row r="11" spans="2:7" x14ac:dyDescent="0.25">
      <c r="B11" s="24">
        <v>6</v>
      </c>
      <c r="C11" s="24"/>
      <c r="D11" s="24">
        <v>14.95</v>
      </c>
      <c r="E11" s="24">
        <v>12.96</v>
      </c>
      <c r="F11" s="24" t="s">
        <v>693</v>
      </c>
      <c r="G11" s="24" t="s">
        <v>712</v>
      </c>
    </row>
    <row r="12" spans="2:7" x14ac:dyDescent="0.25">
      <c r="B12" s="24">
        <v>7</v>
      </c>
      <c r="C12" s="24"/>
      <c r="D12" s="24">
        <v>12.96</v>
      </c>
      <c r="E12" s="24">
        <v>11.12</v>
      </c>
      <c r="F12" s="24" t="s">
        <v>696</v>
      </c>
      <c r="G12" s="24" t="s">
        <v>713</v>
      </c>
    </row>
    <row r="13" spans="2:7" x14ac:dyDescent="0.25">
      <c r="B13" s="24">
        <v>8</v>
      </c>
      <c r="C13" s="24"/>
      <c r="D13" s="24">
        <v>11.12</v>
      </c>
      <c r="E13" s="24">
        <v>9.1199999999999992</v>
      </c>
      <c r="F13" s="24" t="s">
        <v>697</v>
      </c>
      <c r="G13" s="24" t="s">
        <v>714</v>
      </c>
    </row>
    <row r="14" spans="2:7" x14ac:dyDescent="0.25">
      <c r="B14" s="24">
        <v>9</v>
      </c>
      <c r="C14" s="24"/>
      <c r="D14" s="24">
        <v>9.1199999999999992</v>
      </c>
      <c r="E14" s="24">
        <v>7.13</v>
      </c>
      <c r="F14" s="24" t="s">
        <v>693</v>
      </c>
      <c r="G14" s="24" t="s">
        <v>712</v>
      </c>
    </row>
    <row r="15" spans="2:7" x14ac:dyDescent="0.25">
      <c r="B15" s="24">
        <v>10</v>
      </c>
      <c r="C15" s="24"/>
      <c r="D15" s="24">
        <v>7.13</v>
      </c>
      <c r="E15" s="24">
        <v>5.1989999999999998</v>
      </c>
      <c r="F15" s="24" t="s">
        <v>700</v>
      </c>
      <c r="G15" s="24" t="s">
        <v>711</v>
      </c>
    </row>
    <row r="16" spans="2:7" x14ac:dyDescent="0.25">
      <c r="B16" s="24">
        <v>11</v>
      </c>
      <c r="C16" s="175"/>
      <c r="D16" s="24">
        <v>5.1989999999999998</v>
      </c>
      <c r="E16" s="24">
        <v>3.2530000000000001</v>
      </c>
      <c r="F16" s="24" t="s">
        <v>701</v>
      </c>
      <c r="G16" s="24" t="s">
        <v>715</v>
      </c>
    </row>
    <row r="17" spans="2:10" x14ac:dyDescent="0.25">
      <c r="B17" s="24">
        <v>12</v>
      </c>
      <c r="C17" s="175"/>
      <c r="D17" s="24">
        <v>3.2530000000000001</v>
      </c>
      <c r="E17" s="24">
        <v>1.2729999999999999</v>
      </c>
      <c r="F17" s="24" t="s">
        <v>703</v>
      </c>
      <c r="G17" s="24" t="s">
        <v>716</v>
      </c>
    </row>
    <row r="18" spans="2:10" x14ac:dyDescent="0.25">
      <c r="B18" s="24">
        <v>13</v>
      </c>
      <c r="C18" s="175"/>
      <c r="D18" s="24">
        <v>1.2729999999999999</v>
      </c>
      <c r="E18" s="24">
        <v>0</v>
      </c>
      <c r="F18" s="24" t="s">
        <v>707</v>
      </c>
      <c r="G18" s="24" t="s">
        <v>717</v>
      </c>
    </row>
    <row r="19" spans="2:10" x14ac:dyDescent="0.25">
      <c r="B19" s="20"/>
      <c r="C19" s="170"/>
      <c r="D19" s="20"/>
      <c r="E19" s="20"/>
      <c r="F19" s="20"/>
      <c r="G19" s="20"/>
    </row>
    <row r="20" spans="2:10" x14ac:dyDescent="0.25">
      <c r="B20" s="20"/>
      <c r="C20" s="170" t="s">
        <v>684</v>
      </c>
      <c r="D20" s="20"/>
      <c r="E20" s="20"/>
      <c r="F20" s="20"/>
      <c r="G20" s="20"/>
    </row>
    <row r="21" spans="2:10" ht="15.75" x14ac:dyDescent="0.25">
      <c r="B21" s="20"/>
      <c r="C21" s="171" t="s">
        <v>704</v>
      </c>
      <c r="D21" s="21"/>
      <c r="E21" s="21"/>
      <c r="F21" s="70"/>
      <c r="G21" s="70"/>
    </row>
    <row r="22" spans="2:10" ht="15.75" x14ac:dyDescent="0.25">
      <c r="B22" s="20"/>
      <c r="C22" s="171" t="s">
        <v>683</v>
      </c>
      <c r="D22" s="21"/>
      <c r="E22" s="21"/>
      <c r="F22" s="70"/>
      <c r="G22" s="70"/>
    </row>
    <row r="24" spans="2:10" ht="15.75" x14ac:dyDescent="0.25">
      <c r="C24" s="44" t="s">
        <v>718</v>
      </c>
      <c r="D24" s="44"/>
      <c r="E24" s="44"/>
      <c r="F24" s="44"/>
      <c r="G24" s="44"/>
      <c r="H24" s="44"/>
      <c r="I24" s="44"/>
      <c r="J24" s="44"/>
    </row>
    <row r="25" spans="2:10" ht="15.75" x14ac:dyDescent="0.25">
      <c r="C25" s="44" t="s">
        <v>719</v>
      </c>
      <c r="D25" s="44"/>
      <c r="E25" s="44"/>
      <c r="F25" s="44"/>
      <c r="G25" s="44"/>
      <c r="H25" s="44"/>
      <c r="I25" s="44"/>
      <c r="J25" s="44"/>
    </row>
    <row r="26" spans="2:10" ht="15.75" x14ac:dyDescent="0.25">
      <c r="C26" s="44" t="s">
        <v>720</v>
      </c>
      <c r="D26" s="44"/>
      <c r="E26" s="44"/>
      <c r="F26" s="44"/>
      <c r="G26" s="44"/>
      <c r="H26" s="44"/>
      <c r="I26" s="44"/>
      <c r="J26" s="44"/>
    </row>
  </sheetData>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C3:L43"/>
  <sheetViews>
    <sheetView windowProtection="1" workbookViewId="0">
      <selection activeCell="P30" sqref="P30"/>
    </sheetView>
  </sheetViews>
  <sheetFormatPr defaultRowHeight="15" x14ac:dyDescent="0.25"/>
  <sheetData>
    <row r="3" spans="3:11" ht="18.75" x14ac:dyDescent="0.3">
      <c r="C3" s="176" t="s">
        <v>721</v>
      </c>
    </row>
    <row r="7" spans="3:11" x14ac:dyDescent="0.25">
      <c r="G7" t="s">
        <v>41</v>
      </c>
    </row>
    <row r="9" spans="3:11" x14ac:dyDescent="0.25">
      <c r="F9" s="26" t="s">
        <v>134</v>
      </c>
      <c r="G9" s="26">
        <v>5389</v>
      </c>
      <c r="H9" s="26"/>
      <c r="I9" s="26"/>
      <c r="J9" s="26"/>
      <c r="K9" s="26"/>
    </row>
    <row r="10" spans="3:11" x14ac:dyDescent="0.25">
      <c r="F10" s="26" t="s">
        <v>135</v>
      </c>
      <c r="G10" s="26">
        <v>5281</v>
      </c>
      <c r="H10" s="26"/>
      <c r="I10" s="26"/>
      <c r="J10" s="26"/>
      <c r="K10" s="26"/>
    </row>
    <row r="11" spans="3:11" x14ac:dyDescent="0.25">
      <c r="F11" s="26" t="s">
        <v>136</v>
      </c>
      <c r="G11" s="26">
        <v>5311</v>
      </c>
      <c r="H11" s="26" t="s">
        <v>290</v>
      </c>
      <c r="I11" s="26" t="s">
        <v>52</v>
      </c>
      <c r="J11" s="26">
        <v>40.56</v>
      </c>
      <c r="K11" s="26" t="s">
        <v>18</v>
      </c>
    </row>
    <row r="12" spans="3:11" x14ac:dyDescent="0.25">
      <c r="F12" s="26" t="s">
        <v>137</v>
      </c>
      <c r="G12" s="26">
        <v>2335</v>
      </c>
      <c r="H12" s="26"/>
      <c r="I12" s="26"/>
      <c r="J12" s="26"/>
      <c r="K12" s="26"/>
    </row>
    <row r="13" spans="3:11" x14ac:dyDescent="0.25">
      <c r="F13" s="26" t="s">
        <v>138</v>
      </c>
      <c r="G13" s="26">
        <v>5240</v>
      </c>
      <c r="H13" s="26"/>
      <c r="I13" s="26"/>
      <c r="J13" s="26"/>
      <c r="K13" s="26"/>
    </row>
    <row r="14" spans="3:11" x14ac:dyDescent="0.25">
      <c r="F14" s="26" t="s">
        <v>139</v>
      </c>
      <c r="G14" s="26">
        <v>5304</v>
      </c>
      <c r="H14" s="26"/>
      <c r="I14" s="26"/>
      <c r="J14" s="26"/>
      <c r="K14" s="26"/>
    </row>
    <row r="17" spans="6:12" x14ac:dyDescent="0.25">
      <c r="G17" t="s">
        <v>47</v>
      </c>
      <c r="H17" t="s">
        <v>722</v>
      </c>
    </row>
    <row r="19" spans="6:12" x14ac:dyDescent="0.25">
      <c r="F19" s="26" t="s">
        <v>134</v>
      </c>
      <c r="G19" s="26">
        <v>5343</v>
      </c>
      <c r="H19" s="26"/>
      <c r="I19" s="26"/>
      <c r="J19" s="26"/>
      <c r="K19" s="26"/>
    </row>
    <row r="20" spans="6:12" x14ac:dyDescent="0.25">
      <c r="F20" s="26" t="s">
        <v>135</v>
      </c>
      <c r="G20" s="26">
        <v>5186</v>
      </c>
      <c r="H20" s="26"/>
      <c r="I20" s="26"/>
      <c r="J20" s="26"/>
      <c r="K20" s="26"/>
    </row>
    <row r="21" spans="6:12" x14ac:dyDescent="0.25">
      <c r="F21" s="26" t="s">
        <v>136</v>
      </c>
      <c r="G21" s="26">
        <v>5317</v>
      </c>
      <c r="H21" s="26" t="s">
        <v>302</v>
      </c>
      <c r="I21" s="26" t="s">
        <v>52</v>
      </c>
      <c r="J21" s="26">
        <v>40.04</v>
      </c>
      <c r="K21" s="26" t="s">
        <v>18</v>
      </c>
    </row>
    <row r="22" spans="6:12" x14ac:dyDescent="0.25">
      <c r="F22" s="26" t="s">
        <v>137</v>
      </c>
      <c r="G22" s="26">
        <v>5303</v>
      </c>
      <c r="H22" s="26"/>
      <c r="I22" s="26"/>
      <c r="J22" s="26"/>
      <c r="K22" s="26"/>
    </row>
    <row r="23" spans="6:12" x14ac:dyDescent="0.25">
      <c r="F23" s="26" t="s">
        <v>138</v>
      </c>
      <c r="G23" s="26">
        <v>5337</v>
      </c>
      <c r="H23" s="26"/>
      <c r="I23" s="26"/>
      <c r="J23" s="26"/>
      <c r="K23" s="26"/>
    </row>
    <row r="24" spans="6:12" x14ac:dyDescent="0.25">
      <c r="F24" s="26" t="s">
        <v>139</v>
      </c>
      <c r="G24" s="26">
        <v>5382</v>
      </c>
      <c r="H24" s="26"/>
      <c r="I24" s="26"/>
      <c r="J24" s="26"/>
      <c r="K24" s="26"/>
    </row>
    <row r="27" spans="6:12" x14ac:dyDescent="0.25">
      <c r="G27" t="s">
        <v>48</v>
      </c>
    </row>
    <row r="29" spans="6:12" x14ac:dyDescent="0.25">
      <c r="F29" s="26" t="s">
        <v>134</v>
      </c>
      <c r="G29" s="26" t="s">
        <v>314</v>
      </c>
      <c r="H29" s="26">
        <v>5681</v>
      </c>
      <c r="I29" s="26"/>
      <c r="J29" s="26" t="s">
        <v>52</v>
      </c>
      <c r="K29" s="26"/>
      <c r="L29" s="26"/>
    </row>
    <row r="30" spans="6:12" x14ac:dyDescent="0.25">
      <c r="F30" s="26" t="s">
        <v>135</v>
      </c>
      <c r="G30" s="26" t="s">
        <v>616</v>
      </c>
      <c r="H30" s="26">
        <v>5253</v>
      </c>
      <c r="I30" s="26"/>
      <c r="J30" s="26" t="s">
        <v>52</v>
      </c>
      <c r="K30" s="26"/>
      <c r="L30" s="26"/>
    </row>
    <row r="31" spans="6:12" x14ac:dyDescent="0.25">
      <c r="F31" s="26" t="s">
        <v>136</v>
      </c>
      <c r="G31" s="26" t="s">
        <v>613</v>
      </c>
      <c r="H31" s="26">
        <v>5295</v>
      </c>
      <c r="I31" s="26" t="s">
        <v>620</v>
      </c>
      <c r="J31" s="26" t="s">
        <v>52</v>
      </c>
      <c r="K31" s="26">
        <v>42.5</v>
      </c>
      <c r="L31" s="26" t="s">
        <v>18</v>
      </c>
    </row>
    <row r="32" spans="6:12" x14ac:dyDescent="0.25">
      <c r="F32" s="26" t="s">
        <v>137</v>
      </c>
      <c r="G32" s="26" t="s">
        <v>614</v>
      </c>
      <c r="H32" s="26">
        <v>5238</v>
      </c>
      <c r="I32" s="26"/>
      <c r="J32" s="26" t="s">
        <v>52</v>
      </c>
      <c r="K32" s="26"/>
      <c r="L32" s="26"/>
    </row>
    <row r="33" spans="6:12" x14ac:dyDescent="0.25">
      <c r="F33" s="26" t="s">
        <v>138</v>
      </c>
      <c r="G33" s="26" t="s">
        <v>615</v>
      </c>
      <c r="H33" s="26">
        <v>5269</v>
      </c>
      <c r="I33" s="26"/>
      <c r="J33" s="26" t="s">
        <v>52</v>
      </c>
      <c r="K33" s="26"/>
      <c r="L33" s="26"/>
    </row>
    <row r="34" spans="6:12" x14ac:dyDescent="0.25">
      <c r="F34" s="26" t="s">
        <v>139</v>
      </c>
      <c r="G34" s="26" t="s">
        <v>616</v>
      </c>
      <c r="H34" s="26">
        <v>5241</v>
      </c>
      <c r="I34" s="26"/>
      <c r="J34" s="26" t="s">
        <v>52</v>
      </c>
      <c r="K34" s="26"/>
      <c r="L34" s="26"/>
    </row>
    <row r="36" spans="6:12" x14ac:dyDescent="0.25">
      <c r="G36" t="s">
        <v>49</v>
      </c>
    </row>
    <row r="38" spans="6:12" x14ac:dyDescent="0.25">
      <c r="F38" s="26" t="s">
        <v>134</v>
      </c>
      <c r="G38" s="26">
        <v>5314</v>
      </c>
      <c r="H38" s="26"/>
      <c r="I38" s="26"/>
      <c r="J38" s="26"/>
      <c r="K38" s="26"/>
    </row>
    <row r="39" spans="6:12" x14ac:dyDescent="0.25">
      <c r="F39" s="26" t="s">
        <v>135</v>
      </c>
      <c r="G39" s="26">
        <v>5392</v>
      </c>
      <c r="H39" s="25"/>
      <c r="I39" s="25"/>
      <c r="J39" s="25"/>
      <c r="K39" s="25"/>
    </row>
    <row r="40" spans="6:12" x14ac:dyDescent="0.25">
      <c r="F40" s="26" t="s">
        <v>136</v>
      </c>
      <c r="G40" s="26">
        <v>5331</v>
      </c>
      <c r="H40" s="26" t="s">
        <v>289</v>
      </c>
      <c r="I40" s="26" t="s">
        <v>52</v>
      </c>
      <c r="J40" s="26">
        <v>41.21</v>
      </c>
      <c r="K40" s="26" t="s">
        <v>18</v>
      </c>
    </row>
    <row r="41" spans="6:12" x14ac:dyDescent="0.25">
      <c r="F41" s="26" t="s">
        <v>137</v>
      </c>
      <c r="G41" s="26">
        <v>5407</v>
      </c>
      <c r="H41" s="25"/>
      <c r="I41" s="25"/>
      <c r="J41" s="25"/>
      <c r="K41" s="25"/>
    </row>
    <row r="42" spans="6:12" x14ac:dyDescent="0.25">
      <c r="F42" s="26" t="s">
        <v>138</v>
      </c>
      <c r="G42" s="26">
        <v>2510</v>
      </c>
      <c r="H42" s="25"/>
      <c r="I42" s="25"/>
      <c r="J42" s="25"/>
      <c r="K42" s="25"/>
    </row>
    <row r="43" spans="6:12" x14ac:dyDescent="0.25">
      <c r="F43" s="26" t="s">
        <v>139</v>
      </c>
      <c r="G43" s="26">
        <v>5239</v>
      </c>
      <c r="H43" s="25"/>
      <c r="I43" s="25"/>
      <c r="J43" s="25"/>
      <c r="K43" s="25"/>
    </row>
  </sheetData>
  <pageMargins left="0.7" right="0.7" top="0.75" bottom="0.75" header="0.3" footer="0.3"/>
  <pageSetup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2:N404"/>
  <sheetViews>
    <sheetView windowProtection="1" topLeftCell="A254" workbookViewId="0">
      <selection activeCell="H355" sqref="H355"/>
    </sheetView>
  </sheetViews>
  <sheetFormatPr defaultRowHeight="15" x14ac:dyDescent="0.25"/>
  <cols>
    <col min="1" max="1" width="20.7109375" style="56" customWidth="1"/>
    <col min="3" max="3" width="18.7109375" style="56" customWidth="1"/>
    <col min="4" max="4" width="24.7109375" style="56" customWidth="1"/>
    <col min="5" max="6" width="24.7109375" style="179" customWidth="1"/>
    <col min="7" max="7" width="24.7109375" style="56" customWidth="1"/>
    <col min="8" max="8" width="25.7109375" style="56" customWidth="1"/>
    <col min="10" max="10" width="10.7109375" style="56" customWidth="1"/>
    <col min="12" max="12" width="20.7109375" customWidth="1"/>
    <col min="13" max="13" width="20.7109375" style="1" customWidth="1"/>
    <col min="14" max="14" width="20.7109375" customWidth="1"/>
  </cols>
  <sheetData>
    <row r="2" spans="1:14" x14ac:dyDescent="0.25">
      <c r="B2" s="172" t="s">
        <v>770</v>
      </c>
      <c r="C2" s="173"/>
      <c r="D2" s="173"/>
      <c r="E2" s="178"/>
      <c r="F2" s="178"/>
      <c r="G2" s="20"/>
    </row>
    <row r="3" spans="1:14" x14ac:dyDescent="0.25">
      <c r="B3" s="172" t="s">
        <v>726</v>
      </c>
      <c r="C3" s="173"/>
      <c r="D3" s="173"/>
      <c r="E3" s="178"/>
      <c r="F3" s="178"/>
      <c r="G3" s="20"/>
    </row>
    <row r="4" spans="1:14" x14ac:dyDescent="0.25">
      <c r="B4" s="172"/>
      <c r="C4" s="173"/>
      <c r="D4" s="173"/>
      <c r="E4" s="178"/>
      <c r="F4" s="178"/>
      <c r="G4" s="20"/>
      <c r="J4" s="56" t="s">
        <v>759</v>
      </c>
    </row>
    <row r="5" spans="1:14" ht="15.75" thickBot="1" x14ac:dyDescent="0.3">
      <c r="B5" s="56"/>
      <c r="G5" s="20"/>
      <c r="J5" s="56" t="s">
        <v>749</v>
      </c>
    </row>
    <row r="6" spans="1:14" x14ac:dyDescent="0.25">
      <c r="A6" s="184" t="s">
        <v>723</v>
      </c>
      <c r="B6" s="101" t="s">
        <v>42</v>
      </c>
      <c r="C6" s="101" t="s">
        <v>730</v>
      </c>
      <c r="D6" s="101" t="s">
        <v>728</v>
      </c>
      <c r="E6" s="195" t="s">
        <v>729</v>
      </c>
      <c r="F6" s="195" t="s">
        <v>725</v>
      </c>
      <c r="G6" s="101" t="s">
        <v>731</v>
      </c>
      <c r="H6" s="196" t="s">
        <v>748</v>
      </c>
      <c r="I6" s="19"/>
      <c r="K6" s="19"/>
      <c r="L6" s="222" t="s">
        <v>870</v>
      </c>
      <c r="M6" s="223"/>
      <c r="N6" s="224"/>
    </row>
    <row r="7" spans="1:14" x14ac:dyDescent="0.25">
      <c r="A7" s="187"/>
      <c r="B7" s="24" t="s">
        <v>679</v>
      </c>
      <c r="C7" s="24">
        <v>1.4800000000000001E-5</v>
      </c>
      <c r="D7" s="24">
        <v>0</v>
      </c>
      <c r="E7" s="180">
        <v>2066.4</v>
      </c>
      <c r="F7" s="180">
        <f>E7-D7</f>
        <v>2066.4</v>
      </c>
      <c r="G7" s="24">
        <f>F7/C7</f>
        <v>139621621.62162161</v>
      </c>
      <c r="H7" s="188">
        <v>139.62200000000001</v>
      </c>
      <c r="I7" s="19"/>
      <c r="K7" s="19"/>
      <c r="L7" s="96"/>
      <c r="M7" s="24"/>
      <c r="N7" s="189"/>
    </row>
    <row r="8" spans="1:14" x14ac:dyDescent="0.25">
      <c r="A8" s="187"/>
      <c r="B8" s="24">
        <v>2</v>
      </c>
      <c r="C8" s="24">
        <v>1.4800000000000001E-5</v>
      </c>
      <c r="D8" s="24">
        <v>2066.4</v>
      </c>
      <c r="E8" s="180">
        <v>3746.7</v>
      </c>
      <c r="F8" s="180">
        <f t="shared" ref="F8:F20" si="0">E8-D8</f>
        <v>1680.2999999999997</v>
      </c>
      <c r="G8" s="24">
        <f t="shared" ref="G8:G20" si="1">F8/C8</f>
        <v>113533783.78378376</v>
      </c>
      <c r="H8" s="188">
        <v>113.53400000000001</v>
      </c>
      <c r="I8" s="19"/>
      <c r="K8" s="19"/>
      <c r="L8" s="96"/>
      <c r="M8" s="24"/>
      <c r="N8" s="189"/>
    </row>
    <row r="9" spans="1:14" x14ac:dyDescent="0.25">
      <c r="A9" s="187"/>
      <c r="B9" s="24">
        <v>3</v>
      </c>
      <c r="C9" s="24">
        <v>1.4800000000000001E-5</v>
      </c>
      <c r="D9" s="24">
        <v>3746.7</v>
      </c>
      <c r="E9" s="180">
        <v>5313.5</v>
      </c>
      <c r="F9" s="180">
        <f t="shared" si="0"/>
        <v>1566.8000000000002</v>
      </c>
      <c r="G9" s="24">
        <f t="shared" si="1"/>
        <v>105864864.86486487</v>
      </c>
      <c r="H9" s="188">
        <v>105.86499999999999</v>
      </c>
      <c r="I9" s="19"/>
      <c r="K9" s="19"/>
      <c r="L9" s="96"/>
      <c r="M9" s="24"/>
      <c r="N9" s="189"/>
    </row>
    <row r="10" spans="1:14" x14ac:dyDescent="0.25">
      <c r="A10" s="187"/>
      <c r="B10" s="24">
        <v>4</v>
      </c>
      <c r="C10" s="24">
        <v>1.4800000000000001E-5</v>
      </c>
      <c r="D10" s="24">
        <v>5313.5</v>
      </c>
      <c r="E10" s="180">
        <v>7088.2</v>
      </c>
      <c r="F10" s="180">
        <f t="shared" si="0"/>
        <v>1774.6999999999998</v>
      </c>
      <c r="G10" s="24">
        <f t="shared" si="1"/>
        <v>119912162.16216214</v>
      </c>
      <c r="H10" s="188">
        <v>119.91200000000001</v>
      </c>
      <c r="I10" s="19"/>
      <c r="K10" s="19"/>
      <c r="L10" s="96"/>
      <c r="M10" s="24"/>
      <c r="N10" s="189"/>
    </row>
    <row r="11" spans="1:14" x14ac:dyDescent="0.25">
      <c r="A11" s="190" t="s">
        <v>739</v>
      </c>
      <c r="B11" s="24">
        <v>5</v>
      </c>
      <c r="C11" s="24">
        <v>1.4800000000000001E-5</v>
      </c>
      <c r="D11" s="24">
        <v>7088.2</v>
      </c>
      <c r="E11" s="180">
        <v>8245</v>
      </c>
      <c r="F11" s="180">
        <f t="shared" si="0"/>
        <v>1156.8000000000002</v>
      </c>
      <c r="G11" s="24">
        <f t="shared" si="1"/>
        <v>78162162.16216217</v>
      </c>
      <c r="H11" s="197">
        <v>78.162000000000006</v>
      </c>
      <c r="I11" s="19"/>
      <c r="K11" s="19"/>
      <c r="L11" s="201" t="s">
        <v>752</v>
      </c>
      <c r="M11" s="24"/>
      <c r="N11" s="202"/>
    </row>
    <row r="12" spans="1:14" x14ac:dyDescent="0.25">
      <c r="A12" s="190" t="s">
        <v>727</v>
      </c>
      <c r="B12" s="24">
        <v>6</v>
      </c>
      <c r="C12" s="24">
        <v>1.4800000000000001E-5</v>
      </c>
      <c r="D12" s="24">
        <v>8245</v>
      </c>
      <c r="E12" s="180">
        <v>9404</v>
      </c>
      <c r="F12" s="180">
        <f t="shared" si="0"/>
        <v>1159</v>
      </c>
      <c r="G12" s="24">
        <f t="shared" si="1"/>
        <v>78310810.810810804</v>
      </c>
      <c r="H12" s="197">
        <v>78.311000000000007</v>
      </c>
      <c r="I12" s="19"/>
      <c r="K12" s="19"/>
      <c r="L12" s="201" t="s">
        <v>752</v>
      </c>
      <c r="M12" s="24"/>
      <c r="N12" s="202"/>
    </row>
    <row r="13" spans="1:14" x14ac:dyDescent="0.25">
      <c r="A13" s="218" t="s">
        <v>801</v>
      </c>
      <c r="B13" s="24">
        <v>7</v>
      </c>
      <c r="C13" s="24">
        <v>1.4800000000000001E-5</v>
      </c>
      <c r="D13" s="24">
        <v>9404</v>
      </c>
      <c r="E13" s="180">
        <v>11184</v>
      </c>
      <c r="F13" s="180">
        <f t="shared" si="0"/>
        <v>1780</v>
      </c>
      <c r="G13" s="24">
        <f t="shared" si="1"/>
        <v>120270270.27027026</v>
      </c>
      <c r="H13" s="188">
        <v>120.27</v>
      </c>
      <c r="I13" s="19"/>
      <c r="J13" s="56">
        <v>1</v>
      </c>
      <c r="K13" s="19"/>
      <c r="L13" s="96"/>
      <c r="M13" s="24"/>
      <c r="N13" s="189"/>
    </row>
    <row r="14" spans="1:14" x14ac:dyDescent="0.25">
      <c r="A14" s="187"/>
      <c r="B14" s="24">
        <v>8</v>
      </c>
      <c r="C14" s="24">
        <v>1.4800000000000001E-5</v>
      </c>
      <c r="D14" s="24">
        <v>11184</v>
      </c>
      <c r="E14" s="180">
        <v>13136</v>
      </c>
      <c r="F14" s="180">
        <f t="shared" si="0"/>
        <v>1952</v>
      </c>
      <c r="G14" s="24">
        <f t="shared" si="1"/>
        <v>131891891.89189188</v>
      </c>
      <c r="H14" s="188">
        <v>131.892</v>
      </c>
      <c r="I14" s="19"/>
      <c r="K14" s="19"/>
      <c r="L14" s="96"/>
      <c r="M14" s="24"/>
      <c r="N14" s="189"/>
    </row>
    <row r="15" spans="1:14" x14ac:dyDescent="0.25">
      <c r="A15" s="187"/>
      <c r="B15" s="24">
        <v>9</v>
      </c>
      <c r="C15" s="24">
        <v>1.4800000000000001E-5</v>
      </c>
      <c r="D15" s="24">
        <v>13136</v>
      </c>
      <c r="E15" s="180">
        <v>15164</v>
      </c>
      <c r="F15" s="180">
        <f t="shared" si="0"/>
        <v>2028</v>
      </c>
      <c r="G15" s="24">
        <f t="shared" si="1"/>
        <v>137027027.02702701</v>
      </c>
      <c r="H15" s="188">
        <v>137.02699999999999</v>
      </c>
      <c r="I15" s="19"/>
      <c r="K15" s="19"/>
      <c r="L15" s="96"/>
      <c r="M15" s="24"/>
      <c r="N15" s="189"/>
    </row>
    <row r="16" spans="1:14" x14ac:dyDescent="0.25">
      <c r="A16" s="187"/>
      <c r="B16" s="24">
        <v>10</v>
      </c>
      <c r="C16" s="24">
        <v>1.4800000000000001E-5</v>
      </c>
      <c r="D16" s="24">
        <v>15164</v>
      </c>
      <c r="E16" s="180">
        <v>17222</v>
      </c>
      <c r="F16" s="180">
        <f t="shared" si="0"/>
        <v>2058</v>
      </c>
      <c r="G16" s="24">
        <f t="shared" si="1"/>
        <v>139054054.05405405</v>
      </c>
      <c r="H16" s="188">
        <v>139.054</v>
      </c>
      <c r="I16" s="19"/>
      <c r="K16" s="19"/>
      <c r="L16" s="96"/>
      <c r="M16" s="24"/>
      <c r="N16" s="189"/>
    </row>
    <row r="17" spans="1:14" x14ac:dyDescent="0.25">
      <c r="A17" s="187"/>
      <c r="B17" s="24">
        <v>11</v>
      </c>
      <c r="C17" s="24">
        <v>1.4800000000000001E-5</v>
      </c>
      <c r="D17" s="24">
        <v>17222</v>
      </c>
      <c r="E17" s="180">
        <v>19255</v>
      </c>
      <c r="F17" s="180">
        <f t="shared" si="0"/>
        <v>2033</v>
      </c>
      <c r="G17" s="24">
        <f t="shared" si="1"/>
        <v>137364864.86486486</v>
      </c>
      <c r="H17" s="188">
        <v>137.36500000000001</v>
      </c>
      <c r="I17" s="19"/>
      <c r="K17" s="19"/>
      <c r="L17" s="201"/>
      <c r="M17" s="24"/>
      <c r="N17" s="189"/>
    </row>
    <row r="18" spans="1:14" x14ac:dyDescent="0.25">
      <c r="A18" s="187"/>
      <c r="B18" s="24">
        <v>12</v>
      </c>
      <c r="C18" s="24">
        <v>1.4800000000000001E-5</v>
      </c>
      <c r="D18" s="24">
        <v>19255</v>
      </c>
      <c r="E18" s="180">
        <v>21022</v>
      </c>
      <c r="F18" s="180">
        <f t="shared" si="0"/>
        <v>1767</v>
      </c>
      <c r="G18" s="24">
        <f t="shared" si="1"/>
        <v>119391891.89189188</v>
      </c>
      <c r="H18" s="188">
        <v>119.392</v>
      </c>
      <c r="I18" s="19"/>
      <c r="K18" s="19"/>
      <c r="L18" s="96"/>
      <c r="M18" s="24"/>
      <c r="N18" s="189"/>
    </row>
    <row r="19" spans="1:14" x14ac:dyDescent="0.25">
      <c r="A19" s="187"/>
      <c r="B19" s="24">
        <v>13</v>
      </c>
      <c r="C19" s="24">
        <v>1.4800000000000001E-5</v>
      </c>
      <c r="D19" s="24">
        <v>21022</v>
      </c>
      <c r="E19" s="180">
        <v>23129</v>
      </c>
      <c r="F19" s="180">
        <f t="shared" si="0"/>
        <v>2107</v>
      </c>
      <c r="G19" s="24">
        <f t="shared" si="1"/>
        <v>142364864.86486486</v>
      </c>
      <c r="H19" s="188">
        <v>142.36500000000001</v>
      </c>
      <c r="I19" s="19"/>
      <c r="K19" s="19"/>
      <c r="L19" s="96"/>
      <c r="M19" s="24"/>
      <c r="N19" s="189"/>
    </row>
    <row r="20" spans="1:14" ht="15.75" thickBot="1" x14ac:dyDescent="0.3">
      <c r="A20" s="191"/>
      <c r="B20" s="103">
        <v>14</v>
      </c>
      <c r="C20" s="103">
        <v>1.4800000000000001E-5</v>
      </c>
      <c r="D20" s="198">
        <v>23129</v>
      </c>
      <c r="E20" s="199">
        <v>25305</v>
      </c>
      <c r="F20" s="192">
        <f t="shared" si="0"/>
        <v>2176</v>
      </c>
      <c r="G20" s="103">
        <f t="shared" si="1"/>
        <v>147027027.02702701</v>
      </c>
      <c r="H20" s="200">
        <v>147.02699999999999</v>
      </c>
      <c r="I20" s="19"/>
      <c r="K20" s="19"/>
      <c r="L20" s="97"/>
      <c r="M20" s="103"/>
      <c r="N20" s="193"/>
    </row>
    <row r="21" spans="1:14" ht="15.75" thickBot="1" x14ac:dyDescent="0.3">
      <c r="B21" s="19"/>
      <c r="I21" s="19"/>
      <c r="K21" s="19"/>
      <c r="L21" s="19"/>
      <c r="M21" s="56"/>
      <c r="N21" s="19"/>
    </row>
    <row r="22" spans="1:14" x14ac:dyDescent="0.25">
      <c r="A22" s="184" t="s">
        <v>723</v>
      </c>
      <c r="B22" s="101" t="s">
        <v>42</v>
      </c>
      <c r="C22" s="101" t="s">
        <v>724</v>
      </c>
      <c r="D22" s="101" t="s">
        <v>680</v>
      </c>
      <c r="E22" s="195" t="s">
        <v>681</v>
      </c>
      <c r="F22" s="195" t="s">
        <v>725</v>
      </c>
      <c r="G22" s="101" t="s">
        <v>731</v>
      </c>
      <c r="H22" s="196" t="s">
        <v>748</v>
      </c>
      <c r="I22" s="19"/>
      <c r="K22" s="19"/>
      <c r="L22" s="222" t="s">
        <v>870</v>
      </c>
      <c r="M22" s="223"/>
      <c r="N22" s="224"/>
    </row>
    <row r="23" spans="1:14" x14ac:dyDescent="0.25">
      <c r="A23" s="187"/>
      <c r="B23" s="24" t="s">
        <v>679</v>
      </c>
      <c r="C23" s="24">
        <v>3.1999999999999999E-5</v>
      </c>
      <c r="D23" s="24">
        <v>25643</v>
      </c>
      <c r="E23" s="180">
        <v>23678</v>
      </c>
      <c r="F23" s="180">
        <f t="shared" ref="F23:F36" si="2">D23-E23</f>
        <v>1965</v>
      </c>
      <c r="G23" s="24">
        <f t="shared" ref="G23:G36" si="3">+F23/C23</f>
        <v>61406250</v>
      </c>
      <c r="H23" s="188">
        <v>61.405999999999999</v>
      </c>
      <c r="I23" s="19"/>
      <c r="K23" s="19"/>
      <c r="L23" s="96"/>
      <c r="M23" s="24"/>
      <c r="N23" s="189"/>
    </row>
    <row r="24" spans="1:14" x14ac:dyDescent="0.25">
      <c r="A24" s="187"/>
      <c r="B24" s="24">
        <v>2</v>
      </c>
      <c r="C24" s="24">
        <v>3.1999999999999999E-5</v>
      </c>
      <c r="D24" s="24">
        <v>23678</v>
      </c>
      <c r="E24" s="180">
        <v>21842</v>
      </c>
      <c r="F24" s="180">
        <f t="shared" si="2"/>
        <v>1836</v>
      </c>
      <c r="G24" s="24">
        <f t="shared" si="3"/>
        <v>57375000</v>
      </c>
      <c r="H24" s="188">
        <v>57.375</v>
      </c>
      <c r="I24" s="19"/>
      <c r="K24" s="19"/>
      <c r="L24" s="96"/>
      <c r="M24" s="24"/>
      <c r="N24" s="189"/>
    </row>
    <row r="25" spans="1:14" x14ac:dyDescent="0.25">
      <c r="A25" s="187"/>
      <c r="B25" s="24">
        <v>3</v>
      </c>
      <c r="C25" s="24">
        <v>3.1999999999999999E-5</v>
      </c>
      <c r="D25" s="24">
        <v>21842</v>
      </c>
      <c r="E25" s="180">
        <v>20004</v>
      </c>
      <c r="F25" s="180">
        <f t="shared" si="2"/>
        <v>1838</v>
      </c>
      <c r="G25" s="24">
        <f t="shared" si="3"/>
        <v>57437500</v>
      </c>
      <c r="H25" s="188">
        <v>57.438000000000002</v>
      </c>
      <c r="I25" s="19"/>
      <c r="K25" s="19"/>
      <c r="L25" s="96"/>
      <c r="M25" s="24"/>
      <c r="N25" s="189"/>
    </row>
    <row r="26" spans="1:14" x14ac:dyDescent="0.25">
      <c r="A26" s="187"/>
      <c r="B26" s="24">
        <v>4</v>
      </c>
      <c r="C26" s="24">
        <v>3.1999999999999999E-5</v>
      </c>
      <c r="D26" s="24">
        <v>20004</v>
      </c>
      <c r="E26" s="180">
        <v>18174</v>
      </c>
      <c r="F26" s="180">
        <f t="shared" si="2"/>
        <v>1830</v>
      </c>
      <c r="G26" s="24">
        <f t="shared" si="3"/>
        <v>57187500</v>
      </c>
      <c r="H26" s="188">
        <v>57.186</v>
      </c>
      <c r="I26" s="19"/>
      <c r="K26" s="19"/>
      <c r="L26" s="96"/>
      <c r="M26" s="24"/>
      <c r="N26" s="189"/>
    </row>
    <row r="27" spans="1:14" x14ac:dyDescent="0.25">
      <c r="A27" s="187" t="s">
        <v>739</v>
      </c>
      <c r="B27" s="24">
        <v>5</v>
      </c>
      <c r="C27" s="24">
        <v>3.1999999999999999E-5</v>
      </c>
      <c r="D27" s="24">
        <v>18174</v>
      </c>
      <c r="E27" s="180">
        <v>16347</v>
      </c>
      <c r="F27" s="180">
        <f t="shared" si="2"/>
        <v>1827</v>
      </c>
      <c r="G27" s="24">
        <f t="shared" si="3"/>
        <v>57093750</v>
      </c>
      <c r="H27" s="188">
        <v>57.094000000000001</v>
      </c>
      <c r="I27" s="19"/>
      <c r="K27" s="19"/>
      <c r="L27" s="96"/>
      <c r="M27" s="24"/>
      <c r="N27" s="189"/>
    </row>
    <row r="28" spans="1:14" x14ac:dyDescent="0.25">
      <c r="A28" s="190" t="s">
        <v>251</v>
      </c>
      <c r="B28" s="24">
        <v>6</v>
      </c>
      <c r="C28" s="24">
        <v>3.1999999999999999E-5</v>
      </c>
      <c r="D28" s="24">
        <v>16347</v>
      </c>
      <c r="E28" s="180">
        <v>14592</v>
      </c>
      <c r="F28" s="180">
        <f t="shared" si="2"/>
        <v>1755</v>
      </c>
      <c r="G28" s="24">
        <f t="shared" si="3"/>
        <v>54843750</v>
      </c>
      <c r="H28" s="188">
        <v>54.844000000000001</v>
      </c>
      <c r="I28" s="19"/>
      <c r="J28" s="56">
        <v>2</v>
      </c>
      <c r="K28" s="19"/>
      <c r="L28" s="96"/>
      <c r="M28" s="24"/>
      <c r="N28" s="189"/>
    </row>
    <row r="29" spans="1:14" x14ac:dyDescent="0.25">
      <c r="A29" s="218" t="s">
        <v>802</v>
      </c>
      <c r="B29" s="24">
        <v>7</v>
      </c>
      <c r="C29" s="24">
        <v>3.1999999999999999E-5</v>
      </c>
      <c r="D29" s="24">
        <v>14592</v>
      </c>
      <c r="E29" s="180">
        <v>12681</v>
      </c>
      <c r="F29" s="180">
        <f t="shared" si="2"/>
        <v>1911</v>
      </c>
      <c r="G29" s="24">
        <f t="shared" si="3"/>
        <v>59718750</v>
      </c>
      <c r="H29" s="188">
        <v>59.719000000000001</v>
      </c>
      <c r="I29" s="19"/>
      <c r="K29" s="19"/>
      <c r="L29" s="96"/>
      <c r="M29" s="24"/>
      <c r="N29" s="189"/>
    </row>
    <row r="30" spans="1:14" x14ac:dyDescent="0.25">
      <c r="A30" s="187"/>
      <c r="B30" s="24">
        <v>8</v>
      </c>
      <c r="C30" s="24">
        <v>3.1999999999999999E-5</v>
      </c>
      <c r="D30" s="24">
        <v>12681</v>
      </c>
      <c r="E30" s="180">
        <v>10844</v>
      </c>
      <c r="F30" s="180">
        <f t="shared" si="2"/>
        <v>1837</v>
      </c>
      <c r="G30" s="24">
        <f t="shared" si="3"/>
        <v>57406250</v>
      </c>
      <c r="H30" s="188">
        <v>57.405999999999999</v>
      </c>
      <c r="I30" s="19"/>
      <c r="K30" s="19"/>
      <c r="L30" s="96"/>
      <c r="M30" s="24"/>
      <c r="N30" s="189"/>
    </row>
    <row r="31" spans="1:14" x14ac:dyDescent="0.25">
      <c r="A31" s="187"/>
      <c r="B31" s="24">
        <v>9</v>
      </c>
      <c r="C31" s="24">
        <v>3.1999999999999999E-5</v>
      </c>
      <c r="D31" s="24">
        <v>10844</v>
      </c>
      <c r="E31" s="180">
        <v>9005</v>
      </c>
      <c r="F31" s="180">
        <f t="shared" si="2"/>
        <v>1839</v>
      </c>
      <c r="G31" s="24">
        <f t="shared" si="3"/>
        <v>57468750</v>
      </c>
      <c r="H31" s="188">
        <v>57.469000000000001</v>
      </c>
      <c r="I31" s="19"/>
      <c r="K31" s="19"/>
      <c r="L31" s="96"/>
      <c r="M31" s="24"/>
      <c r="N31" s="189"/>
    </row>
    <row r="32" spans="1:14" x14ac:dyDescent="0.25">
      <c r="A32" s="187"/>
      <c r="B32" s="24">
        <v>10</v>
      </c>
      <c r="C32" s="24">
        <v>3.1999999999999999E-5</v>
      </c>
      <c r="D32" s="24">
        <v>9005</v>
      </c>
      <c r="E32" s="180">
        <v>7236</v>
      </c>
      <c r="F32" s="180">
        <f t="shared" si="2"/>
        <v>1769</v>
      </c>
      <c r="G32" s="24">
        <f t="shared" si="3"/>
        <v>55281250</v>
      </c>
      <c r="H32" s="188">
        <v>55.280999999999999</v>
      </c>
      <c r="I32" s="19"/>
      <c r="K32" s="19"/>
      <c r="L32" s="96"/>
      <c r="M32" s="24"/>
      <c r="N32" s="189"/>
    </row>
    <row r="33" spans="1:14" x14ac:dyDescent="0.25">
      <c r="A33" s="187"/>
      <c r="B33" s="24">
        <v>11</v>
      </c>
      <c r="C33" s="24">
        <v>3.1999999999999999E-5</v>
      </c>
      <c r="D33" s="24">
        <v>7236</v>
      </c>
      <c r="E33" s="180">
        <v>5620</v>
      </c>
      <c r="F33" s="180">
        <f t="shared" si="2"/>
        <v>1616</v>
      </c>
      <c r="G33" s="24">
        <f t="shared" si="3"/>
        <v>50500000</v>
      </c>
      <c r="H33" s="197">
        <v>50.5</v>
      </c>
      <c r="I33" s="19"/>
      <c r="K33" s="19"/>
      <c r="L33" s="201" t="s">
        <v>752</v>
      </c>
      <c r="M33" s="24"/>
      <c r="N33" s="189"/>
    </row>
    <row r="34" spans="1:14" x14ac:dyDescent="0.25">
      <c r="A34" s="187"/>
      <c r="B34" s="24">
        <v>12</v>
      </c>
      <c r="C34" s="24">
        <v>3.1999999999999999E-5</v>
      </c>
      <c r="D34" s="24">
        <v>5620</v>
      </c>
      <c r="E34" s="180">
        <v>3761</v>
      </c>
      <c r="F34" s="180">
        <f t="shared" si="2"/>
        <v>1859</v>
      </c>
      <c r="G34" s="24">
        <f t="shared" si="3"/>
        <v>58093750</v>
      </c>
      <c r="H34" s="188">
        <v>58.094000000000001</v>
      </c>
      <c r="I34" s="19"/>
      <c r="K34" s="19"/>
      <c r="L34" s="96"/>
      <c r="M34" s="24"/>
      <c r="N34" s="189"/>
    </row>
    <row r="35" spans="1:14" x14ac:dyDescent="0.25">
      <c r="A35" s="187"/>
      <c r="B35" s="24">
        <v>13</v>
      </c>
      <c r="C35" s="24">
        <v>3.1999999999999999E-5</v>
      </c>
      <c r="D35" s="24">
        <v>3761</v>
      </c>
      <c r="E35" s="180">
        <v>1860</v>
      </c>
      <c r="F35" s="180">
        <f t="shared" si="2"/>
        <v>1901</v>
      </c>
      <c r="G35" s="24">
        <f t="shared" si="3"/>
        <v>59406250</v>
      </c>
      <c r="H35" s="188">
        <v>59.405999999999999</v>
      </c>
      <c r="I35" s="19"/>
      <c r="K35" s="19"/>
      <c r="L35" s="96"/>
      <c r="M35" s="24"/>
      <c r="N35" s="189"/>
    </row>
    <row r="36" spans="1:14" ht="15.75" thickBot="1" x14ac:dyDescent="0.3">
      <c r="A36" s="191"/>
      <c r="B36" s="103">
        <v>14</v>
      </c>
      <c r="C36" s="198">
        <v>3.1999999999999999E-5</v>
      </c>
      <c r="D36" s="198">
        <v>1860</v>
      </c>
      <c r="E36" s="199">
        <v>0</v>
      </c>
      <c r="F36" s="199">
        <f t="shared" si="2"/>
        <v>1860</v>
      </c>
      <c r="G36" s="198">
        <f t="shared" si="3"/>
        <v>58125000</v>
      </c>
      <c r="H36" s="200">
        <v>58.125</v>
      </c>
      <c r="I36" s="19"/>
      <c r="K36" s="19"/>
      <c r="L36" s="97"/>
      <c r="M36" s="103"/>
      <c r="N36" s="193"/>
    </row>
    <row r="37" spans="1:14" ht="15.75" thickBot="1" x14ac:dyDescent="0.3">
      <c r="B37" s="19"/>
      <c r="I37" s="19"/>
      <c r="K37" s="19"/>
      <c r="L37" s="19"/>
      <c r="M37" s="56"/>
      <c r="N37" s="19"/>
    </row>
    <row r="38" spans="1:14" x14ac:dyDescent="0.25">
      <c r="A38" s="184" t="s">
        <v>723</v>
      </c>
      <c r="B38" s="101" t="s">
        <v>42</v>
      </c>
      <c r="C38" s="101" t="s">
        <v>724</v>
      </c>
      <c r="D38" s="101" t="s">
        <v>680</v>
      </c>
      <c r="E38" s="195" t="s">
        <v>681</v>
      </c>
      <c r="F38" s="195" t="s">
        <v>725</v>
      </c>
      <c r="G38" s="101" t="s">
        <v>731</v>
      </c>
      <c r="H38" s="196" t="s">
        <v>748</v>
      </c>
      <c r="I38" s="19"/>
      <c r="K38" s="19"/>
      <c r="L38" s="222" t="s">
        <v>870</v>
      </c>
      <c r="M38" s="223"/>
      <c r="N38" s="224"/>
    </row>
    <row r="39" spans="1:14" x14ac:dyDescent="0.25">
      <c r="A39" s="187"/>
      <c r="B39" s="24" t="s">
        <v>679</v>
      </c>
      <c r="C39" s="24">
        <v>2.26E-5</v>
      </c>
      <c r="D39" s="24">
        <v>0</v>
      </c>
      <c r="E39" s="180">
        <v>1899</v>
      </c>
      <c r="F39" s="180">
        <v>1899</v>
      </c>
      <c r="G39" s="24">
        <f t="shared" ref="G39:G52" si="4">F39/C39</f>
        <v>84026548.672566369</v>
      </c>
      <c r="H39" s="188">
        <v>84.027000000000001</v>
      </c>
      <c r="I39" s="19"/>
      <c r="K39" s="19"/>
      <c r="L39" s="96"/>
      <c r="M39" s="24"/>
      <c r="N39" s="189"/>
    </row>
    <row r="40" spans="1:14" x14ac:dyDescent="0.25">
      <c r="A40" s="187"/>
      <c r="B40" s="24">
        <v>2</v>
      </c>
      <c r="C40" s="24">
        <v>2.26E-5</v>
      </c>
      <c r="D40" s="24">
        <v>1899</v>
      </c>
      <c r="E40" s="180">
        <v>3471</v>
      </c>
      <c r="F40" s="180">
        <v>1572</v>
      </c>
      <c r="G40" s="24">
        <f t="shared" si="4"/>
        <v>69557522.123893797</v>
      </c>
      <c r="H40" s="188">
        <v>69.558000000000007</v>
      </c>
      <c r="I40" s="19"/>
      <c r="K40" s="19"/>
      <c r="L40" s="96"/>
      <c r="M40" s="24"/>
      <c r="N40" s="189"/>
    </row>
    <row r="41" spans="1:14" x14ac:dyDescent="0.25">
      <c r="A41" s="187"/>
      <c r="B41" s="24">
        <v>3</v>
      </c>
      <c r="C41" s="24">
        <v>2.26E-5</v>
      </c>
      <c r="D41" s="24">
        <v>3471</v>
      </c>
      <c r="E41" s="180">
        <v>5387</v>
      </c>
      <c r="F41" s="180">
        <v>1916</v>
      </c>
      <c r="G41" s="24">
        <f t="shared" si="4"/>
        <v>84778761.061946899</v>
      </c>
      <c r="H41" s="188">
        <v>84.778999999999996</v>
      </c>
      <c r="I41" s="19"/>
      <c r="K41" s="19"/>
      <c r="L41" s="96"/>
      <c r="M41" s="24"/>
      <c r="N41" s="189"/>
    </row>
    <row r="42" spans="1:14" x14ac:dyDescent="0.25">
      <c r="A42" s="187"/>
      <c r="B42" s="24">
        <v>4</v>
      </c>
      <c r="C42" s="24">
        <v>2.26E-5</v>
      </c>
      <c r="D42" s="24">
        <v>5387</v>
      </c>
      <c r="E42" s="180">
        <v>6465</v>
      </c>
      <c r="F42" s="180">
        <v>1078</v>
      </c>
      <c r="G42" s="24">
        <f t="shared" si="4"/>
        <v>47699115.044247784</v>
      </c>
      <c r="H42" s="188">
        <v>47.698999999999998</v>
      </c>
      <c r="I42" s="19"/>
      <c r="K42" s="19"/>
      <c r="L42" s="201" t="s">
        <v>752</v>
      </c>
      <c r="M42" s="24"/>
      <c r="N42" s="189"/>
    </row>
    <row r="43" spans="1:14" x14ac:dyDescent="0.25">
      <c r="A43" s="187" t="s">
        <v>739</v>
      </c>
      <c r="B43" s="24">
        <v>5</v>
      </c>
      <c r="C43" s="24">
        <v>2.26E-5</v>
      </c>
      <c r="D43" s="24">
        <v>6465</v>
      </c>
      <c r="E43" s="180">
        <v>8470</v>
      </c>
      <c r="F43" s="180">
        <v>2005</v>
      </c>
      <c r="G43" s="24">
        <f t="shared" si="4"/>
        <v>88716814.159292027</v>
      </c>
      <c r="H43" s="188">
        <v>88.716999999999999</v>
      </c>
      <c r="I43" s="19"/>
      <c r="K43" s="19"/>
      <c r="L43" s="96"/>
      <c r="M43" s="24"/>
      <c r="N43" s="189"/>
    </row>
    <row r="44" spans="1:14" x14ac:dyDescent="0.25">
      <c r="A44" s="190" t="s">
        <v>258</v>
      </c>
      <c r="B44" s="24">
        <v>6</v>
      </c>
      <c r="C44" s="24">
        <v>2.26E-5</v>
      </c>
      <c r="D44" s="24">
        <v>8470</v>
      </c>
      <c r="E44" s="180">
        <v>10597</v>
      </c>
      <c r="F44" s="180">
        <v>2127</v>
      </c>
      <c r="G44" s="24">
        <f t="shared" si="4"/>
        <v>94115044.24778761</v>
      </c>
      <c r="H44" s="188">
        <v>94.114999999999995</v>
      </c>
      <c r="I44" s="19"/>
      <c r="J44" s="56">
        <v>3</v>
      </c>
      <c r="K44" s="19"/>
      <c r="L44" s="96"/>
      <c r="M44" s="24"/>
      <c r="N44" s="189"/>
    </row>
    <row r="45" spans="1:14" x14ac:dyDescent="0.25">
      <c r="A45" s="218" t="s">
        <v>805</v>
      </c>
      <c r="B45" s="24">
        <v>7</v>
      </c>
      <c r="C45" s="24">
        <v>2.26E-5</v>
      </c>
      <c r="D45" s="24">
        <v>10597</v>
      </c>
      <c r="E45" s="180">
        <v>12713</v>
      </c>
      <c r="F45" s="180">
        <v>2116</v>
      </c>
      <c r="G45" s="24">
        <f t="shared" si="4"/>
        <v>93628318.584070802</v>
      </c>
      <c r="H45" s="188">
        <v>93.628</v>
      </c>
      <c r="I45" s="19"/>
      <c r="K45" s="19"/>
      <c r="L45" s="96"/>
      <c r="M45" s="24"/>
      <c r="N45" s="189"/>
    </row>
    <row r="46" spans="1:14" x14ac:dyDescent="0.25">
      <c r="A46" s="187"/>
      <c r="B46" s="24">
        <v>8</v>
      </c>
      <c r="C46" s="24">
        <v>2.26E-5</v>
      </c>
      <c r="D46" s="24">
        <v>12713</v>
      </c>
      <c r="E46" s="180">
        <v>14566</v>
      </c>
      <c r="F46" s="180">
        <v>1853</v>
      </c>
      <c r="G46" s="24">
        <f t="shared" si="4"/>
        <v>81991150.442477867</v>
      </c>
      <c r="H46" s="188">
        <v>81.991</v>
      </c>
      <c r="I46" s="19"/>
      <c r="K46" s="19"/>
      <c r="L46" s="96"/>
      <c r="M46" s="24"/>
      <c r="N46" s="189"/>
    </row>
    <row r="47" spans="1:14" x14ac:dyDescent="0.25">
      <c r="A47" s="187"/>
      <c r="B47" s="24">
        <v>9</v>
      </c>
      <c r="C47" s="24">
        <v>2.26E-5</v>
      </c>
      <c r="D47" s="24">
        <v>14566</v>
      </c>
      <c r="E47" s="180">
        <v>16503</v>
      </c>
      <c r="F47" s="180">
        <v>1937</v>
      </c>
      <c r="G47" s="24">
        <f t="shared" si="4"/>
        <v>85707964.601769909</v>
      </c>
      <c r="H47" s="188">
        <v>85.707999999999998</v>
      </c>
      <c r="I47" s="19"/>
      <c r="K47" s="19"/>
      <c r="L47" s="96"/>
      <c r="M47" s="24"/>
      <c r="N47" s="189"/>
    </row>
    <row r="48" spans="1:14" x14ac:dyDescent="0.25">
      <c r="A48" s="187"/>
      <c r="B48" s="24">
        <v>10</v>
      </c>
      <c r="C48" s="24">
        <v>2.26E-5</v>
      </c>
      <c r="D48" s="24">
        <v>16503</v>
      </c>
      <c r="E48" s="180">
        <v>18687</v>
      </c>
      <c r="F48" s="180">
        <v>2184</v>
      </c>
      <c r="G48" s="24">
        <f t="shared" si="4"/>
        <v>96637168.14159292</v>
      </c>
      <c r="H48" s="188">
        <v>96.637</v>
      </c>
      <c r="I48" s="19"/>
      <c r="K48" s="19"/>
      <c r="L48" s="96"/>
      <c r="M48" s="24"/>
      <c r="N48" s="189"/>
    </row>
    <row r="49" spans="1:14" x14ac:dyDescent="0.25">
      <c r="A49" s="187"/>
      <c r="B49" s="24">
        <v>11</v>
      </c>
      <c r="C49" s="24">
        <v>2.26E-5</v>
      </c>
      <c r="D49" s="24">
        <v>18687</v>
      </c>
      <c r="E49" s="180">
        <v>20419</v>
      </c>
      <c r="F49" s="180">
        <v>1732</v>
      </c>
      <c r="G49" s="24">
        <f t="shared" si="4"/>
        <v>76637168.14159292</v>
      </c>
      <c r="H49" s="188">
        <v>76.637</v>
      </c>
      <c r="I49" s="19"/>
      <c r="K49" s="19"/>
      <c r="L49" s="201"/>
      <c r="M49" s="24"/>
      <c r="N49" s="189"/>
    </row>
    <row r="50" spans="1:14" x14ac:dyDescent="0.25">
      <c r="A50" s="187"/>
      <c r="B50" s="24">
        <v>12</v>
      </c>
      <c r="C50" s="24">
        <v>2.26E-5</v>
      </c>
      <c r="D50" s="24">
        <v>20419</v>
      </c>
      <c r="E50" s="180">
        <v>22136</v>
      </c>
      <c r="F50" s="180">
        <v>1717</v>
      </c>
      <c r="G50" s="24">
        <f t="shared" si="4"/>
        <v>75973451.327433631</v>
      </c>
      <c r="H50" s="188">
        <v>75.972999999999999</v>
      </c>
      <c r="I50" s="19"/>
      <c r="K50" s="19"/>
      <c r="L50" s="96"/>
      <c r="M50" s="24"/>
      <c r="N50" s="189"/>
    </row>
    <row r="51" spans="1:14" x14ac:dyDescent="0.25">
      <c r="A51" s="187"/>
      <c r="B51" s="24">
        <v>13</v>
      </c>
      <c r="C51" s="24">
        <v>2.26E-5</v>
      </c>
      <c r="D51" s="24">
        <v>22136</v>
      </c>
      <c r="E51" s="180">
        <v>23576</v>
      </c>
      <c r="F51" s="180">
        <v>1440</v>
      </c>
      <c r="G51" s="24">
        <f t="shared" si="4"/>
        <v>63716814.159292035</v>
      </c>
      <c r="H51" s="188">
        <v>63.716999999999999</v>
      </c>
      <c r="I51" s="19"/>
      <c r="K51" s="19"/>
      <c r="L51" s="96"/>
      <c r="M51" s="24"/>
      <c r="N51" s="189"/>
    </row>
    <row r="52" spans="1:14" ht="15.75" thickBot="1" x14ac:dyDescent="0.3">
      <c r="A52" s="191"/>
      <c r="B52" s="103">
        <v>14</v>
      </c>
      <c r="C52" s="103">
        <v>2.26E-5</v>
      </c>
      <c r="D52" s="198">
        <v>23576</v>
      </c>
      <c r="E52" s="199">
        <v>25145</v>
      </c>
      <c r="F52" s="199">
        <v>1569</v>
      </c>
      <c r="G52" s="198">
        <f t="shared" si="4"/>
        <v>69424778.761061952</v>
      </c>
      <c r="H52" s="200">
        <v>69.424999999999997</v>
      </c>
      <c r="I52" s="19"/>
      <c r="K52" s="19"/>
      <c r="L52" s="97"/>
      <c r="M52" s="103"/>
      <c r="N52" s="193"/>
    </row>
    <row r="53" spans="1:14" ht="15.75" thickBot="1" x14ac:dyDescent="0.3">
      <c r="B53" s="19"/>
      <c r="I53" s="19"/>
      <c r="K53" s="19"/>
      <c r="L53" s="19"/>
      <c r="M53" s="56"/>
      <c r="N53" s="19"/>
    </row>
    <row r="54" spans="1:14" x14ac:dyDescent="0.25">
      <c r="A54" s="184" t="s">
        <v>723</v>
      </c>
      <c r="B54" s="101" t="s">
        <v>42</v>
      </c>
      <c r="C54" s="101" t="s">
        <v>724</v>
      </c>
      <c r="D54" s="101" t="s">
        <v>680</v>
      </c>
      <c r="E54" s="195" t="s">
        <v>681</v>
      </c>
      <c r="F54" s="195" t="s">
        <v>725</v>
      </c>
      <c r="G54" s="101" t="s">
        <v>747</v>
      </c>
      <c r="H54" s="196" t="s">
        <v>748</v>
      </c>
      <c r="I54" s="57"/>
      <c r="J54" s="57"/>
      <c r="K54" s="57"/>
      <c r="L54" s="222" t="s">
        <v>870</v>
      </c>
      <c r="M54" s="223"/>
      <c r="N54" s="224"/>
    </row>
    <row r="55" spans="1:14" x14ac:dyDescent="0.25">
      <c r="A55" s="187"/>
      <c r="B55" s="24" t="s">
        <v>679</v>
      </c>
      <c r="C55" s="24">
        <v>7.0500000000000006E-5</v>
      </c>
      <c r="D55" s="24">
        <v>0</v>
      </c>
      <c r="E55" s="180">
        <v>1031</v>
      </c>
      <c r="F55" s="180">
        <v>1031</v>
      </c>
      <c r="G55" s="24">
        <f t="shared" ref="G55:G68" si="5">F55/C55</f>
        <v>14624113.475177303</v>
      </c>
      <c r="H55" s="197">
        <v>14.624000000000001</v>
      </c>
      <c r="I55" s="19"/>
      <c r="K55" s="19"/>
      <c r="L55" s="96">
        <v>25312</v>
      </c>
      <c r="M55" s="24">
        <v>23527</v>
      </c>
      <c r="N55" s="189">
        <v>1785</v>
      </c>
    </row>
    <row r="56" spans="1:14" x14ac:dyDescent="0.25">
      <c r="A56" s="187"/>
      <c r="B56" s="24">
        <v>2</v>
      </c>
      <c r="C56" s="24">
        <v>7.0500000000000006E-5</v>
      </c>
      <c r="D56" s="24">
        <v>1031</v>
      </c>
      <c r="E56" s="180">
        <v>2744</v>
      </c>
      <c r="F56" s="180">
        <f t="shared" ref="F56:F68" si="6">E56-D56</f>
        <v>1713</v>
      </c>
      <c r="G56" s="24">
        <f t="shared" si="5"/>
        <v>24297872.340425529</v>
      </c>
      <c r="H56" s="188">
        <v>24.297999999999998</v>
      </c>
      <c r="I56" s="19"/>
      <c r="K56" s="19"/>
      <c r="L56" s="96"/>
      <c r="M56" s="24"/>
      <c r="N56" s="189"/>
    </row>
    <row r="57" spans="1:14" x14ac:dyDescent="0.25">
      <c r="A57" s="187"/>
      <c r="B57" s="24">
        <v>3</v>
      </c>
      <c r="C57" s="24">
        <v>7.0500000000000006E-5</v>
      </c>
      <c r="D57" s="24">
        <v>2744</v>
      </c>
      <c r="E57" s="180">
        <v>4563</v>
      </c>
      <c r="F57" s="180">
        <f t="shared" si="6"/>
        <v>1819</v>
      </c>
      <c r="G57" s="24">
        <f t="shared" si="5"/>
        <v>25801418.439716309</v>
      </c>
      <c r="H57" s="188">
        <v>25.800999999999998</v>
      </c>
      <c r="I57" s="19"/>
      <c r="K57" s="19"/>
      <c r="L57" s="96"/>
      <c r="M57" s="24"/>
      <c r="N57" s="189"/>
    </row>
    <row r="58" spans="1:14" x14ac:dyDescent="0.25">
      <c r="A58" s="187"/>
      <c r="B58" s="24">
        <v>4</v>
      </c>
      <c r="C58" s="24">
        <v>7.0500000000000006E-5</v>
      </c>
      <c r="D58" s="24">
        <v>4563</v>
      </c>
      <c r="E58" s="180">
        <v>6279</v>
      </c>
      <c r="F58" s="180">
        <f t="shared" si="6"/>
        <v>1716</v>
      </c>
      <c r="G58" s="24">
        <f t="shared" si="5"/>
        <v>24340425.53191489</v>
      </c>
      <c r="H58" s="188">
        <v>24.34</v>
      </c>
      <c r="I58" s="19"/>
      <c r="K58" s="19"/>
      <c r="L58" s="96"/>
      <c r="M58" s="53" t="s">
        <v>750</v>
      </c>
      <c r="N58" s="189"/>
    </row>
    <row r="59" spans="1:14" x14ac:dyDescent="0.25">
      <c r="A59" s="187" t="s">
        <v>739</v>
      </c>
      <c r="B59" s="24">
        <v>5</v>
      </c>
      <c r="C59" s="24">
        <v>7.0500000000000006E-5</v>
      </c>
      <c r="D59" s="24">
        <v>6279</v>
      </c>
      <c r="E59" s="180">
        <v>8208</v>
      </c>
      <c r="F59" s="180">
        <f t="shared" si="6"/>
        <v>1929</v>
      </c>
      <c r="G59" s="24">
        <f t="shared" si="5"/>
        <v>27361702.12765957</v>
      </c>
      <c r="H59" s="188">
        <v>27.361999999999998</v>
      </c>
      <c r="I59" s="19"/>
      <c r="K59" s="19"/>
      <c r="L59" s="96"/>
      <c r="M59" s="24" t="s">
        <v>751</v>
      </c>
      <c r="N59" s="189"/>
    </row>
    <row r="60" spans="1:14" x14ac:dyDescent="0.25">
      <c r="A60" s="190" t="s">
        <v>250</v>
      </c>
      <c r="B60" s="24">
        <v>6</v>
      </c>
      <c r="C60" s="24">
        <v>7.0500000000000006E-5</v>
      </c>
      <c r="D60" s="24">
        <v>8209</v>
      </c>
      <c r="E60" s="180">
        <v>10008</v>
      </c>
      <c r="F60" s="180">
        <f t="shared" si="6"/>
        <v>1799</v>
      </c>
      <c r="G60" s="24">
        <f t="shared" si="5"/>
        <v>25517730.4964539</v>
      </c>
      <c r="H60" s="188">
        <v>25518</v>
      </c>
      <c r="I60" s="19"/>
      <c r="J60" s="56">
        <v>4</v>
      </c>
      <c r="K60" s="19"/>
      <c r="L60" s="96"/>
      <c r="M60" s="24"/>
      <c r="N60" s="189"/>
    </row>
    <row r="61" spans="1:14" x14ac:dyDescent="0.25">
      <c r="A61" s="218" t="s">
        <v>804</v>
      </c>
      <c r="B61" s="24">
        <v>7</v>
      </c>
      <c r="C61" s="24">
        <v>7.0500000000000006E-5</v>
      </c>
      <c r="D61" s="24">
        <v>10008</v>
      </c>
      <c r="E61" s="180">
        <v>11967</v>
      </c>
      <c r="F61" s="180">
        <f t="shared" si="6"/>
        <v>1959</v>
      </c>
      <c r="G61" s="24">
        <f t="shared" si="5"/>
        <v>27787234.04255319</v>
      </c>
      <c r="H61" s="188">
        <v>27.786999999999999</v>
      </c>
      <c r="I61" s="19"/>
      <c r="K61" s="19"/>
      <c r="L61" s="96"/>
      <c r="M61" s="24"/>
      <c r="N61" s="189"/>
    </row>
    <row r="62" spans="1:14" x14ac:dyDescent="0.25">
      <c r="A62" s="187"/>
      <c r="B62" s="24">
        <v>8</v>
      </c>
      <c r="C62" s="24">
        <v>7.0500000000000006E-5</v>
      </c>
      <c r="D62" s="24">
        <v>11967</v>
      </c>
      <c r="E62" s="180">
        <v>13221</v>
      </c>
      <c r="F62" s="180">
        <f t="shared" si="6"/>
        <v>1254</v>
      </c>
      <c r="G62" s="24">
        <f t="shared" si="5"/>
        <v>17787234.04255319</v>
      </c>
      <c r="H62" s="197">
        <v>17.786999999999999</v>
      </c>
      <c r="I62" s="19"/>
      <c r="K62" s="19"/>
      <c r="L62" s="96">
        <v>13408</v>
      </c>
      <c r="M62" s="24">
        <v>11723</v>
      </c>
      <c r="N62" s="189">
        <v>1685</v>
      </c>
    </row>
    <row r="63" spans="1:14" x14ac:dyDescent="0.25">
      <c r="A63" s="187"/>
      <c r="B63" s="24">
        <v>9</v>
      </c>
      <c r="C63" s="24">
        <v>7.0500000000000006E-5</v>
      </c>
      <c r="D63" s="24">
        <v>13221</v>
      </c>
      <c r="E63" s="180">
        <v>14405</v>
      </c>
      <c r="F63" s="180">
        <f t="shared" si="6"/>
        <v>1184</v>
      </c>
      <c r="G63" s="24">
        <f t="shared" si="5"/>
        <v>16794326.241134752</v>
      </c>
      <c r="H63" s="197">
        <v>16.794</v>
      </c>
      <c r="I63" s="19"/>
      <c r="K63" s="19"/>
      <c r="L63" s="96">
        <v>11723</v>
      </c>
      <c r="M63" s="24">
        <v>9853</v>
      </c>
      <c r="N63" s="189">
        <v>1870</v>
      </c>
    </row>
    <row r="64" spans="1:14" x14ac:dyDescent="0.25">
      <c r="A64" s="187"/>
      <c r="B64" s="24">
        <v>10</v>
      </c>
      <c r="C64" s="24">
        <v>7.0500000000000006E-5</v>
      </c>
      <c r="D64" s="24">
        <v>14405</v>
      </c>
      <c r="E64" s="180">
        <v>16402</v>
      </c>
      <c r="F64" s="180">
        <f t="shared" si="6"/>
        <v>1997</v>
      </c>
      <c r="G64" s="24">
        <f t="shared" si="5"/>
        <v>28326241.134751771</v>
      </c>
      <c r="H64" s="188">
        <v>28.326000000000001</v>
      </c>
      <c r="I64" s="19"/>
      <c r="K64" s="19"/>
      <c r="L64" s="96"/>
      <c r="M64" s="24"/>
      <c r="N64" s="189"/>
    </row>
    <row r="65" spans="1:14" x14ac:dyDescent="0.25">
      <c r="A65" s="187"/>
      <c r="B65" s="24">
        <v>11</v>
      </c>
      <c r="C65" s="24">
        <v>7.0500000000000006E-5</v>
      </c>
      <c r="D65" s="24">
        <v>16402</v>
      </c>
      <c r="E65" s="180">
        <v>18576</v>
      </c>
      <c r="F65" s="180">
        <f t="shared" si="6"/>
        <v>2174</v>
      </c>
      <c r="G65" s="24">
        <f t="shared" si="5"/>
        <v>30836879.432624109</v>
      </c>
      <c r="H65" s="188">
        <v>30.837</v>
      </c>
      <c r="I65" s="19"/>
      <c r="K65" s="19"/>
      <c r="L65" s="96"/>
      <c r="M65" s="24"/>
      <c r="N65" s="189"/>
    </row>
    <row r="66" spans="1:14" x14ac:dyDescent="0.25">
      <c r="A66" s="187"/>
      <c r="B66" s="24">
        <v>12</v>
      </c>
      <c r="C66" s="24">
        <v>7.0500000000000006E-5</v>
      </c>
      <c r="D66" s="24">
        <v>18576</v>
      </c>
      <c r="E66" s="180">
        <v>20605</v>
      </c>
      <c r="F66" s="180">
        <f t="shared" si="6"/>
        <v>2029</v>
      </c>
      <c r="G66" s="24">
        <f t="shared" si="5"/>
        <v>28780141.843971629</v>
      </c>
      <c r="H66" s="188">
        <v>28.78</v>
      </c>
      <c r="I66" s="19"/>
      <c r="K66" s="19"/>
      <c r="L66" s="96"/>
      <c r="M66" s="24"/>
      <c r="N66" s="189"/>
    </row>
    <row r="67" spans="1:14" x14ac:dyDescent="0.25">
      <c r="A67" s="187"/>
      <c r="B67" s="24">
        <v>13</v>
      </c>
      <c r="C67" s="24">
        <v>7.0500000000000006E-5</v>
      </c>
      <c r="D67" s="24">
        <v>20605</v>
      </c>
      <c r="E67" s="180">
        <v>22802</v>
      </c>
      <c r="F67" s="180">
        <f t="shared" si="6"/>
        <v>2197</v>
      </c>
      <c r="G67" s="24">
        <f t="shared" si="5"/>
        <v>31163120.567375883</v>
      </c>
      <c r="H67" s="188">
        <v>31.163</v>
      </c>
      <c r="I67" s="19"/>
      <c r="K67" s="19"/>
      <c r="L67" s="96"/>
      <c r="M67" s="24"/>
      <c r="N67" s="189"/>
    </row>
    <row r="68" spans="1:14" ht="15.75" thickBot="1" x14ac:dyDescent="0.3">
      <c r="A68" s="191"/>
      <c r="B68" s="103">
        <v>14</v>
      </c>
      <c r="C68" s="103">
        <v>7.0500000000000006E-5</v>
      </c>
      <c r="D68" s="198">
        <v>22802</v>
      </c>
      <c r="E68" s="199">
        <v>25170</v>
      </c>
      <c r="F68" s="199">
        <f t="shared" si="6"/>
        <v>2368</v>
      </c>
      <c r="G68" s="198">
        <f t="shared" si="5"/>
        <v>33588652.482269503</v>
      </c>
      <c r="H68" s="200">
        <v>33.588999999999999</v>
      </c>
      <c r="I68" s="19"/>
      <c r="K68" s="19"/>
      <c r="L68" s="97"/>
      <c r="M68" s="103"/>
      <c r="N68" s="193"/>
    </row>
    <row r="69" spans="1:14" ht="15.75" thickBot="1" x14ac:dyDescent="0.3">
      <c r="B69" s="19"/>
      <c r="I69" s="19"/>
      <c r="K69" s="19"/>
      <c r="L69" s="19"/>
      <c r="M69" s="56"/>
      <c r="N69" s="19"/>
    </row>
    <row r="70" spans="1:14" x14ac:dyDescent="0.25">
      <c r="A70" s="184" t="s">
        <v>723</v>
      </c>
      <c r="B70" s="101" t="s">
        <v>42</v>
      </c>
      <c r="C70" s="101" t="s">
        <v>724</v>
      </c>
      <c r="D70" s="101" t="s">
        <v>680</v>
      </c>
      <c r="E70" s="195" t="s">
        <v>681</v>
      </c>
      <c r="F70" s="195" t="s">
        <v>725</v>
      </c>
      <c r="G70" s="101" t="s">
        <v>747</v>
      </c>
      <c r="H70" s="196" t="s">
        <v>748</v>
      </c>
      <c r="I70" s="19"/>
      <c r="K70" s="19"/>
      <c r="L70" s="222" t="s">
        <v>870</v>
      </c>
      <c r="M70" s="223"/>
      <c r="N70" s="224"/>
    </row>
    <row r="71" spans="1:14" x14ac:dyDescent="0.25">
      <c r="A71" s="187"/>
      <c r="B71" s="24" t="s">
        <v>679</v>
      </c>
      <c r="C71" s="24">
        <v>1.59E-5</v>
      </c>
      <c r="D71" s="24">
        <v>25512</v>
      </c>
      <c r="E71" s="180">
        <v>24706</v>
      </c>
      <c r="F71" s="180">
        <f>D71-E71</f>
        <v>806</v>
      </c>
      <c r="G71" s="24">
        <f t="shared" ref="G71:G83" si="7">F71/C71</f>
        <v>50691823.899371065</v>
      </c>
      <c r="H71" s="197">
        <v>50.692</v>
      </c>
      <c r="I71" s="19"/>
      <c r="K71" s="19"/>
      <c r="L71" s="96">
        <v>25402</v>
      </c>
      <c r="M71" s="24">
        <v>23329</v>
      </c>
      <c r="N71" s="189" t="s">
        <v>757</v>
      </c>
    </row>
    <row r="72" spans="1:14" x14ac:dyDescent="0.25">
      <c r="A72" s="187"/>
      <c r="B72" s="24">
        <v>2</v>
      </c>
      <c r="C72" s="24">
        <v>1.59E-5</v>
      </c>
      <c r="D72" s="24">
        <v>24706</v>
      </c>
      <c r="E72" s="180">
        <v>22599</v>
      </c>
      <c r="F72" s="180">
        <f t="shared" ref="F72:F84" si="8">D72-E72</f>
        <v>2107</v>
      </c>
      <c r="G72" s="24">
        <f t="shared" si="7"/>
        <v>132515723.27044025</v>
      </c>
      <c r="H72" s="188">
        <v>132.51599999999999</v>
      </c>
      <c r="I72" s="19"/>
      <c r="K72" s="19"/>
      <c r="L72" s="96"/>
      <c r="M72" s="24"/>
      <c r="N72" s="189"/>
    </row>
    <row r="73" spans="1:14" x14ac:dyDescent="0.25">
      <c r="A73" s="187"/>
      <c r="B73" s="24">
        <v>3</v>
      </c>
      <c r="C73" s="24">
        <v>1.59E-5</v>
      </c>
      <c r="D73" s="24">
        <v>22599</v>
      </c>
      <c r="E73" s="180">
        <v>20272</v>
      </c>
      <c r="F73" s="180">
        <f t="shared" si="8"/>
        <v>2327</v>
      </c>
      <c r="G73" s="24">
        <f t="shared" si="7"/>
        <v>146352201.25786164</v>
      </c>
      <c r="H73" s="188">
        <v>146.352</v>
      </c>
      <c r="I73" s="19"/>
      <c r="K73" s="19"/>
      <c r="L73" s="96"/>
      <c r="M73" s="24"/>
      <c r="N73" s="189"/>
    </row>
    <row r="74" spans="1:14" x14ac:dyDescent="0.25">
      <c r="A74" s="187"/>
      <c r="B74" s="24">
        <v>4</v>
      </c>
      <c r="C74" s="24">
        <v>1.59E-5</v>
      </c>
      <c r="D74" s="24">
        <v>20272</v>
      </c>
      <c r="E74" s="180">
        <v>18304</v>
      </c>
      <c r="F74" s="180">
        <f t="shared" si="8"/>
        <v>1968</v>
      </c>
      <c r="G74" s="24">
        <f t="shared" si="7"/>
        <v>123773584.90566038</v>
      </c>
      <c r="H74" s="188">
        <v>123.774</v>
      </c>
      <c r="I74" s="19"/>
      <c r="K74" s="19"/>
      <c r="L74" s="96"/>
      <c r="M74" s="24" t="s">
        <v>755</v>
      </c>
      <c r="N74" s="189"/>
    </row>
    <row r="75" spans="1:14" x14ac:dyDescent="0.25">
      <c r="A75" s="187" t="s">
        <v>753</v>
      </c>
      <c r="B75" s="24">
        <v>5</v>
      </c>
      <c r="C75" s="24">
        <v>1.59E-5</v>
      </c>
      <c r="D75" s="24">
        <v>18304</v>
      </c>
      <c r="E75" s="180">
        <v>16101</v>
      </c>
      <c r="F75" s="180">
        <f t="shared" si="8"/>
        <v>2203</v>
      </c>
      <c r="G75" s="24">
        <f t="shared" si="7"/>
        <v>138553459.11949685</v>
      </c>
      <c r="H75" s="188">
        <v>138.553</v>
      </c>
      <c r="I75" s="19"/>
      <c r="K75" s="19"/>
      <c r="L75" s="96"/>
      <c r="M75" s="24" t="s">
        <v>756</v>
      </c>
      <c r="N75" s="189"/>
    </row>
    <row r="76" spans="1:14" x14ac:dyDescent="0.25">
      <c r="A76" s="190" t="s">
        <v>754</v>
      </c>
      <c r="B76" s="24">
        <v>6</v>
      </c>
      <c r="C76" s="24">
        <v>1.59E-5</v>
      </c>
      <c r="D76" s="24">
        <v>16101</v>
      </c>
      <c r="E76" s="180">
        <v>14152</v>
      </c>
      <c r="F76" s="180">
        <f t="shared" si="8"/>
        <v>1949</v>
      </c>
      <c r="G76" s="24">
        <f t="shared" si="7"/>
        <v>122578616.35220125</v>
      </c>
      <c r="H76" s="188">
        <v>94.906000000000006</v>
      </c>
      <c r="I76" s="19"/>
      <c r="J76" s="56">
        <v>5</v>
      </c>
      <c r="K76" s="19"/>
      <c r="L76" s="96"/>
      <c r="M76" s="24"/>
      <c r="N76" s="189"/>
    </row>
    <row r="77" spans="1:14" x14ac:dyDescent="0.25">
      <c r="A77" s="218" t="s">
        <v>796</v>
      </c>
      <c r="B77" s="24">
        <v>7</v>
      </c>
      <c r="C77" s="24">
        <v>1.59E-5</v>
      </c>
      <c r="D77" s="24">
        <v>14152</v>
      </c>
      <c r="E77" s="180">
        <v>12172</v>
      </c>
      <c r="F77" s="180">
        <f t="shared" si="8"/>
        <v>1980</v>
      </c>
      <c r="G77" s="24">
        <f t="shared" si="7"/>
        <v>124528301.88679245</v>
      </c>
      <c r="H77" s="188">
        <v>124.52800000000001</v>
      </c>
      <c r="I77" s="19"/>
      <c r="K77" s="19"/>
      <c r="L77" s="96"/>
      <c r="M77" s="24"/>
      <c r="N77" s="189"/>
    </row>
    <row r="78" spans="1:14" x14ac:dyDescent="0.25">
      <c r="A78" s="187"/>
      <c r="B78" s="24">
        <v>8</v>
      </c>
      <c r="C78" s="24">
        <v>1.59E-5</v>
      </c>
      <c r="D78" s="24">
        <v>12172</v>
      </c>
      <c r="E78" s="180">
        <v>10272</v>
      </c>
      <c r="F78" s="180">
        <f t="shared" si="8"/>
        <v>1900</v>
      </c>
      <c r="G78" s="24">
        <f t="shared" si="7"/>
        <v>119496855.34591195</v>
      </c>
      <c r="H78" s="188">
        <v>119.497</v>
      </c>
      <c r="I78" s="19"/>
      <c r="K78" s="19"/>
      <c r="L78" s="96"/>
      <c r="M78" s="24"/>
      <c r="N78" s="189"/>
    </row>
    <row r="79" spans="1:14" x14ac:dyDescent="0.25">
      <c r="A79" s="187"/>
      <c r="B79" s="24">
        <v>9</v>
      </c>
      <c r="C79" s="24">
        <v>1.59E-5</v>
      </c>
      <c r="D79" s="24">
        <v>10272</v>
      </c>
      <c r="E79" s="180">
        <v>8256</v>
      </c>
      <c r="F79" s="180">
        <f t="shared" si="8"/>
        <v>2016</v>
      </c>
      <c r="G79" s="24">
        <f t="shared" si="7"/>
        <v>126792452.83018868</v>
      </c>
      <c r="H79" s="188">
        <v>126.792</v>
      </c>
      <c r="I79" s="19"/>
      <c r="K79" s="19"/>
      <c r="L79" s="96"/>
      <c r="M79" s="24"/>
      <c r="N79" s="189"/>
    </row>
    <row r="80" spans="1:14" x14ac:dyDescent="0.25">
      <c r="A80" s="187"/>
      <c r="B80" s="24">
        <v>10</v>
      </c>
      <c r="C80" s="24">
        <v>1.59E-5</v>
      </c>
      <c r="D80" s="24">
        <v>8256</v>
      </c>
      <c r="E80" s="180">
        <v>6285</v>
      </c>
      <c r="F80" s="180">
        <f t="shared" si="8"/>
        <v>1971</v>
      </c>
      <c r="G80" s="24">
        <f t="shared" si="7"/>
        <v>123962264.1509434</v>
      </c>
      <c r="H80" s="188">
        <v>123.962</v>
      </c>
      <c r="I80" s="19"/>
      <c r="K80" s="19"/>
      <c r="L80" s="96"/>
      <c r="M80" s="24"/>
      <c r="N80" s="189"/>
    </row>
    <row r="81" spans="1:14" x14ac:dyDescent="0.25">
      <c r="A81" s="187"/>
      <c r="B81" s="24">
        <v>11</v>
      </c>
      <c r="C81" s="24">
        <v>1.59E-5</v>
      </c>
      <c r="D81" s="24">
        <v>6585</v>
      </c>
      <c r="E81" s="180">
        <v>4532</v>
      </c>
      <c r="F81" s="180">
        <f t="shared" si="8"/>
        <v>2053</v>
      </c>
      <c r="G81" s="24">
        <f t="shared" si="7"/>
        <v>129119496.8553459</v>
      </c>
      <c r="H81" s="188">
        <v>110.252</v>
      </c>
      <c r="I81" s="19"/>
      <c r="K81" s="19"/>
      <c r="L81" s="96"/>
      <c r="M81" s="24"/>
      <c r="N81" s="189"/>
    </row>
    <row r="82" spans="1:14" x14ac:dyDescent="0.25">
      <c r="A82" s="187"/>
      <c r="B82" s="24">
        <v>12</v>
      </c>
      <c r="C82" s="24">
        <v>1.59E-5</v>
      </c>
      <c r="D82" s="24">
        <v>4532</v>
      </c>
      <c r="E82" s="180">
        <v>2552</v>
      </c>
      <c r="F82" s="180">
        <f t="shared" si="8"/>
        <v>1980</v>
      </c>
      <c r="G82" s="24">
        <f t="shared" si="7"/>
        <v>124528301.88679245</v>
      </c>
      <c r="H82" s="188">
        <v>124.52800000000001</v>
      </c>
      <c r="I82" s="19"/>
      <c r="K82" s="19"/>
      <c r="L82" s="96"/>
      <c r="M82" s="24"/>
      <c r="N82" s="189"/>
    </row>
    <row r="83" spans="1:14" x14ac:dyDescent="0.25">
      <c r="A83" s="187"/>
      <c r="B83" s="24">
        <v>13</v>
      </c>
      <c r="C83" s="24">
        <v>1.59E-5</v>
      </c>
      <c r="D83" s="24">
        <v>2552</v>
      </c>
      <c r="E83" s="180">
        <v>882</v>
      </c>
      <c r="F83" s="180">
        <f t="shared" si="8"/>
        <v>1670</v>
      </c>
      <c r="G83" s="24">
        <f t="shared" si="7"/>
        <v>105031446.5408805</v>
      </c>
      <c r="H83" s="188">
        <v>105.03100000000001</v>
      </c>
      <c r="I83" s="19"/>
      <c r="K83" s="19"/>
      <c r="L83" s="96"/>
      <c r="M83" s="24"/>
      <c r="N83" s="189"/>
    </row>
    <row r="84" spans="1:14" ht="15.75" thickBot="1" x14ac:dyDescent="0.3">
      <c r="A84" s="191"/>
      <c r="B84" s="103">
        <v>14</v>
      </c>
      <c r="C84" s="103">
        <v>1.59E-5</v>
      </c>
      <c r="D84" s="198">
        <v>882</v>
      </c>
      <c r="E84" s="199">
        <v>0</v>
      </c>
      <c r="F84" s="199">
        <f t="shared" si="8"/>
        <v>882</v>
      </c>
      <c r="G84" s="198">
        <f>F84/C84</f>
        <v>55471698.113207549</v>
      </c>
      <c r="H84" s="203">
        <v>55.472000000000001</v>
      </c>
      <c r="I84" s="19"/>
      <c r="K84" s="19"/>
      <c r="L84" s="97">
        <v>2353</v>
      </c>
      <c r="M84" s="103">
        <v>0</v>
      </c>
      <c r="N84" s="193" t="s">
        <v>758</v>
      </c>
    </row>
    <row r="85" spans="1:14" ht="15.75" thickBot="1" x14ac:dyDescent="0.3">
      <c r="B85" s="19"/>
      <c r="I85" s="19"/>
      <c r="K85" s="19"/>
      <c r="L85" s="19"/>
      <c r="M85" s="56"/>
      <c r="N85" s="19"/>
    </row>
    <row r="86" spans="1:14" x14ac:dyDescent="0.25">
      <c r="A86" s="184" t="s">
        <v>723</v>
      </c>
      <c r="B86" s="101" t="s">
        <v>42</v>
      </c>
      <c r="C86" s="101" t="s">
        <v>724</v>
      </c>
      <c r="D86" s="101" t="s">
        <v>680</v>
      </c>
      <c r="E86" s="195" t="s">
        <v>681</v>
      </c>
      <c r="F86" s="195" t="s">
        <v>725</v>
      </c>
      <c r="G86" s="101" t="s">
        <v>747</v>
      </c>
      <c r="H86" s="196" t="s">
        <v>748</v>
      </c>
      <c r="I86" s="19"/>
      <c r="K86" s="19"/>
      <c r="L86" s="222" t="s">
        <v>870</v>
      </c>
      <c r="M86" s="223"/>
      <c r="N86" s="224"/>
    </row>
    <row r="87" spans="1:14" x14ac:dyDescent="0.25">
      <c r="A87" s="187"/>
      <c r="B87" s="24" t="s">
        <v>679</v>
      </c>
      <c r="C87" s="24">
        <v>4.0299999999999997E-5</v>
      </c>
      <c r="D87" s="24">
        <v>0</v>
      </c>
      <c r="E87" s="180">
        <v>2249</v>
      </c>
      <c r="F87" s="180">
        <f t="shared" ref="F87:F100" si="9">E87-D87</f>
        <v>2249</v>
      </c>
      <c r="G87" s="24">
        <f t="shared" ref="G87:G97" si="10">F87/C87</f>
        <v>55806451.61290323</v>
      </c>
      <c r="H87" s="188">
        <v>55.805999999999997</v>
      </c>
      <c r="I87" s="19"/>
      <c r="K87" s="19"/>
      <c r="L87" s="96"/>
      <c r="M87" s="24"/>
      <c r="N87" s="189"/>
    </row>
    <row r="88" spans="1:14" x14ac:dyDescent="0.25">
      <c r="A88" s="187"/>
      <c r="B88" s="24">
        <v>2</v>
      </c>
      <c r="C88" s="24">
        <v>4.0299999999999997E-5</v>
      </c>
      <c r="D88" s="24">
        <v>2249</v>
      </c>
      <c r="E88" s="180">
        <v>4464</v>
      </c>
      <c r="F88" s="180">
        <f t="shared" si="9"/>
        <v>2215</v>
      </c>
      <c r="G88" s="24">
        <f t="shared" si="10"/>
        <v>54962779.156327546</v>
      </c>
      <c r="H88" s="188">
        <v>54.963000000000001</v>
      </c>
      <c r="I88" s="19"/>
      <c r="K88" s="19"/>
      <c r="L88" s="96"/>
      <c r="M88" s="24"/>
      <c r="N88" s="189"/>
    </row>
    <row r="89" spans="1:14" x14ac:dyDescent="0.25">
      <c r="A89" s="187"/>
      <c r="B89" s="24">
        <v>3</v>
      </c>
      <c r="C89" s="24">
        <v>4.0299999999999997E-5</v>
      </c>
      <c r="D89" s="24">
        <v>4464</v>
      </c>
      <c r="E89" s="180">
        <v>6677</v>
      </c>
      <c r="F89" s="180">
        <f t="shared" si="9"/>
        <v>2213</v>
      </c>
      <c r="G89" s="24">
        <f t="shared" si="10"/>
        <v>54913151.364764273</v>
      </c>
      <c r="H89" s="188">
        <v>54.912999999999997</v>
      </c>
      <c r="I89" s="19"/>
      <c r="K89" s="19"/>
      <c r="L89" s="96"/>
      <c r="M89" s="24"/>
      <c r="N89" s="189"/>
    </row>
    <row r="90" spans="1:14" x14ac:dyDescent="0.25">
      <c r="A90" s="187"/>
      <c r="B90" s="24">
        <v>4</v>
      </c>
      <c r="C90" s="24">
        <v>4.0299999999999997E-5</v>
      </c>
      <c r="D90" s="24">
        <v>6677</v>
      </c>
      <c r="E90" s="180">
        <v>8987</v>
      </c>
      <c r="F90" s="180">
        <f t="shared" si="9"/>
        <v>2310</v>
      </c>
      <c r="G90" s="24">
        <f t="shared" si="10"/>
        <v>57320099.25558313</v>
      </c>
      <c r="H90" s="188">
        <v>57.32</v>
      </c>
      <c r="I90" s="19"/>
      <c r="K90" s="19"/>
      <c r="L90" s="96"/>
      <c r="M90" s="24" t="s">
        <v>763</v>
      </c>
      <c r="N90" s="189"/>
    </row>
    <row r="91" spans="1:14" x14ac:dyDescent="0.25">
      <c r="A91" s="187" t="s">
        <v>760</v>
      </c>
      <c r="B91" s="24">
        <v>5</v>
      </c>
      <c r="C91" s="24">
        <v>4.0299999999999997E-5</v>
      </c>
      <c r="D91" s="24">
        <v>8987</v>
      </c>
      <c r="E91" s="180">
        <v>11302</v>
      </c>
      <c r="F91" s="180">
        <f t="shared" si="9"/>
        <v>2315</v>
      </c>
      <c r="G91" s="24">
        <f t="shared" si="10"/>
        <v>57444168.734491318</v>
      </c>
      <c r="H91" s="188">
        <v>57.444000000000003</v>
      </c>
      <c r="I91" s="19"/>
      <c r="K91" s="19"/>
      <c r="L91" s="96"/>
      <c r="M91" s="24" t="s">
        <v>764</v>
      </c>
      <c r="N91" s="189"/>
    </row>
    <row r="92" spans="1:14" x14ac:dyDescent="0.25">
      <c r="A92" s="190" t="s">
        <v>761</v>
      </c>
      <c r="B92" s="24">
        <v>6</v>
      </c>
      <c r="C92" s="24">
        <v>4.0299999999999997E-5</v>
      </c>
      <c r="D92" s="24">
        <v>11302</v>
      </c>
      <c r="E92" s="180">
        <v>13604</v>
      </c>
      <c r="F92" s="180">
        <f t="shared" si="9"/>
        <v>2302</v>
      </c>
      <c r="G92" s="24">
        <f t="shared" si="10"/>
        <v>57121588.089330032</v>
      </c>
      <c r="H92" s="188">
        <v>57.122</v>
      </c>
      <c r="I92" s="19"/>
      <c r="J92" s="56">
        <v>6</v>
      </c>
      <c r="K92" s="19"/>
      <c r="L92" s="96"/>
      <c r="M92" s="24"/>
      <c r="N92" s="189"/>
    </row>
    <row r="93" spans="1:14" x14ac:dyDescent="0.25">
      <c r="A93" s="218" t="s">
        <v>800</v>
      </c>
      <c r="B93" s="24">
        <v>7</v>
      </c>
      <c r="C93" s="24">
        <v>4.0299999999999997E-5</v>
      </c>
      <c r="D93" s="24">
        <v>13604</v>
      </c>
      <c r="E93" s="180">
        <v>15874</v>
      </c>
      <c r="F93" s="180">
        <f t="shared" si="9"/>
        <v>2270</v>
      </c>
      <c r="G93" s="24">
        <f t="shared" si="10"/>
        <v>56327543.424317621</v>
      </c>
      <c r="H93" s="188">
        <v>56.328000000000003</v>
      </c>
      <c r="I93" s="19"/>
      <c r="K93" s="19"/>
      <c r="L93" s="96"/>
      <c r="M93" s="24"/>
      <c r="N93" s="189"/>
    </row>
    <row r="94" spans="1:14" x14ac:dyDescent="0.25">
      <c r="A94" s="187"/>
      <c r="B94" s="24">
        <v>8</v>
      </c>
      <c r="C94" s="24">
        <v>4.0299999999999997E-5</v>
      </c>
      <c r="D94" s="24">
        <v>15874</v>
      </c>
      <c r="E94" s="180">
        <v>18233</v>
      </c>
      <c r="F94" s="180">
        <f t="shared" si="9"/>
        <v>2359</v>
      </c>
      <c r="G94" s="24">
        <f t="shared" si="10"/>
        <v>58535980.14888338</v>
      </c>
      <c r="H94" s="188">
        <v>58.536000000000001</v>
      </c>
      <c r="I94" s="19"/>
      <c r="K94" s="19"/>
      <c r="L94" s="96"/>
      <c r="M94" s="24"/>
      <c r="N94" s="189"/>
    </row>
    <row r="95" spans="1:14" x14ac:dyDescent="0.25">
      <c r="A95" s="187"/>
      <c r="B95" s="24">
        <v>9</v>
      </c>
      <c r="C95" s="24">
        <v>4.0299999999999997E-5</v>
      </c>
      <c r="D95" s="24">
        <v>18233</v>
      </c>
      <c r="E95" s="180">
        <v>20478</v>
      </c>
      <c r="F95" s="180">
        <f t="shared" si="9"/>
        <v>2245</v>
      </c>
      <c r="G95" s="24">
        <f t="shared" si="10"/>
        <v>55707196.029776677</v>
      </c>
      <c r="H95" s="188">
        <v>55.707000000000001</v>
      </c>
      <c r="I95" s="19"/>
      <c r="K95" s="19"/>
      <c r="L95" s="96"/>
      <c r="M95" s="24"/>
      <c r="N95" s="189"/>
    </row>
    <row r="96" spans="1:14" x14ac:dyDescent="0.25">
      <c r="A96" s="187"/>
      <c r="B96" s="24">
        <v>10</v>
      </c>
      <c r="C96" s="24">
        <v>4.0299999999999997E-5</v>
      </c>
      <c r="D96" s="24">
        <v>20478</v>
      </c>
      <c r="E96" s="180">
        <v>22673</v>
      </c>
      <c r="F96" s="180">
        <f t="shared" si="9"/>
        <v>2195</v>
      </c>
      <c r="G96" s="24">
        <f t="shared" si="10"/>
        <v>54466501.240694791</v>
      </c>
      <c r="H96" s="188">
        <v>54.466999999999999</v>
      </c>
      <c r="I96" s="19"/>
      <c r="K96" s="19"/>
      <c r="L96" s="96"/>
      <c r="M96" s="24"/>
      <c r="N96" s="189"/>
    </row>
    <row r="97" spans="1:14" x14ac:dyDescent="0.25">
      <c r="A97" s="187"/>
      <c r="B97" s="24">
        <v>11</v>
      </c>
      <c r="C97" s="24">
        <v>4.0299999999999997E-5</v>
      </c>
      <c r="D97" s="24">
        <v>22673</v>
      </c>
      <c r="E97" s="180">
        <v>24090</v>
      </c>
      <c r="F97" s="180">
        <f t="shared" si="9"/>
        <v>1417</v>
      </c>
      <c r="G97" s="205">
        <f t="shared" si="10"/>
        <v>35161290.32258065</v>
      </c>
      <c r="H97" s="206" t="s">
        <v>100</v>
      </c>
      <c r="I97" s="19"/>
      <c r="K97" s="19"/>
      <c r="L97" s="96">
        <v>21384</v>
      </c>
      <c r="M97" s="24">
        <v>23048</v>
      </c>
      <c r="N97" s="189">
        <v>1664</v>
      </c>
    </row>
    <row r="98" spans="1:14" x14ac:dyDescent="0.25">
      <c r="A98" s="187"/>
      <c r="B98" s="207">
        <v>12</v>
      </c>
      <c r="C98" s="207">
        <v>4.0299999999999997E-5</v>
      </c>
      <c r="D98" s="207">
        <v>24090</v>
      </c>
      <c r="E98" s="208">
        <v>24295</v>
      </c>
      <c r="F98" s="208">
        <f t="shared" si="9"/>
        <v>205</v>
      </c>
      <c r="G98" s="207" t="s">
        <v>762</v>
      </c>
      <c r="H98" s="209" t="s">
        <v>762</v>
      </c>
      <c r="I98" s="19"/>
      <c r="K98" s="19"/>
      <c r="L98" s="96">
        <v>23048</v>
      </c>
      <c r="M98" s="24">
        <v>24408</v>
      </c>
      <c r="N98" s="189">
        <v>1360</v>
      </c>
    </row>
    <row r="99" spans="1:14" x14ac:dyDescent="0.25">
      <c r="A99" s="187"/>
      <c r="B99" s="207">
        <v>13</v>
      </c>
      <c r="C99" s="207">
        <v>4.0299999999999997E-5</v>
      </c>
      <c r="D99" s="207">
        <v>24295</v>
      </c>
      <c r="E99" s="208">
        <v>24319</v>
      </c>
      <c r="F99" s="208">
        <f t="shared" si="9"/>
        <v>24</v>
      </c>
      <c r="G99" s="207" t="s">
        <v>762</v>
      </c>
      <c r="H99" s="209" t="s">
        <v>762</v>
      </c>
      <c r="I99" s="19"/>
      <c r="K99" s="19"/>
      <c r="L99" s="96">
        <v>24408</v>
      </c>
      <c r="M99" s="24">
        <v>25627</v>
      </c>
      <c r="N99" s="189">
        <v>1219</v>
      </c>
    </row>
    <row r="100" spans="1:14" ht="15.75" thickBot="1" x14ac:dyDescent="0.3">
      <c r="A100" s="191"/>
      <c r="B100" s="210">
        <v>14</v>
      </c>
      <c r="C100" s="210">
        <v>4.0299999999999997E-5</v>
      </c>
      <c r="D100" s="211">
        <v>24319</v>
      </c>
      <c r="E100" s="212">
        <v>25536</v>
      </c>
      <c r="F100" s="212">
        <f t="shared" si="9"/>
        <v>1217</v>
      </c>
      <c r="G100" s="213" t="s">
        <v>100</v>
      </c>
      <c r="H100" s="214" t="s">
        <v>100</v>
      </c>
      <c r="I100" s="19"/>
      <c r="K100" s="19"/>
      <c r="L100" s="215"/>
      <c r="M100" s="216" t="s">
        <v>769</v>
      </c>
      <c r="N100" s="217"/>
    </row>
    <row r="101" spans="1:14" ht="15.75" thickBot="1" x14ac:dyDescent="0.3">
      <c r="B101" s="19"/>
      <c r="I101" s="19"/>
      <c r="K101" s="19"/>
      <c r="L101" s="19"/>
      <c r="M101" s="56"/>
      <c r="N101" s="19"/>
    </row>
    <row r="102" spans="1:14" x14ac:dyDescent="0.25">
      <c r="A102" s="184" t="s">
        <v>723</v>
      </c>
      <c r="B102" s="101" t="s">
        <v>42</v>
      </c>
      <c r="C102" s="101" t="s">
        <v>724</v>
      </c>
      <c r="D102" s="101" t="s">
        <v>680</v>
      </c>
      <c r="E102" s="195" t="s">
        <v>681</v>
      </c>
      <c r="F102" s="195" t="s">
        <v>725</v>
      </c>
      <c r="G102" s="101" t="s">
        <v>747</v>
      </c>
      <c r="H102" s="196" t="s">
        <v>748</v>
      </c>
      <c r="I102" s="19"/>
      <c r="K102" s="19"/>
      <c r="L102" s="19"/>
      <c r="M102" s="56"/>
      <c r="N102" s="19"/>
    </row>
    <row r="103" spans="1:14" x14ac:dyDescent="0.25">
      <c r="A103" s="187"/>
      <c r="B103" s="24" t="s">
        <v>679</v>
      </c>
      <c r="C103" s="24">
        <v>1.2669999999999999E-4</v>
      </c>
      <c r="D103" s="24">
        <v>0</v>
      </c>
      <c r="E103" s="180">
        <v>2030</v>
      </c>
      <c r="F103" s="180">
        <v>2030</v>
      </c>
      <c r="G103" s="24">
        <f t="shared" ref="G103:G115" si="11">F103/C103</f>
        <v>16022099.447513813</v>
      </c>
      <c r="H103" s="188">
        <v>16.021999999999998</v>
      </c>
      <c r="I103" s="19"/>
      <c r="K103" s="19"/>
      <c r="L103" s="19"/>
      <c r="M103" s="56"/>
      <c r="N103" s="19"/>
    </row>
    <row r="104" spans="1:14" x14ac:dyDescent="0.25">
      <c r="A104" s="187"/>
      <c r="B104" s="24">
        <v>2</v>
      </c>
      <c r="C104" s="24">
        <v>1.2669999999999999E-4</v>
      </c>
      <c r="D104" s="24">
        <v>2030</v>
      </c>
      <c r="E104" s="180">
        <v>4058</v>
      </c>
      <c r="F104" s="180">
        <f t="shared" ref="F104:F115" si="12">E104-D104</f>
        <v>2028</v>
      </c>
      <c r="G104" s="24">
        <f t="shared" si="11"/>
        <v>16006314.12786109</v>
      </c>
      <c r="H104" s="188">
        <v>16.006</v>
      </c>
      <c r="I104" s="19"/>
      <c r="K104" s="19"/>
      <c r="L104" s="19"/>
      <c r="M104" s="56"/>
      <c r="N104" s="19"/>
    </row>
    <row r="105" spans="1:14" x14ac:dyDescent="0.25">
      <c r="A105" s="187"/>
      <c r="B105" s="24">
        <v>3</v>
      </c>
      <c r="C105" s="24">
        <v>1.2669999999999999E-4</v>
      </c>
      <c r="D105" s="24">
        <v>4058</v>
      </c>
      <c r="E105" s="180">
        <v>5783</v>
      </c>
      <c r="F105" s="180">
        <f t="shared" si="12"/>
        <v>1725</v>
      </c>
      <c r="G105" s="24">
        <f t="shared" si="11"/>
        <v>13614838.20047356</v>
      </c>
      <c r="H105" s="188">
        <v>13.615</v>
      </c>
      <c r="I105" s="19"/>
      <c r="K105" s="19"/>
      <c r="L105" s="19"/>
      <c r="M105" s="56"/>
      <c r="N105" s="19"/>
    </row>
    <row r="106" spans="1:14" x14ac:dyDescent="0.25">
      <c r="A106" s="187"/>
      <c r="B106" s="24">
        <v>4</v>
      </c>
      <c r="C106" s="24">
        <v>1.2669999999999999E-4</v>
      </c>
      <c r="D106" s="24">
        <v>5783</v>
      </c>
      <c r="E106" s="180">
        <v>7773</v>
      </c>
      <c r="F106" s="180">
        <f t="shared" si="12"/>
        <v>1990</v>
      </c>
      <c r="G106" s="24">
        <f t="shared" si="11"/>
        <v>15706393.054459354</v>
      </c>
      <c r="H106" s="188">
        <v>15.706</v>
      </c>
      <c r="I106" s="19"/>
      <c r="K106" s="19"/>
      <c r="L106" s="19"/>
      <c r="M106" s="56"/>
      <c r="N106" s="19"/>
    </row>
    <row r="107" spans="1:14" x14ac:dyDescent="0.25">
      <c r="A107" s="187" t="s">
        <v>739</v>
      </c>
      <c r="B107" s="24">
        <v>5</v>
      </c>
      <c r="C107" s="24">
        <v>1.2669999999999999E-4</v>
      </c>
      <c r="D107" s="24">
        <v>7773</v>
      </c>
      <c r="E107" s="180">
        <v>9680</v>
      </c>
      <c r="F107" s="180">
        <f t="shared" si="12"/>
        <v>1907</v>
      </c>
      <c r="G107" s="24">
        <f t="shared" si="11"/>
        <v>15051302.288871352</v>
      </c>
      <c r="H107" s="188">
        <v>15.051</v>
      </c>
      <c r="I107" s="19"/>
      <c r="K107" s="19"/>
      <c r="L107" s="19"/>
      <c r="M107" s="56"/>
      <c r="N107" s="19"/>
    </row>
    <row r="108" spans="1:14" x14ac:dyDescent="0.25">
      <c r="A108" s="190" t="s">
        <v>256</v>
      </c>
      <c r="B108" s="24">
        <v>6</v>
      </c>
      <c r="C108" s="24">
        <v>1.2669999999999999E-4</v>
      </c>
      <c r="D108" s="24">
        <v>9680</v>
      </c>
      <c r="E108" s="180">
        <v>11382</v>
      </c>
      <c r="F108" s="180">
        <f t="shared" si="12"/>
        <v>1702</v>
      </c>
      <c r="G108" s="24">
        <f t="shared" si="11"/>
        <v>13433307.024467247</v>
      </c>
      <c r="H108" s="188">
        <v>13.433</v>
      </c>
      <c r="I108" s="19"/>
      <c r="J108" s="56">
        <v>7</v>
      </c>
      <c r="K108" s="19"/>
      <c r="L108" s="19"/>
      <c r="M108" s="56"/>
      <c r="N108" s="19"/>
    </row>
    <row r="109" spans="1:14" x14ac:dyDescent="0.25">
      <c r="A109" s="218" t="s">
        <v>765</v>
      </c>
      <c r="B109" s="24">
        <v>7</v>
      </c>
      <c r="C109" s="24">
        <v>1.2669999999999999E-4</v>
      </c>
      <c r="D109" s="24">
        <v>11382</v>
      </c>
      <c r="E109" s="180">
        <v>13396</v>
      </c>
      <c r="F109" s="180">
        <f t="shared" si="12"/>
        <v>2014</v>
      </c>
      <c r="G109" s="24">
        <f t="shared" si="11"/>
        <v>15895816.89029203</v>
      </c>
      <c r="H109" s="188">
        <v>15.896000000000001</v>
      </c>
      <c r="I109" s="19"/>
      <c r="K109" s="19"/>
      <c r="L109" s="219" t="s">
        <v>766</v>
      </c>
      <c r="M109" s="221"/>
      <c r="N109" s="219"/>
    </row>
    <row r="110" spans="1:14" x14ac:dyDescent="0.25">
      <c r="A110" s="218" t="s">
        <v>799</v>
      </c>
      <c r="B110" s="24">
        <v>8</v>
      </c>
      <c r="C110" s="24">
        <v>1.2669999999999999E-4</v>
      </c>
      <c r="D110" s="24">
        <v>13396</v>
      </c>
      <c r="E110" s="180">
        <v>15486</v>
      </c>
      <c r="F110" s="180">
        <f t="shared" si="12"/>
        <v>2090</v>
      </c>
      <c r="G110" s="24">
        <f t="shared" si="11"/>
        <v>16495659.037095502</v>
      </c>
      <c r="H110" s="188">
        <v>16.495999999999999</v>
      </c>
      <c r="I110" s="19"/>
      <c r="K110" s="19"/>
      <c r="L110" s="219" t="s">
        <v>767</v>
      </c>
      <c r="M110" s="221"/>
      <c r="N110" s="219"/>
    </row>
    <row r="111" spans="1:14" x14ac:dyDescent="0.25">
      <c r="A111" s="187"/>
      <c r="B111" s="24">
        <v>9</v>
      </c>
      <c r="C111" s="24">
        <v>1.2669999999999999E-4</v>
      </c>
      <c r="D111" s="24">
        <v>15486</v>
      </c>
      <c r="E111" s="180">
        <v>17425</v>
      </c>
      <c r="F111" s="180">
        <f t="shared" si="12"/>
        <v>1939</v>
      </c>
      <c r="G111" s="24">
        <f t="shared" si="11"/>
        <v>15303867.403314918</v>
      </c>
      <c r="H111" s="188">
        <v>15.304</v>
      </c>
      <c r="I111" s="19"/>
      <c r="K111" s="19"/>
      <c r="L111" s="19"/>
      <c r="M111" s="56"/>
      <c r="N111" s="19"/>
    </row>
    <row r="112" spans="1:14" x14ac:dyDescent="0.25">
      <c r="A112" s="187"/>
      <c r="B112" s="24">
        <v>10</v>
      </c>
      <c r="C112" s="24">
        <v>1.2669999999999999E-4</v>
      </c>
      <c r="D112" s="24">
        <v>17425</v>
      </c>
      <c r="E112" s="180">
        <v>19344</v>
      </c>
      <c r="F112" s="180">
        <f t="shared" si="12"/>
        <v>1919</v>
      </c>
      <c r="G112" s="24">
        <f t="shared" si="11"/>
        <v>15146014.206787689</v>
      </c>
      <c r="H112" s="188">
        <v>15.146000000000001</v>
      </c>
      <c r="I112" s="19"/>
      <c r="K112" s="19"/>
      <c r="L112" s="19"/>
      <c r="M112" s="56"/>
      <c r="N112" s="19"/>
    </row>
    <row r="113" spans="1:14" x14ac:dyDescent="0.25">
      <c r="A113" s="187"/>
      <c r="B113" s="24">
        <v>11</v>
      </c>
      <c r="C113" s="24">
        <v>1.2669999999999999E-4</v>
      </c>
      <c r="D113" s="24">
        <v>19344</v>
      </c>
      <c r="E113" s="180">
        <v>21491</v>
      </c>
      <c r="F113" s="180">
        <f t="shared" si="12"/>
        <v>2147</v>
      </c>
      <c r="G113" s="24">
        <f t="shared" si="11"/>
        <v>16945540.647198107</v>
      </c>
      <c r="H113" s="188">
        <v>16.946000000000002</v>
      </c>
      <c r="I113" s="19"/>
      <c r="K113" s="19"/>
      <c r="L113" s="19"/>
      <c r="M113" s="56"/>
      <c r="N113" s="19"/>
    </row>
    <row r="114" spans="1:14" x14ac:dyDescent="0.25">
      <c r="A114" s="187"/>
      <c r="B114" s="24">
        <v>12</v>
      </c>
      <c r="C114" s="24">
        <v>1.2669999999999999E-4</v>
      </c>
      <c r="D114" s="24">
        <v>21491</v>
      </c>
      <c r="E114" s="180">
        <v>23533</v>
      </c>
      <c r="F114" s="180">
        <f t="shared" si="12"/>
        <v>2042</v>
      </c>
      <c r="G114" s="24">
        <f t="shared" si="11"/>
        <v>16116811.365430152</v>
      </c>
      <c r="H114" s="188">
        <v>16.117000000000001</v>
      </c>
      <c r="I114" s="19"/>
      <c r="K114" s="19"/>
      <c r="L114" s="19"/>
      <c r="M114" s="56"/>
      <c r="N114" s="19"/>
    </row>
    <row r="115" spans="1:14" x14ac:dyDescent="0.25">
      <c r="A115" s="187"/>
      <c r="B115" s="24">
        <v>13</v>
      </c>
      <c r="C115" s="24">
        <v>1.2669999999999999E-4</v>
      </c>
      <c r="D115" s="24">
        <v>23533</v>
      </c>
      <c r="E115" s="180">
        <v>25608</v>
      </c>
      <c r="F115" s="180">
        <f t="shared" si="12"/>
        <v>2075</v>
      </c>
      <c r="G115" s="24">
        <f t="shared" si="11"/>
        <v>16377269.139700079</v>
      </c>
      <c r="H115" s="188">
        <v>16.376999999999999</v>
      </c>
      <c r="I115" s="19"/>
      <c r="K115" s="19"/>
      <c r="L115" s="19"/>
      <c r="M115" s="56"/>
      <c r="N115" s="19"/>
    </row>
    <row r="116" spans="1:14" ht="15.75" thickBot="1" x14ac:dyDescent="0.3">
      <c r="A116" s="191"/>
      <c r="B116" s="103">
        <v>14</v>
      </c>
      <c r="C116" s="103" t="s">
        <v>768</v>
      </c>
      <c r="D116" s="103" t="s">
        <v>768</v>
      </c>
      <c r="E116" s="103" t="s">
        <v>768</v>
      </c>
      <c r="F116" s="103" t="s">
        <v>768</v>
      </c>
      <c r="G116" s="103" t="s">
        <v>768</v>
      </c>
      <c r="H116" s="193" t="s">
        <v>768</v>
      </c>
      <c r="I116" s="19"/>
      <c r="K116" s="19"/>
      <c r="L116" s="19"/>
      <c r="M116" s="56"/>
      <c r="N116" s="19"/>
    </row>
    <row r="117" spans="1:14" x14ac:dyDescent="0.25">
      <c r="B117" s="19"/>
      <c r="I117" s="19"/>
      <c r="K117" s="19"/>
      <c r="L117" s="19"/>
      <c r="M117" s="56"/>
      <c r="N117" s="19"/>
    </row>
    <row r="118" spans="1:14" x14ac:dyDescent="0.25">
      <c r="A118" s="56" t="s">
        <v>723</v>
      </c>
      <c r="B118" s="24" t="s">
        <v>42</v>
      </c>
      <c r="C118" s="24" t="s">
        <v>724</v>
      </c>
      <c r="D118" s="24" t="s">
        <v>680</v>
      </c>
      <c r="E118" s="180" t="s">
        <v>681</v>
      </c>
      <c r="F118" s="180" t="s">
        <v>725</v>
      </c>
      <c r="G118" s="24" t="s">
        <v>747</v>
      </c>
      <c r="H118" s="24" t="s">
        <v>748</v>
      </c>
      <c r="I118" s="19"/>
      <c r="K118" s="19"/>
      <c r="L118" s="19"/>
      <c r="M118" s="56"/>
      <c r="N118" s="19"/>
    </row>
    <row r="119" spans="1:14" x14ac:dyDescent="0.25">
      <c r="A119" s="179"/>
      <c r="B119" s="24" t="s">
        <v>679</v>
      </c>
      <c r="C119" s="24">
        <v>2.51E-5</v>
      </c>
      <c r="D119" s="24">
        <v>25559</v>
      </c>
      <c r="E119" s="180">
        <v>23520</v>
      </c>
      <c r="F119" s="180">
        <f t="shared" ref="F119:F131" si="13">D119-E119</f>
        <v>2039</v>
      </c>
      <c r="G119" s="24">
        <f t="shared" ref="G119:G131" si="14">F119/C119</f>
        <v>81235059.760956168</v>
      </c>
      <c r="H119" s="91">
        <v>81.234999999999999</v>
      </c>
      <c r="I119" s="19"/>
      <c r="K119" s="19"/>
      <c r="L119" s="19"/>
      <c r="M119" s="56"/>
      <c r="N119" s="19"/>
    </row>
    <row r="120" spans="1:14" x14ac:dyDescent="0.25">
      <c r="B120" s="24">
        <v>2</v>
      </c>
      <c r="C120" s="24">
        <v>2.51E-5</v>
      </c>
      <c r="D120" s="24">
        <v>23520</v>
      </c>
      <c r="E120" s="180">
        <v>21467</v>
      </c>
      <c r="F120" s="180">
        <f t="shared" si="13"/>
        <v>2053</v>
      </c>
      <c r="G120" s="24">
        <f t="shared" si="14"/>
        <v>81792828.68525897</v>
      </c>
      <c r="H120" s="91">
        <v>81.793000000000006</v>
      </c>
      <c r="I120" s="19"/>
      <c r="K120" s="19"/>
      <c r="L120" s="19"/>
      <c r="M120" s="56"/>
      <c r="N120" s="19"/>
    </row>
    <row r="121" spans="1:14" x14ac:dyDescent="0.25">
      <c r="B121" s="24">
        <v>3</v>
      </c>
      <c r="C121" s="24">
        <v>2.51E-5</v>
      </c>
      <c r="D121" s="24">
        <v>21467</v>
      </c>
      <c r="E121" s="180">
        <v>19381</v>
      </c>
      <c r="F121" s="180">
        <f t="shared" si="13"/>
        <v>2086</v>
      </c>
      <c r="G121" s="24">
        <f t="shared" si="14"/>
        <v>83107569.721115544</v>
      </c>
      <c r="H121" s="91">
        <v>83.108000000000004</v>
      </c>
      <c r="I121" s="19"/>
      <c r="K121" s="19"/>
      <c r="L121" s="19"/>
      <c r="M121" s="56"/>
      <c r="N121" s="19"/>
    </row>
    <row r="122" spans="1:14" x14ac:dyDescent="0.25">
      <c r="B122" s="24">
        <v>4</v>
      </c>
      <c r="C122" s="24">
        <v>2.51E-5</v>
      </c>
      <c r="D122" s="24">
        <v>19381</v>
      </c>
      <c r="E122" s="180">
        <v>17342</v>
      </c>
      <c r="F122" s="180">
        <f t="shared" si="13"/>
        <v>2039</v>
      </c>
      <c r="G122" s="24">
        <f t="shared" si="14"/>
        <v>81235059.760956168</v>
      </c>
      <c r="H122" s="91">
        <v>81.234999999999999</v>
      </c>
      <c r="I122" s="19"/>
      <c r="K122" s="19"/>
      <c r="L122" s="19"/>
      <c r="M122" s="56"/>
      <c r="N122" s="19"/>
    </row>
    <row r="123" spans="1:14" x14ac:dyDescent="0.25">
      <c r="A123" s="56" t="s">
        <v>739</v>
      </c>
      <c r="B123" s="24">
        <v>5</v>
      </c>
      <c r="C123" s="24">
        <v>2.51E-5</v>
      </c>
      <c r="D123" s="24">
        <v>17342</v>
      </c>
      <c r="E123" s="180">
        <v>15367</v>
      </c>
      <c r="F123" s="180">
        <f t="shared" si="13"/>
        <v>1975</v>
      </c>
      <c r="G123" s="24">
        <f t="shared" si="14"/>
        <v>78685258.964143425</v>
      </c>
      <c r="H123" s="91">
        <v>78.685000000000002</v>
      </c>
      <c r="I123" s="19"/>
      <c r="K123" s="19"/>
      <c r="L123" s="19"/>
      <c r="M123" s="56"/>
      <c r="N123" s="19"/>
    </row>
    <row r="124" spans="1:14" x14ac:dyDescent="0.25">
      <c r="A124" s="91" t="s">
        <v>253</v>
      </c>
      <c r="B124" s="24">
        <v>6</v>
      </c>
      <c r="C124" s="24">
        <v>2.51E-5</v>
      </c>
      <c r="D124" s="24">
        <v>15367</v>
      </c>
      <c r="E124" s="180">
        <v>13352</v>
      </c>
      <c r="F124" s="180">
        <f t="shared" si="13"/>
        <v>2015</v>
      </c>
      <c r="G124" s="24">
        <f t="shared" si="14"/>
        <v>80278884.462151393</v>
      </c>
      <c r="H124" s="91">
        <v>80.278999999999996</v>
      </c>
      <c r="I124" s="19"/>
      <c r="J124" s="56">
        <v>8</v>
      </c>
      <c r="K124" s="19"/>
      <c r="L124" s="19"/>
      <c r="M124" s="56"/>
      <c r="N124" s="19"/>
    </row>
    <row r="125" spans="1:14" x14ac:dyDescent="0.25">
      <c r="A125" s="221" t="s">
        <v>863</v>
      </c>
      <c r="B125" s="24">
        <v>7</v>
      </c>
      <c r="C125" s="24">
        <v>2.51E-5</v>
      </c>
      <c r="D125" s="24">
        <v>13352</v>
      </c>
      <c r="E125" s="180">
        <v>11385</v>
      </c>
      <c r="F125" s="180">
        <f t="shared" si="13"/>
        <v>1967</v>
      </c>
      <c r="G125" s="24">
        <f t="shared" si="14"/>
        <v>78366533.864541829</v>
      </c>
      <c r="H125" s="91">
        <v>78.367000000000004</v>
      </c>
      <c r="I125" s="19"/>
      <c r="K125" s="19"/>
      <c r="L125" s="19"/>
      <c r="M125" s="56"/>
      <c r="N125" s="19"/>
    </row>
    <row r="126" spans="1:14" x14ac:dyDescent="0.25">
      <c r="B126" s="24">
        <v>8</v>
      </c>
      <c r="C126" s="24">
        <v>2.51E-5</v>
      </c>
      <c r="D126" s="24">
        <v>11385</v>
      </c>
      <c r="E126" s="180">
        <v>9487</v>
      </c>
      <c r="F126" s="180">
        <f t="shared" si="13"/>
        <v>1898</v>
      </c>
      <c r="G126" s="24">
        <f t="shared" si="14"/>
        <v>75617529.880478084</v>
      </c>
      <c r="H126" s="91">
        <v>75.617999999999995</v>
      </c>
      <c r="I126" s="19"/>
      <c r="K126" s="19"/>
      <c r="L126" s="19"/>
      <c r="M126" s="56"/>
      <c r="N126" s="19"/>
    </row>
    <row r="127" spans="1:14" x14ac:dyDescent="0.25">
      <c r="B127" s="24">
        <v>9</v>
      </c>
      <c r="C127" s="24">
        <v>2.51E-5</v>
      </c>
      <c r="D127" s="24">
        <v>9487</v>
      </c>
      <c r="E127" s="180">
        <v>7574</v>
      </c>
      <c r="F127" s="180">
        <f t="shared" si="13"/>
        <v>1913</v>
      </c>
      <c r="G127" s="24">
        <f t="shared" si="14"/>
        <v>76215139.442231074</v>
      </c>
      <c r="H127" s="91">
        <v>76.215000000000003</v>
      </c>
      <c r="I127" s="19"/>
      <c r="K127" s="19"/>
      <c r="L127" s="19"/>
      <c r="M127" s="56"/>
      <c r="N127" s="19"/>
    </row>
    <row r="128" spans="1:14" x14ac:dyDescent="0.25">
      <c r="B128" s="24">
        <v>10</v>
      </c>
      <c r="C128" s="24">
        <v>2.51E-5</v>
      </c>
      <c r="D128" s="24">
        <v>7574</v>
      </c>
      <c r="E128" s="180">
        <v>5626</v>
      </c>
      <c r="F128" s="180">
        <f t="shared" si="13"/>
        <v>1948</v>
      </c>
      <c r="G128" s="24">
        <f t="shared" si="14"/>
        <v>77609561.75298804</v>
      </c>
      <c r="H128" s="91">
        <v>77.61</v>
      </c>
      <c r="I128" s="19"/>
      <c r="K128" s="19"/>
      <c r="L128" s="19"/>
      <c r="M128" s="56"/>
      <c r="N128" s="19"/>
    </row>
    <row r="129" spans="1:14" x14ac:dyDescent="0.25">
      <c r="B129" s="24">
        <v>11</v>
      </c>
      <c r="C129" s="24">
        <v>2.51E-5</v>
      </c>
      <c r="D129" s="24">
        <v>5626</v>
      </c>
      <c r="E129" s="180">
        <v>3874</v>
      </c>
      <c r="F129" s="180">
        <f t="shared" si="13"/>
        <v>1752</v>
      </c>
      <c r="G129" s="24">
        <f t="shared" si="14"/>
        <v>69800796.812748998</v>
      </c>
      <c r="H129" s="91">
        <v>69.801000000000002</v>
      </c>
      <c r="I129" s="19"/>
      <c r="K129" s="19"/>
      <c r="L129" s="19"/>
      <c r="M129" s="56"/>
      <c r="N129" s="19"/>
    </row>
    <row r="130" spans="1:14" x14ac:dyDescent="0.25">
      <c r="B130" s="24">
        <v>12</v>
      </c>
      <c r="C130" s="24">
        <v>2.51E-5</v>
      </c>
      <c r="D130" s="24">
        <v>3874</v>
      </c>
      <c r="E130" s="180">
        <v>1921</v>
      </c>
      <c r="F130" s="180">
        <f t="shared" si="13"/>
        <v>1953</v>
      </c>
      <c r="G130" s="24">
        <f t="shared" si="14"/>
        <v>77808764.940239042</v>
      </c>
      <c r="H130" s="91">
        <v>77.808999999999997</v>
      </c>
      <c r="I130" s="19"/>
      <c r="K130" s="19"/>
      <c r="L130" s="19"/>
      <c r="M130" s="56"/>
      <c r="N130" s="19"/>
    </row>
    <row r="131" spans="1:14" x14ac:dyDescent="0.25">
      <c r="B131" s="24">
        <v>13</v>
      </c>
      <c r="C131" s="24">
        <v>2.51E-5</v>
      </c>
      <c r="D131" s="24">
        <v>1921</v>
      </c>
      <c r="E131" s="180">
        <v>0</v>
      </c>
      <c r="F131" s="180">
        <f t="shared" si="13"/>
        <v>1921</v>
      </c>
      <c r="G131" s="24">
        <f t="shared" si="14"/>
        <v>76533864.541832671</v>
      </c>
      <c r="H131" s="91">
        <v>76.534000000000006</v>
      </c>
      <c r="I131" s="19"/>
      <c r="K131" s="19"/>
      <c r="L131" s="19"/>
      <c r="M131" s="56"/>
      <c r="N131" s="19"/>
    </row>
    <row r="132" spans="1:14" x14ac:dyDescent="0.25">
      <c r="B132" s="24">
        <v>14</v>
      </c>
      <c r="C132" s="24" t="s">
        <v>768</v>
      </c>
      <c r="D132" s="24" t="s">
        <v>768</v>
      </c>
      <c r="E132" s="24" t="s">
        <v>768</v>
      </c>
      <c r="F132" s="24" t="s">
        <v>768</v>
      </c>
      <c r="G132" s="24" t="s">
        <v>768</v>
      </c>
      <c r="H132" s="24" t="s">
        <v>768</v>
      </c>
      <c r="I132" s="19"/>
      <c r="K132" s="19"/>
      <c r="L132" s="19"/>
      <c r="M132" s="56"/>
      <c r="N132" s="19"/>
    </row>
    <row r="133" spans="1:14" ht="15.75" thickBot="1" x14ac:dyDescent="0.3">
      <c r="B133" s="19"/>
      <c r="I133" s="19"/>
      <c r="K133" s="19"/>
      <c r="L133" s="19"/>
      <c r="M133" s="56"/>
      <c r="N133" s="19"/>
    </row>
    <row r="134" spans="1:14" x14ac:dyDescent="0.25">
      <c r="A134" s="184" t="s">
        <v>723</v>
      </c>
      <c r="B134" s="101" t="s">
        <v>42</v>
      </c>
      <c r="C134" s="101" t="s">
        <v>724</v>
      </c>
      <c r="D134" s="101" t="s">
        <v>680</v>
      </c>
      <c r="E134" s="195" t="s">
        <v>681</v>
      </c>
      <c r="F134" s="195" t="s">
        <v>725</v>
      </c>
      <c r="G134" s="101" t="s">
        <v>747</v>
      </c>
      <c r="H134" s="196" t="s">
        <v>748</v>
      </c>
      <c r="I134" s="19"/>
      <c r="K134" s="19"/>
      <c r="L134" s="222" t="s">
        <v>870</v>
      </c>
      <c r="M134" s="223"/>
      <c r="N134" s="224"/>
    </row>
    <row r="135" spans="1:14" x14ac:dyDescent="0.25">
      <c r="A135" s="187"/>
      <c r="B135" s="24" t="s">
        <v>679</v>
      </c>
      <c r="C135" s="24">
        <v>7.2399999999999998E-5</v>
      </c>
      <c r="D135" s="24">
        <v>25693</v>
      </c>
      <c r="E135" s="180">
        <v>23421</v>
      </c>
      <c r="F135" s="180">
        <f t="shared" ref="F135:F147" si="15">D135-E135</f>
        <v>2272</v>
      </c>
      <c r="G135" s="180">
        <f t="shared" ref="G135:G147" si="16">F135/C135</f>
        <v>31381215.469613262</v>
      </c>
      <c r="H135" s="188">
        <v>31.381</v>
      </c>
      <c r="I135" s="19"/>
      <c r="K135" s="19"/>
      <c r="L135" s="96"/>
      <c r="M135" s="24"/>
      <c r="N135" s="189"/>
    </row>
    <row r="136" spans="1:14" x14ac:dyDescent="0.25">
      <c r="A136" s="187"/>
      <c r="B136" s="24">
        <v>2</v>
      </c>
      <c r="C136" s="24">
        <v>7.2399999999999998E-5</v>
      </c>
      <c r="D136" s="24">
        <v>23421</v>
      </c>
      <c r="E136" s="180">
        <v>21271</v>
      </c>
      <c r="F136" s="180">
        <f t="shared" si="15"/>
        <v>2150</v>
      </c>
      <c r="G136" s="180">
        <f t="shared" si="16"/>
        <v>29696132.596685085</v>
      </c>
      <c r="H136" s="188">
        <v>29.696000000000002</v>
      </c>
      <c r="I136" s="19"/>
      <c r="K136" s="19"/>
      <c r="L136" s="96"/>
      <c r="M136" s="24" t="s">
        <v>771</v>
      </c>
      <c r="N136" s="189"/>
    </row>
    <row r="137" spans="1:14" x14ac:dyDescent="0.25">
      <c r="A137" s="187"/>
      <c r="B137" s="24">
        <v>3</v>
      </c>
      <c r="C137" s="24">
        <v>7.2399999999999998E-5</v>
      </c>
      <c r="D137" s="24">
        <v>21271</v>
      </c>
      <c r="E137" s="180">
        <v>19177</v>
      </c>
      <c r="F137" s="180">
        <f t="shared" si="15"/>
        <v>2094</v>
      </c>
      <c r="G137" s="180">
        <f t="shared" si="16"/>
        <v>28922651.933701657</v>
      </c>
      <c r="H137" s="188">
        <v>28.922999999999998</v>
      </c>
      <c r="I137" s="19"/>
      <c r="K137" s="19"/>
      <c r="L137" s="96"/>
      <c r="M137" s="24" t="s">
        <v>772</v>
      </c>
      <c r="N137" s="189"/>
    </row>
    <row r="138" spans="1:14" x14ac:dyDescent="0.25">
      <c r="A138" s="187"/>
      <c r="B138" s="24">
        <v>4</v>
      </c>
      <c r="C138" s="24">
        <v>7.2399999999999998E-5</v>
      </c>
      <c r="D138" s="24">
        <v>19177</v>
      </c>
      <c r="E138" s="180">
        <v>16980</v>
      </c>
      <c r="F138" s="180">
        <f t="shared" si="15"/>
        <v>2197</v>
      </c>
      <c r="G138" s="180">
        <f t="shared" si="16"/>
        <v>30345303.867403317</v>
      </c>
      <c r="H138" s="188">
        <v>30.344999999999999</v>
      </c>
      <c r="I138" s="19"/>
      <c r="K138" s="19"/>
      <c r="L138" s="96" t="s">
        <v>773</v>
      </c>
      <c r="M138" s="24" t="s">
        <v>774</v>
      </c>
      <c r="N138" s="204" t="s">
        <v>725</v>
      </c>
    </row>
    <row r="139" spans="1:14" x14ac:dyDescent="0.25">
      <c r="A139" s="187" t="s">
        <v>760</v>
      </c>
      <c r="B139" s="24">
        <v>5</v>
      </c>
      <c r="C139" s="24">
        <v>7.2399999999999998E-5</v>
      </c>
      <c r="D139" s="24">
        <v>16980</v>
      </c>
      <c r="E139" s="180">
        <v>16978</v>
      </c>
      <c r="F139" s="180">
        <f t="shared" si="15"/>
        <v>2</v>
      </c>
      <c r="G139" s="208" t="s">
        <v>312</v>
      </c>
      <c r="H139" s="209" t="s">
        <v>312</v>
      </c>
      <c r="I139" s="19"/>
      <c r="K139" s="19"/>
      <c r="L139" s="96">
        <v>17225</v>
      </c>
      <c r="M139" s="24">
        <v>15354</v>
      </c>
      <c r="N139" s="189">
        <f>L139-M139</f>
        <v>1871</v>
      </c>
    </row>
    <row r="140" spans="1:14" x14ac:dyDescent="0.25">
      <c r="A140" s="190" t="s">
        <v>754</v>
      </c>
      <c r="B140" s="24">
        <v>6</v>
      </c>
      <c r="C140" s="24">
        <v>7.2399999999999998E-5</v>
      </c>
      <c r="D140" s="24">
        <v>16978</v>
      </c>
      <c r="E140" s="180">
        <v>14727</v>
      </c>
      <c r="F140" s="180">
        <f t="shared" si="15"/>
        <v>2251</v>
      </c>
      <c r="G140" s="180">
        <f t="shared" si="16"/>
        <v>31091160.220994476</v>
      </c>
      <c r="H140" s="188">
        <v>31.091000000000001</v>
      </c>
      <c r="I140" s="19"/>
      <c r="J140" s="56">
        <v>9</v>
      </c>
      <c r="K140" s="19"/>
      <c r="L140" s="96"/>
      <c r="M140" s="24"/>
      <c r="N140" s="189"/>
    </row>
    <row r="141" spans="1:14" x14ac:dyDescent="0.25">
      <c r="A141" s="218" t="s">
        <v>803</v>
      </c>
      <c r="B141" s="24">
        <v>7</v>
      </c>
      <c r="C141" s="24">
        <v>7.2399999999999998E-5</v>
      </c>
      <c r="D141" s="24">
        <v>14727</v>
      </c>
      <c r="E141" s="180">
        <v>12516</v>
      </c>
      <c r="F141" s="180">
        <f t="shared" si="15"/>
        <v>2211</v>
      </c>
      <c r="G141" s="180">
        <f t="shared" si="16"/>
        <v>30538674.033149172</v>
      </c>
      <c r="H141" s="188">
        <v>30.539000000000001</v>
      </c>
      <c r="I141" s="19"/>
      <c r="K141" s="19"/>
      <c r="L141" s="96"/>
      <c r="M141" s="24"/>
      <c r="N141" s="189"/>
    </row>
    <row r="142" spans="1:14" x14ac:dyDescent="0.25">
      <c r="A142" s="187"/>
      <c r="B142" s="24">
        <v>8</v>
      </c>
      <c r="C142" s="24">
        <v>7.2399999999999998E-5</v>
      </c>
      <c r="D142" s="24">
        <v>12516</v>
      </c>
      <c r="E142" s="180">
        <v>10376</v>
      </c>
      <c r="F142" s="180">
        <f t="shared" si="15"/>
        <v>2140</v>
      </c>
      <c r="G142" s="180">
        <f t="shared" si="16"/>
        <v>29558011.049723759</v>
      </c>
      <c r="H142" s="188">
        <v>29.558</v>
      </c>
      <c r="I142" s="19"/>
      <c r="K142" s="19"/>
      <c r="L142" s="96"/>
      <c r="M142" s="24"/>
      <c r="N142" s="189"/>
    </row>
    <row r="143" spans="1:14" x14ac:dyDescent="0.25">
      <c r="A143" s="187"/>
      <c r="B143" s="24">
        <v>9</v>
      </c>
      <c r="C143" s="24">
        <v>7.2399999999999998E-5</v>
      </c>
      <c r="D143" s="24">
        <v>10376</v>
      </c>
      <c r="E143" s="180">
        <v>8179</v>
      </c>
      <c r="F143" s="180">
        <f t="shared" si="15"/>
        <v>2197</v>
      </c>
      <c r="G143" s="180">
        <f t="shared" si="16"/>
        <v>30345303.867403317</v>
      </c>
      <c r="H143" s="188">
        <v>30.344999999999999</v>
      </c>
      <c r="I143" s="19"/>
      <c r="K143" s="19"/>
      <c r="L143" s="96"/>
      <c r="M143" s="24"/>
      <c r="N143" s="189"/>
    </row>
    <row r="144" spans="1:14" x14ac:dyDescent="0.25">
      <c r="A144" s="187"/>
      <c r="B144" s="24">
        <v>10</v>
      </c>
      <c r="C144" s="24">
        <v>7.2399999999999998E-5</v>
      </c>
      <c r="D144" s="24">
        <v>8179</v>
      </c>
      <c r="E144" s="180">
        <v>6074</v>
      </c>
      <c r="F144" s="180">
        <f t="shared" si="15"/>
        <v>2105</v>
      </c>
      <c r="G144" s="180">
        <f t="shared" si="16"/>
        <v>29074585.635359116</v>
      </c>
      <c r="H144" s="188">
        <v>29.074999999999999</v>
      </c>
      <c r="I144" s="19"/>
      <c r="K144" s="19"/>
      <c r="L144" s="96"/>
      <c r="M144" s="24"/>
      <c r="N144" s="189"/>
    </row>
    <row r="145" spans="1:14" x14ac:dyDescent="0.25">
      <c r="A145" s="187"/>
      <c r="B145" s="24">
        <v>11</v>
      </c>
      <c r="C145" s="24">
        <v>7.2399999999999998E-5</v>
      </c>
      <c r="D145" s="24">
        <v>6074</v>
      </c>
      <c r="E145" s="180">
        <v>4206</v>
      </c>
      <c r="F145" s="180">
        <f t="shared" si="15"/>
        <v>1868</v>
      </c>
      <c r="G145" s="180">
        <f t="shared" si="16"/>
        <v>25801104.972375691</v>
      </c>
      <c r="H145" s="188">
        <v>25.800999999999998</v>
      </c>
      <c r="I145" s="19"/>
      <c r="K145" s="19"/>
      <c r="L145" s="96"/>
      <c r="M145" s="24"/>
      <c r="N145" s="189"/>
    </row>
    <row r="146" spans="1:14" x14ac:dyDescent="0.25">
      <c r="A146" s="187"/>
      <c r="B146" s="24">
        <v>12</v>
      </c>
      <c r="C146" s="24">
        <v>7.2399999999999998E-5</v>
      </c>
      <c r="D146" s="24">
        <v>4206</v>
      </c>
      <c r="E146" s="180">
        <v>2084</v>
      </c>
      <c r="F146" s="180">
        <f t="shared" si="15"/>
        <v>2122</v>
      </c>
      <c r="G146" s="180">
        <f t="shared" si="16"/>
        <v>29309392.265193369</v>
      </c>
      <c r="H146" s="188">
        <v>29.309000000000001</v>
      </c>
      <c r="I146" s="19"/>
      <c r="K146" s="19"/>
      <c r="L146" s="96"/>
      <c r="M146" s="24"/>
      <c r="N146" s="189"/>
    </row>
    <row r="147" spans="1:14" ht="15.75" thickBot="1" x14ac:dyDescent="0.3">
      <c r="A147" s="187"/>
      <c r="B147" s="24">
        <v>13</v>
      </c>
      <c r="C147" s="24">
        <v>7.2399999999999998E-5</v>
      </c>
      <c r="D147" s="24">
        <v>2084</v>
      </c>
      <c r="E147" s="180">
        <v>0</v>
      </c>
      <c r="F147" s="180">
        <f t="shared" si="15"/>
        <v>2084</v>
      </c>
      <c r="G147" s="180">
        <f t="shared" si="16"/>
        <v>28784530.386740331</v>
      </c>
      <c r="H147" s="188">
        <v>28.785</v>
      </c>
      <c r="I147" s="19"/>
      <c r="K147" s="19"/>
      <c r="L147" s="97"/>
      <c r="M147" s="103"/>
      <c r="N147" s="193"/>
    </row>
    <row r="148" spans="1:14" ht="15.75" thickBot="1" x14ac:dyDescent="0.3">
      <c r="A148" s="191"/>
      <c r="B148" s="103">
        <v>14</v>
      </c>
      <c r="C148" s="103" t="s">
        <v>768</v>
      </c>
      <c r="D148" s="103" t="s">
        <v>768</v>
      </c>
      <c r="E148" s="103" t="s">
        <v>768</v>
      </c>
      <c r="F148" s="103" t="s">
        <v>768</v>
      </c>
      <c r="G148" s="103" t="s">
        <v>768</v>
      </c>
      <c r="H148" s="193" t="s">
        <v>768</v>
      </c>
      <c r="I148" s="20"/>
      <c r="K148" s="19"/>
      <c r="L148" s="19"/>
      <c r="M148" s="56"/>
      <c r="N148" s="19"/>
    </row>
    <row r="149" spans="1:14" ht="15.75" thickBot="1" x14ac:dyDescent="0.3">
      <c r="B149" s="19"/>
      <c r="I149" s="19"/>
      <c r="K149" s="19"/>
      <c r="L149" s="19"/>
      <c r="M149" s="56"/>
      <c r="N149" s="19"/>
    </row>
    <row r="150" spans="1:14" x14ac:dyDescent="0.25">
      <c r="A150" s="184" t="s">
        <v>723</v>
      </c>
      <c r="B150" s="101" t="s">
        <v>42</v>
      </c>
      <c r="C150" s="101" t="s">
        <v>724</v>
      </c>
      <c r="D150" s="101" t="s">
        <v>680</v>
      </c>
      <c r="E150" s="195" t="s">
        <v>681</v>
      </c>
      <c r="F150" s="195" t="s">
        <v>725</v>
      </c>
      <c r="G150" s="101" t="s">
        <v>747</v>
      </c>
      <c r="H150" s="196" t="s">
        <v>748</v>
      </c>
      <c r="I150" s="19"/>
      <c r="K150" s="19"/>
      <c r="L150" s="222" t="s">
        <v>870</v>
      </c>
      <c r="M150" s="223"/>
      <c r="N150" s="224"/>
    </row>
    <row r="151" spans="1:14" x14ac:dyDescent="0.25">
      <c r="A151" s="187"/>
      <c r="B151" s="24" t="s">
        <v>679</v>
      </c>
      <c r="C151" s="24">
        <v>1.2500000000000001E-5</v>
      </c>
      <c r="D151" s="24">
        <v>0</v>
      </c>
      <c r="E151" s="180">
        <v>1344</v>
      </c>
      <c r="F151" s="220">
        <f>E151-D151</f>
        <v>1344</v>
      </c>
      <c r="G151" s="24">
        <f t="shared" ref="G151:G164" si="17">F151/C151</f>
        <v>107520000</v>
      </c>
      <c r="H151" s="188">
        <v>107.52</v>
      </c>
      <c r="I151" s="19"/>
      <c r="K151" s="19"/>
      <c r="L151" s="96">
        <v>0</v>
      </c>
      <c r="M151" s="24">
        <v>1867</v>
      </c>
      <c r="N151" s="189">
        <v>1867</v>
      </c>
    </row>
    <row r="152" spans="1:14" x14ac:dyDescent="0.25">
      <c r="A152" s="187"/>
      <c r="B152" s="24">
        <v>2</v>
      </c>
      <c r="C152" s="24">
        <v>1.2500000000000001E-5</v>
      </c>
      <c r="D152" s="24">
        <v>1344</v>
      </c>
      <c r="E152" s="180">
        <v>1946</v>
      </c>
      <c r="F152" s="208">
        <f t="shared" ref="F152:F164" si="18">E152-D152</f>
        <v>602</v>
      </c>
      <c r="G152" s="24">
        <f t="shared" si="17"/>
        <v>48160000</v>
      </c>
      <c r="H152" s="188">
        <v>48.46</v>
      </c>
      <c r="I152" s="19"/>
      <c r="K152" s="19"/>
      <c r="L152" s="96">
        <v>1867</v>
      </c>
      <c r="M152" s="24">
        <v>3717</v>
      </c>
      <c r="N152" s="189">
        <f>M152-L152</f>
        <v>1850</v>
      </c>
    </row>
    <row r="153" spans="1:14" x14ac:dyDescent="0.25">
      <c r="A153" s="187"/>
      <c r="B153" s="24">
        <v>3</v>
      </c>
      <c r="C153" s="24">
        <v>1.2500000000000001E-5</v>
      </c>
      <c r="D153" s="24">
        <v>1946</v>
      </c>
      <c r="E153" s="180">
        <v>3709</v>
      </c>
      <c r="F153" s="180">
        <f t="shared" si="18"/>
        <v>1763</v>
      </c>
      <c r="G153" s="24">
        <f t="shared" si="17"/>
        <v>141040000</v>
      </c>
      <c r="H153" s="188">
        <v>141.04</v>
      </c>
      <c r="I153" s="19"/>
      <c r="K153" s="19"/>
      <c r="L153" s="96"/>
      <c r="M153" s="24"/>
      <c r="N153" s="189"/>
    </row>
    <row r="154" spans="1:14" x14ac:dyDescent="0.25">
      <c r="A154" s="187"/>
      <c r="B154" s="24">
        <v>4</v>
      </c>
      <c r="C154" s="24">
        <v>1.2500000000000001E-5</v>
      </c>
      <c r="D154" s="24">
        <v>3709</v>
      </c>
      <c r="E154" s="180">
        <v>5707</v>
      </c>
      <c r="F154" s="180">
        <f t="shared" si="18"/>
        <v>1998</v>
      </c>
      <c r="G154" s="24">
        <f t="shared" si="17"/>
        <v>159840000</v>
      </c>
      <c r="H154" s="188">
        <v>159.84</v>
      </c>
      <c r="I154" s="19"/>
      <c r="K154" s="19"/>
      <c r="L154" s="96"/>
      <c r="M154" s="24" t="s">
        <v>794</v>
      </c>
      <c r="N154" s="189"/>
    </row>
    <row r="155" spans="1:14" x14ac:dyDescent="0.25">
      <c r="A155" s="187" t="s">
        <v>739</v>
      </c>
      <c r="B155" s="24">
        <v>5</v>
      </c>
      <c r="C155" s="24">
        <v>1.2500000000000001E-5</v>
      </c>
      <c r="D155" s="24">
        <v>5707</v>
      </c>
      <c r="E155" s="180">
        <v>7590</v>
      </c>
      <c r="F155" s="180">
        <f t="shared" si="18"/>
        <v>1883</v>
      </c>
      <c r="G155" s="24">
        <f t="shared" si="17"/>
        <v>150640000</v>
      </c>
      <c r="H155" s="188">
        <v>150.63999999999999</v>
      </c>
      <c r="I155" s="19"/>
      <c r="K155" s="19"/>
      <c r="L155" s="96"/>
      <c r="M155" s="24" t="s">
        <v>795</v>
      </c>
      <c r="N155" s="189"/>
    </row>
    <row r="156" spans="1:14" x14ac:dyDescent="0.25">
      <c r="A156" s="190" t="s">
        <v>252</v>
      </c>
      <c r="B156" s="24">
        <v>6</v>
      </c>
      <c r="C156" s="24">
        <v>1.2500000000000001E-5</v>
      </c>
      <c r="D156" s="24">
        <v>7590</v>
      </c>
      <c r="E156" s="180">
        <v>9710</v>
      </c>
      <c r="F156" s="180">
        <f t="shared" si="18"/>
        <v>2120</v>
      </c>
      <c r="G156" s="24">
        <f t="shared" si="17"/>
        <v>169600000</v>
      </c>
      <c r="H156" s="188">
        <v>169.6</v>
      </c>
      <c r="I156" s="19"/>
      <c r="J156" s="56">
        <v>10</v>
      </c>
      <c r="K156" s="19"/>
      <c r="L156" s="96"/>
      <c r="M156" s="24"/>
      <c r="N156" s="189"/>
    </row>
    <row r="157" spans="1:14" x14ac:dyDescent="0.25">
      <c r="A157" s="218" t="s">
        <v>793</v>
      </c>
      <c r="B157" s="24">
        <v>7</v>
      </c>
      <c r="C157" s="24">
        <v>1.2500000000000001E-5</v>
      </c>
      <c r="D157" s="24">
        <v>9710</v>
      </c>
      <c r="E157" s="180">
        <v>11930</v>
      </c>
      <c r="F157" s="180">
        <f t="shared" si="18"/>
        <v>2220</v>
      </c>
      <c r="G157" s="24">
        <f t="shared" si="17"/>
        <v>177600000</v>
      </c>
      <c r="H157" s="188">
        <v>177.6</v>
      </c>
      <c r="I157" s="19"/>
      <c r="K157" s="19"/>
      <c r="L157" s="96"/>
      <c r="M157" s="24"/>
      <c r="N157" s="189"/>
    </row>
    <row r="158" spans="1:14" x14ac:dyDescent="0.25">
      <c r="A158" s="187"/>
      <c r="B158" s="24">
        <v>8</v>
      </c>
      <c r="C158" s="24">
        <v>1.2500000000000001E-5</v>
      </c>
      <c r="D158" s="24">
        <v>11930</v>
      </c>
      <c r="E158" s="180">
        <v>13200</v>
      </c>
      <c r="F158" s="220">
        <f t="shared" si="18"/>
        <v>1270</v>
      </c>
      <c r="G158" s="24">
        <f t="shared" si="17"/>
        <v>101600000</v>
      </c>
      <c r="H158" s="188">
        <v>101.6</v>
      </c>
      <c r="I158" s="19"/>
      <c r="K158" s="19"/>
      <c r="L158" s="96">
        <v>12250</v>
      </c>
      <c r="M158" s="24">
        <v>14160</v>
      </c>
      <c r="N158" s="189">
        <f>M158-L158</f>
        <v>1910</v>
      </c>
    </row>
    <row r="159" spans="1:14" x14ac:dyDescent="0.25">
      <c r="A159" s="187"/>
      <c r="B159" s="24">
        <v>9</v>
      </c>
      <c r="C159" s="24">
        <v>1.2500000000000001E-5</v>
      </c>
      <c r="D159" s="24">
        <v>13200</v>
      </c>
      <c r="E159" s="180">
        <v>15530</v>
      </c>
      <c r="F159" s="180">
        <f t="shared" si="18"/>
        <v>2330</v>
      </c>
      <c r="G159" s="24">
        <f t="shared" si="17"/>
        <v>186400000</v>
      </c>
      <c r="H159" s="188">
        <v>186.4</v>
      </c>
      <c r="I159" s="19"/>
      <c r="K159" s="19"/>
      <c r="L159" s="96"/>
      <c r="M159" s="24"/>
      <c r="N159" s="189"/>
    </row>
    <row r="160" spans="1:14" x14ac:dyDescent="0.25">
      <c r="A160" s="187"/>
      <c r="B160" s="24">
        <v>10</v>
      </c>
      <c r="C160" s="24">
        <v>1.2500000000000001E-5</v>
      </c>
      <c r="D160" s="24">
        <v>15530</v>
      </c>
      <c r="E160" s="180">
        <v>17820</v>
      </c>
      <c r="F160" s="180">
        <f t="shared" si="18"/>
        <v>2290</v>
      </c>
      <c r="G160" s="24">
        <f t="shared" si="17"/>
        <v>183200000</v>
      </c>
      <c r="H160" s="188">
        <v>183.2</v>
      </c>
      <c r="I160" s="19"/>
      <c r="K160" s="19"/>
      <c r="L160" s="96"/>
      <c r="M160" s="24"/>
      <c r="N160" s="189"/>
    </row>
    <row r="161" spans="1:14" x14ac:dyDescent="0.25">
      <c r="A161" s="187"/>
      <c r="B161" s="24">
        <v>11</v>
      </c>
      <c r="C161" s="24">
        <v>1.2500000000000001E-5</v>
      </c>
      <c r="D161" s="24">
        <v>17820</v>
      </c>
      <c r="E161" s="180">
        <v>18720</v>
      </c>
      <c r="F161" s="208">
        <f t="shared" si="18"/>
        <v>900</v>
      </c>
      <c r="G161" s="24">
        <f t="shared" si="17"/>
        <v>72000000</v>
      </c>
      <c r="H161" s="188">
        <v>72</v>
      </c>
      <c r="I161" s="19"/>
      <c r="K161" s="19"/>
      <c r="L161" s="96">
        <v>18050</v>
      </c>
      <c r="M161" s="24">
        <v>20120</v>
      </c>
      <c r="N161" s="189">
        <f>M161-L161</f>
        <v>2070</v>
      </c>
    </row>
    <row r="162" spans="1:14" x14ac:dyDescent="0.25">
      <c r="A162" s="187"/>
      <c r="B162" s="24">
        <v>12</v>
      </c>
      <c r="C162" s="24">
        <v>1.2500000000000001E-5</v>
      </c>
      <c r="D162" s="24">
        <v>18720</v>
      </c>
      <c r="E162" s="180">
        <v>21170</v>
      </c>
      <c r="F162" s="180">
        <f t="shared" si="18"/>
        <v>2450</v>
      </c>
      <c r="G162" s="24">
        <f t="shared" si="17"/>
        <v>196000000</v>
      </c>
      <c r="H162" s="188">
        <v>196</v>
      </c>
      <c r="I162" s="19"/>
      <c r="K162" s="19"/>
      <c r="L162" s="96"/>
      <c r="M162" s="24"/>
      <c r="N162" s="189"/>
    </row>
    <row r="163" spans="1:14" ht="15.75" thickBot="1" x14ac:dyDescent="0.3">
      <c r="A163" s="187"/>
      <c r="B163" s="24">
        <v>13</v>
      </c>
      <c r="C163" s="24">
        <v>1.2500000000000001E-5</v>
      </c>
      <c r="D163" s="24">
        <v>21170</v>
      </c>
      <c r="E163" s="180">
        <v>23540</v>
      </c>
      <c r="F163" s="180">
        <f t="shared" si="18"/>
        <v>2370</v>
      </c>
      <c r="G163" s="24">
        <f t="shared" si="17"/>
        <v>189600000</v>
      </c>
      <c r="H163" s="188">
        <v>189.6</v>
      </c>
      <c r="I163" s="19"/>
      <c r="K163" s="19"/>
      <c r="L163" s="97"/>
      <c r="M163" s="103"/>
      <c r="N163" s="193"/>
    </row>
    <row r="164" spans="1:14" ht="15.75" thickBot="1" x14ac:dyDescent="0.3">
      <c r="A164" s="191"/>
      <c r="B164" s="103">
        <v>14</v>
      </c>
      <c r="C164" s="103">
        <v>1.2500000000000001E-5</v>
      </c>
      <c r="D164" s="198">
        <v>23540</v>
      </c>
      <c r="E164" s="199">
        <v>25510</v>
      </c>
      <c r="F164" s="199">
        <f t="shared" si="18"/>
        <v>1970</v>
      </c>
      <c r="G164" s="198">
        <f t="shared" si="17"/>
        <v>157600000</v>
      </c>
      <c r="H164" s="200">
        <v>157.6</v>
      </c>
      <c r="I164" s="19"/>
      <c r="K164" s="19"/>
      <c r="L164" s="19"/>
      <c r="M164" s="56"/>
      <c r="N164" s="19"/>
    </row>
    <row r="165" spans="1:14" ht="15.75" thickBot="1" x14ac:dyDescent="0.3">
      <c r="B165" s="19"/>
      <c r="I165" s="19"/>
      <c r="K165" s="19"/>
      <c r="L165" s="19"/>
      <c r="M165" s="56"/>
      <c r="N165" s="19"/>
    </row>
    <row r="166" spans="1:14" x14ac:dyDescent="0.25">
      <c r="A166" s="184" t="s">
        <v>723</v>
      </c>
      <c r="B166" s="101" t="s">
        <v>42</v>
      </c>
      <c r="C166" s="101" t="s">
        <v>724</v>
      </c>
      <c r="D166" s="101" t="s">
        <v>680</v>
      </c>
      <c r="E166" s="195" t="s">
        <v>681</v>
      </c>
      <c r="F166" s="195" t="s">
        <v>725</v>
      </c>
      <c r="G166" s="101" t="s">
        <v>747</v>
      </c>
      <c r="H166" s="196" t="s">
        <v>748</v>
      </c>
      <c r="I166" s="19"/>
      <c r="K166" s="19"/>
      <c r="L166" s="19"/>
      <c r="M166" s="56"/>
      <c r="N166" s="19"/>
    </row>
    <row r="167" spans="1:14" x14ac:dyDescent="0.25">
      <c r="A167" s="187"/>
      <c r="B167" s="24" t="s">
        <v>679</v>
      </c>
      <c r="C167" s="24">
        <v>2.3600000000000001E-5</v>
      </c>
      <c r="D167" s="24">
        <v>25360</v>
      </c>
      <c r="E167" s="180">
        <v>23350</v>
      </c>
      <c r="F167" s="180">
        <f t="shared" ref="F167:F179" si="19">D167-E167</f>
        <v>2010</v>
      </c>
      <c r="G167" s="24">
        <f t="shared" ref="G167:G179" si="20">F167/C167</f>
        <v>85169491.52542372</v>
      </c>
      <c r="H167" s="188">
        <v>85.168999999999997</v>
      </c>
      <c r="I167" s="19"/>
      <c r="K167" s="19"/>
      <c r="L167" s="19"/>
      <c r="M167" s="56"/>
      <c r="N167" s="19"/>
    </row>
    <row r="168" spans="1:14" x14ac:dyDescent="0.25">
      <c r="A168" s="187"/>
      <c r="B168" s="24">
        <v>2</v>
      </c>
      <c r="C168" s="24">
        <v>2.3600000000000001E-5</v>
      </c>
      <c r="D168" s="24">
        <v>23350</v>
      </c>
      <c r="E168" s="180">
        <v>21350</v>
      </c>
      <c r="F168" s="180">
        <f t="shared" si="19"/>
        <v>2000</v>
      </c>
      <c r="G168" s="24">
        <f t="shared" si="20"/>
        <v>84745762.711864397</v>
      </c>
      <c r="H168" s="188">
        <v>84.745999999999995</v>
      </c>
      <c r="I168" s="19"/>
      <c r="K168" s="19"/>
      <c r="L168" s="19"/>
      <c r="M168" s="56"/>
      <c r="N168" s="19"/>
    </row>
    <row r="169" spans="1:14" x14ac:dyDescent="0.25">
      <c r="A169" s="187"/>
      <c r="B169" s="24">
        <v>3</v>
      </c>
      <c r="C169" s="24">
        <v>2.3600000000000001E-5</v>
      </c>
      <c r="D169" s="24">
        <v>21350</v>
      </c>
      <c r="E169" s="180">
        <v>19370</v>
      </c>
      <c r="F169" s="180">
        <f t="shared" si="19"/>
        <v>1980</v>
      </c>
      <c r="G169" s="24">
        <f t="shared" si="20"/>
        <v>83898305.084745765</v>
      </c>
      <c r="H169" s="188">
        <v>83.897999999999996</v>
      </c>
      <c r="I169" s="19"/>
      <c r="K169" s="19"/>
      <c r="L169" s="19"/>
      <c r="M169" s="56"/>
      <c r="N169" s="19"/>
    </row>
    <row r="170" spans="1:14" x14ac:dyDescent="0.25">
      <c r="A170" s="187"/>
      <c r="B170" s="24">
        <v>4</v>
      </c>
      <c r="C170" s="24">
        <v>2.3600000000000001E-5</v>
      </c>
      <c r="D170" s="24">
        <v>19370</v>
      </c>
      <c r="E170" s="180">
        <v>17360</v>
      </c>
      <c r="F170" s="180">
        <f t="shared" si="19"/>
        <v>2010</v>
      </c>
      <c r="G170" s="24">
        <f t="shared" si="20"/>
        <v>85169491.52542372</v>
      </c>
      <c r="H170" s="188">
        <v>85.168999999999997</v>
      </c>
      <c r="I170" s="19"/>
      <c r="K170" s="19"/>
      <c r="L170" s="19"/>
      <c r="M170" s="56"/>
      <c r="N170" s="19"/>
    </row>
    <row r="171" spans="1:14" x14ac:dyDescent="0.25">
      <c r="A171" s="187" t="s">
        <v>760</v>
      </c>
      <c r="B171" s="24">
        <v>5</v>
      </c>
      <c r="C171" s="24">
        <v>2.3600000000000001E-5</v>
      </c>
      <c r="D171" s="24">
        <v>17360</v>
      </c>
      <c r="E171" s="180">
        <v>15370</v>
      </c>
      <c r="F171" s="180">
        <f t="shared" si="19"/>
        <v>1990</v>
      </c>
      <c r="G171" s="24">
        <f t="shared" si="20"/>
        <v>84322033.898305088</v>
      </c>
      <c r="H171" s="188">
        <v>84.322000000000003</v>
      </c>
      <c r="I171" s="19"/>
      <c r="K171" s="19"/>
      <c r="L171" s="19"/>
      <c r="M171" s="56"/>
      <c r="N171" s="19"/>
    </row>
    <row r="172" spans="1:14" x14ac:dyDescent="0.25">
      <c r="A172" s="190" t="s">
        <v>754</v>
      </c>
      <c r="B172" s="24">
        <v>6</v>
      </c>
      <c r="C172" s="24">
        <v>2.3600000000000001E-5</v>
      </c>
      <c r="D172" s="24">
        <v>15350</v>
      </c>
      <c r="E172" s="180">
        <v>13440</v>
      </c>
      <c r="F172" s="180">
        <f t="shared" si="19"/>
        <v>1910</v>
      </c>
      <c r="G172" s="24">
        <f t="shared" si="20"/>
        <v>80932203.3898305</v>
      </c>
      <c r="H172" s="188">
        <v>80.932000000000002</v>
      </c>
      <c r="I172" s="19"/>
      <c r="J172" s="56">
        <v>11</v>
      </c>
      <c r="K172" s="19"/>
      <c r="L172" s="19"/>
      <c r="M172" s="56"/>
      <c r="N172" s="19"/>
    </row>
    <row r="173" spans="1:14" x14ac:dyDescent="0.25">
      <c r="A173" s="218" t="s">
        <v>796</v>
      </c>
      <c r="B173" s="24">
        <v>7</v>
      </c>
      <c r="C173" s="24">
        <v>2.3600000000000001E-5</v>
      </c>
      <c r="D173" s="24">
        <v>13440</v>
      </c>
      <c r="E173" s="180">
        <v>11460</v>
      </c>
      <c r="F173" s="180">
        <f t="shared" si="19"/>
        <v>1980</v>
      </c>
      <c r="G173" s="24">
        <f t="shared" si="20"/>
        <v>83898305.084745765</v>
      </c>
      <c r="H173" s="188">
        <v>83.897999999999996</v>
      </c>
      <c r="I173" s="19"/>
      <c r="K173" s="19"/>
      <c r="L173" s="19"/>
      <c r="M173" s="56"/>
      <c r="N173" s="19"/>
    </row>
    <row r="174" spans="1:14" x14ac:dyDescent="0.25">
      <c r="A174" s="187"/>
      <c r="B174" s="24">
        <v>8</v>
      </c>
      <c r="C174" s="24">
        <v>2.3600000000000001E-5</v>
      </c>
      <c r="D174" s="24">
        <v>11460</v>
      </c>
      <c r="E174" s="180">
        <v>9600</v>
      </c>
      <c r="F174" s="180">
        <f t="shared" si="19"/>
        <v>1860</v>
      </c>
      <c r="G174" s="24">
        <f t="shared" si="20"/>
        <v>78813559.322033897</v>
      </c>
      <c r="H174" s="188">
        <v>78.813999999999993</v>
      </c>
      <c r="I174" s="19"/>
      <c r="K174" s="19"/>
      <c r="L174" s="19"/>
      <c r="M174" s="56"/>
      <c r="N174" s="19"/>
    </row>
    <row r="175" spans="1:14" x14ac:dyDescent="0.25">
      <c r="A175" s="187"/>
      <c r="B175" s="24">
        <v>9</v>
      </c>
      <c r="C175" s="24">
        <v>2.3600000000000001E-5</v>
      </c>
      <c r="D175" s="24">
        <v>9600</v>
      </c>
      <c r="E175" s="180">
        <v>7880</v>
      </c>
      <c r="F175" s="180">
        <f t="shared" si="19"/>
        <v>1720</v>
      </c>
      <c r="G175" s="24">
        <f t="shared" si="20"/>
        <v>72881355.932203382</v>
      </c>
      <c r="H175" s="188">
        <v>72.881</v>
      </c>
      <c r="I175" s="19"/>
      <c r="K175" s="19"/>
      <c r="L175" s="19"/>
      <c r="M175" s="56"/>
      <c r="N175" s="19"/>
    </row>
    <row r="176" spans="1:14" x14ac:dyDescent="0.25">
      <c r="A176" s="187"/>
      <c r="B176" s="24">
        <v>10</v>
      </c>
      <c r="C176" s="24">
        <v>2.3600000000000001E-5</v>
      </c>
      <c r="D176" s="24">
        <v>7880</v>
      </c>
      <c r="E176" s="180">
        <v>6060</v>
      </c>
      <c r="F176" s="180">
        <f t="shared" si="19"/>
        <v>1820</v>
      </c>
      <c r="G176" s="24">
        <f t="shared" si="20"/>
        <v>77118644.067796603</v>
      </c>
      <c r="H176" s="188">
        <v>77.119</v>
      </c>
      <c r="I176" s="19"/>
      <c r="K176" s="19"/>
      <c r="L176" s="19"/>
      <c r="M176" s="56"/>
      <c r="N176" s="19"/>
    </row>
    <row r="177" spans="1:14" x14ac:dyDescent="0.25">
      <c r="A177" s="187"/>
      <c r="B177" s="24">
        <v>11</v>
      </c>
      <c r="C177" s="24">
        <v>2.3600000000000001E-5</v>
      </c>
      <c r="D177" s="24">
        <v>6060</v>
      </c>
      <c r="E177" s="180">
        <v>4152</v>
      </c>
      <c r="F177" s="180">
        <f t="shared" si="19"/>
        <v>1908</v>
      </c>
      <c r="G177" s="24">
        <f t="shared" si="20"/>
        <v>80847457.627118647</v>
      </c>
      <c r="H177" s="188">
        <v>80.846999999999994</v>
      </c>
      <c r="I177" s="19"/>
      <c r="K177" s="19"/>
      <c r="L177" s="19"/>
      <c r="M177" s="56"/>
      <c r="N177" s="19"/>
    </row>
    <row r="178" spans="1:14" x14ac:dyDescent="0.25">
      <c r="A178" s="187"/>
      <c r="B178" s="24">
        <v>12</v>
      </c>
      <c r="C178" s="24">
        <v>2.3600000000000001E-5</v>
      </c>
      <c r="D178" s="24">
        <v>4152</v>
      </c>
      <c r="E178" s="180">
        <v>2090</v>
      </c>
      <c r="F178" s="180">
        <f t="shared" si="19"/>
        <v>2062</v>
      </c>
      <c r="G178" s="24">
        <f t="shared" si="20"/>
        <v>87372881.355932206</v>
      </c>
      <c r="H178" s="188">
        <v>87.373000000000005</v>
      </c>
      <c r="I178" s="19"/>
      <c r="K178" s="19"/>
      <c r="L178" s="19"/>
      <c r="M178" s="56"/>
      <c r="N178" s="19"/>
    </row>
    <row r="179" spans="1:14" x14ac:dyDescent="0.25">
      <c r="A179" s="187"/>
      <c r="B179" s="24">
        <v>13</v>
      </c>
      <c r="C179" s="24">
        <v>2.3600000000000001E-5</v>
      </c>
      <c r="D179" s="24">
        <v>2090</v>
      </c>
      <c r="E179" s="180">
        <v>0</v>
      </c>
      <c r="F179" s="180">
        <f t="shared" si="19"/>
        <v>2090</v>
      </c>
      <c r="G179" s="24">
        <f t="shared" si="20"/>
        <v>88559322.033898294</v>
      </c>
      <c r="H179" s="188">
        <v>88.558999999999997</v>
      </c>
      <c r="I179" s="19"/>
      <c r="K179" s="19"/>
      <c r="L179" s="19"/>
      <c r="M179" s="56"/>
      <c r="N179" s="19"/>
    </row>
    <row r="180" spans="1:14" ht="15.75" thickBot="1" x14ac:dyDescent="0.3">
      <c r="A180" s="191"/>
      <c r="B180" s="103">
        <v>14</v>
      </c>
      <c r="C180" s="103" t="s">
        <v>768</v>
      </c>
      <c r="D180" s="103" t="s">
        <v>768</v>
      </c>
      <c r="E180" s="103" t="s">
        <v>768</v>
      </c>
      <c r="F180" s="103" t="s">
        <v>768</v>
      </c>
      <c r="G180" s="103" t="s">
        <v>768</v>
      </c>
      <c r="H180" s="193" t="s">
        <v>768</v>
      </c>
      <c r="I180" s="19"/>
      <c r="K180" s="19"/>
      <c r="L180" s="19"/>
      <c r="M180" s="56"/>
      <c r="N180" s="19"/>
    </row>
    <row r="181" spans="1:14" ht="15.75" thickBot="1" x14ac:dyDescent="0.3">
      <c r="B181" s="19"/>
      <c r="I181" s="19"/>
      <c r="K181" s="19"/>
      <c r="L181" s="19"/>
      <c r="M181" s="56"/>
      <c r="N181" s="19"/>
    </row>
    <row r="182" spans="1:14" x14ac:dyDescent="0.25">
      <c r="A182" s="184" t="s">
        <v>723</v>
      </c>
      <c r="B182" s="101" t="s">
        <v>42</v>
      </c>
      <c r="C182" s="101" t="s">
        <v>724</v>
      </c>
      <c r="D182" s="101" t="s">
        <v>680</v>
      </c>
      <c r="E182" s="195" t="s">
        <v>681</v>
      </c>
      <c r="F182" s="195" t="s">
        <v>725</v>
      </c>
      <c r="G182" s="101" t="s">
        <v>747</v>
      </c>
      <c r="H182" s="196" t="s">
        <v>748</v>
      </c>
      <c r="I182" s="19"/>
      <c r="K182" s="19"/>
      <c r="L182" s="222" t="s">
        <v>870</v>
      </c>
      <c r="M182" s="223"/>
      <c r="N182" s="224"/>
    </row>
    <row r="183" spans="1:14" x14ac:dyDescent="0.25">
      <c r="A183" s="187"/>
      <c r="B183" s="24" t="s">
        <v>679</v>
      </c>
      <c r="C183" s="24">
        <v>1.7100000000000001E-4</v>
      </c>
      <c r="D183" s="24">
        <v>25640</v>
      </c>
      <c r="E183" s="180">
        <v>24005</v>
      </c>
      <c r="F183" s="180">
        <f t="shared" ref="F183:F196" si="21">D183-E183</f>
        <v>1635</v>
      </c>
      <c r="G183" s="24">
        <f t="shared" ref="G183:G196" si="22">F183/C183</f>
        <v>9561403.5087719299</v>
      </c>
      <c r="H183" s="188">
        <v>9.5609999999999999</v>
      </c>
      <c r="I183" s="19"/>
      <c r="K183" s="19"/>
      <c r="L183" s="96" t="s">
        <v>773</v>
      </c>
      <c r="M183" s="24" t="s">
        <v>774</v>
      </c>
      <c r="N183" s="204" t="s">
        <v>725</v>
      </c>
    </row>
    <row r="184" spans="1:14" x14ac:dyDescent="0.25">
      <c r="A184" s="187"/>
      <c r="B184" s="24">
        <v>2</v>
      </c>
      <c r="C184" s="24">
        <v>1.7100000000000001E-4</v>
      </c>
      <c r="D184" s="24">
        <v>24005</v>
      </c>
      <c r="E184" s="180">
        <v>23004</v>
      </c>
      <c r="F184" s="208">
        <f t="shared" si="21"/>
        <v>1001</v>
      </c>
      <c r="G184" s="24">
        <f t="shared" si="22"/>
        <v>5853801.1695906427</v>
      </c>
      <c r="H184" s="188">
        <v>5.8540000000000001</v>
      </c>
      <c r="I184" s="19"/>
      <c r="K184" s="19"/>
      <c r="L184" s="96">
        <v>23730</v>
      </c>
      <c r="M184" s="24">
        <v>21870</v>
      </c>
      <c r="N184" s="189">
        <f>L184-M184</f>
        <v>1860</v>
      </c>
    </row>
    <row r="185" spans="1:14" x14ac:dyDescent="0.25">
      <c r="A185" s="187"/>
      <c r="B185" s="24">
        <v>3</v>
      </c>
      <c r="C185" s="24">
        <v>1.7100000000000001E-4</v>
      </c>
      <c r="D185" s="24">
        <v>23004</v>
      </c>
      <c r="E185" s="180">
        <v>20770</v>
      </c>
      <c r="F185" s="180">
        <f t="shared" si="21"/>
        <v>2234</v>
      </c>
      <c r="G185" s="24">
        <f t="shared" si="22"/>
        <v>13064327.485380117</v>
      </c>
      <c r="H185" s="188">
        <v>13.064</v>
      </c>
      <c r="I185" s="19"/>
      <c r="K185" s="19"/>
      <c r="L185" s="96"/>
      <c r="M185" s="24"/>
      <c r="N185" s="189"/>
    </row>
    <row r="186" spans="1:14" x14ac:dyDescent="0.25">
      <c r="A186" s="187"/>
      <c r="B186" s="24">
        <v>4</v>
      </c>
      <c r="C186" s="24">
        <v>1.7100000000000001E-4</v>
      </c>
      <c r="D186" s="24">
        <v>20770</v>
      </c>
      <c r="E186" s="180">
        <v>18790</v>
      </c>
      <c r="F186" s="180">
        <f t="shared" si="21"/>
        <v>1980</v>
      </c>
      <c r="G186" s="24">
        <f t="shared" si="22"/>
        <v>11578947.368421052</v>
      </c>
      <c r="H186" s="188">
        <v>11.579000000000001</v>
      </c>
      <c r="I186" s="19"/>
      <c r="K186" s="19"/>
      <c r="L186" s="96"/>
      <c r="M186" s="24" t="s">
        <v>797</v>
      </c>
      <c r="N186" s="189"/>
    </row>
    <row r="187" spans="1:14" x14ac:dyDescent="0.25">
      <c r="A187" s="187" t="s">
        <v>739</v>
      </c>
      <c r="B187" s="24">
        <v>5</v>
      </c>
      <c r="C187" s="24">
        <v>1.7100000000000001E-4</v>
      </c>
      <c r="D187" s="24">
        <v>18790</v>
      </c>
      <c r="E187" s="180">
        <v>16710</v>
      </c>
      <c r="F187" s="180">
        <f t="shared" si="21"/>
        <v>2080</v>
      </c>
      <c r="G187" s="24">
        <f t="shared" si="22"/>
        <v>12163742.690058479</v>
      </c>
      <c r="H187" s="188">
        <v>12.164</v>
      </c>
      <c r="I187" s="19"/>
      <c r="K187" s="19"/>
      <c r="L187" s="96"/>
      <c r="M187" s="24" t="s">
        <v>798</v>
      </c>
      <c r="N187" s="189"/>
    </row>
    <row r="188" spans="1:14" x14ac:dyDescent="0.25">
      <c r="A188" s="190" t="s">
        <v>249</v>
      </c>
      <c r="B188" s="24">
        <v>6</v>
      </c>
      <c r="C188" s="24">
        <v>1.7100000000000001E-4</v>
      </c>
      <c r="D188" s="24">
        <v>16710</v>
      </c>
      <c r="E188" s="180">
        <v>14410</v>
      </c>
      <c r="F188" s="180">
        <f t="shared" si="21"/>
        <v>2300</v>
      </c>
      <c r="G188" s="24">
        <f t="shared" si="22"/>
        <v>13450292.397660818</v>
      </c>
      <c r="H188" s="188">
        <v>13.45</v>
      </c>
      <c r="I188" s="19"/>
      <c r="J188" s="56">
        <v>12</v>
      </c>
      <c r="K188" s="19"/>
      <c r="L188" s="96"/>
      <c r="M188" s="24"/>
      <c r="N188" s="189"/>
    </row>
    <row r="189" spans="1:14" x14ac:dyDescent="0.25">
      <c r="A189" s="218" t="s">
        <v>817</v>
      </c>
      <c r="B189" s="24">
        <v>7</v>
      </c>
      <c r="C189" s="24">
        <v>1.7100000000000001E-4</v>
      </c>
      <c r="D189" s="24">
        <v>14410</v>
      </c>
      <c r="E189" s="180">
        <v>13420</v>
      </c>
      <c r="F189" s="208">
        <f t="shared" si="21"/>
        <v>990</v>
      </c>
      <c r="G189" s="24">
        <f t="shared" si="22"/>
        <v>5789473.6842105258</v>
      </c>
      <c r="H189" s="188">
        <v>5.7889999999999997</v>
      </c>
      <c r="I189" s="19"/>
      <c r="K189" s="19"/>
      <c r="L189" s="96">
        <v>14460</v>
      </c>
      <c r="M189" s="24">
        <v>12710</v>
      </c>
      <c r="N189" s="189">
        <f>L189-M189</f>
        <v>1750</v>
      </c>
    </row>
    <row r="190" spans="1:14" x14ac:dyDescent="0.25">
      <c r="A190" s="187"/>
      <c r="B190" s="24">
        <v>8</v>
      </c>
      <c r="C190" s="24">
        <v>1.7100000000000001E-4</v>
      </c>
      <c r="D190" s="24">
        <v>13420</v>
      </c>
      <c r="E190" s="180">
        <v>11310</v>
      </c>
      <c r="F190" s="180">
        <f t="shared" si="21"/>
        <v>2110</v>
      </c>
      <c r="G190" s="24">
        <f t="shared" si="22"/>
        <v>12339181.286549706</v>
      </c>
      <c r="H190" s="188">
        <v>12.339</v>
      </c>
      <c r="I190" s="19"/>
      <c r="K190" s="19"/>
      <c r="L190" s="96"/>
      <c r="M190" s="24"/>
      <c r="N190" s="189"/>
    </row>
    <row r="191" spans="1:14" x14ac:dyDescent="0.25">
      <c r="A191" s="187"/>
      <c r="B191" s="24">
        <v>9</v>
      </c>
      <c r="C191" s="24">
        <v>1.7100000000000001E-4</v>
      </c>
      <c r="D191" s="24">
        <v>11310</v>
      </c>
      <c r="E191" s="180">
        <v>9820</v>
      </c>
      <c r="F191" s="180">
        <f t="shared" si="21"/>
        <v>1490</v>
      </c>
      <c r="G191" s="24">
        <f t="shared" si="22"/>
        <v>8713450.2923976611</v>
      </c>
      <c r="H191" s="188">
        <v>8.7129999999999992</v>
      </c>
      <c r="I191" s="19"/>
      <c r="K191" s="19"/>
      <c r="L191" s="96"/>
      <c r="M191" s="24"/>
      <c r="N191" s="189"/>
    </row>
    <row r="192" spans="1:14" x14ac:dyDescent="0.25">
      <c r="A192" s="187"/>
      <c r="B192" s="24">
        <v>10</v>
      </c>
      <c r="C192" s="24">
        <v>1.7100000000000001E-4</v>
      </c>
      <c r="D192" s="24">
        <v>9820</v>
      </c>
      <c r="E192" s="180">
        <v>8080</v>
      </c>
      <c r="F192" s="180">
        <f t="shared" si="21"/>
        <v>1740</v>
      </c>
      <c r="G192" s="24">
        <f t="shared" si="22"/>
        <v>10175438.596491227</v>
      </c>
      <c r="H192" s="188">
        <v>10.175000000000001</v>
      </c>
      <c r="I192" s="19"/>
      <c r="K192" s="19"/>
      <c r="L192" s="96"/>
      <c r="M192" s="24"/>
      <c r="N192" s="189"/>
    </row>
    <row r="193" spans="1:14" x14ac:dyDescent="0.25">
      <c r="A193" s="187"/>
      <c r="B193" s="24">
        <v>11</v>
      </c>
      <c r="C193" s="24">
        <v>1.7100000000000001E-4</v>
      </c>
      <c r="D193" s="24">
        <v>8080</v>
      </c>
      <c r="E193" s="180">
        <v>6560</v>
      </c>
      <c r="F193" s="180">
        <f t="shared" si="21"/>
        <v>1520</v>
      </c>
      <c r="G193" s="24">
        <f t="shared" si="22"/>
        <v>8888888.8888888881</v>
      </c>
      <c r="H193" s="188">
        <v>8.8889999999999993</v>
      </c>
      <c r="I193" s="19"/>
      <c r="K193" s="19"/>
      <c r="L193" s="96"/>
      <c r="M193" s="24"/>
      <c r="N193" s="189"/>
    </row>
    <row r="194" spans="1:14" x14ac:dyDescent="0.25">
      <c r="A194" s="187"/>
      <c r="B194" s="24">
        <v>12</v>
      </c>
      <c r="C194" s="24">
        <v>1.7100000000000001E-4</v>
      </c>
      <c r="D194" s="24">
        <v>6560</v>
      </c>
      <c r="E194" s="180">
        <v>4472</v>
      </c>
      <c r="F194" s="180">
        <f t="shared" si="21"/>
        <v>2088</v>
      </c>
      <c r="G194" s="24">
        <f t="shared" si="22"/>
        <v>12210526.315789472</v>
      </c>
      <c r="H194" s="188">
        <v>12.211</v>
      </c>
      <c r="I194" s="19"/>
      <c r="K194" s="19"/>
      <c r="L194" s="96"/>
      <c r="M194" s="24"/>
      <c r="N194" s="189"/>
    </row>
    <row r="195" spans="1:14" ht="15.75" thickBot="1" x14ac:dyDescent="0.3">
      <c r="A195" s="187"/>
      <c r="B195" s="24">
        <v>13</v>
      </c>
      <c r="C195" s="24">
        <v>1.7100000000000001E-4</v>
      </c>
      <c r="D195" s="24">
        <v>4472</v>
      </c>
      <c r="E195" s="180">
        <v>2517</v>
      </c>
      <c r="F195" s="180">
        <f t="shared" si="21"/>
        <v>1955</v>
      </c>
      <c r="G195" s="24">
        <f t="shared" si="22"/>
        <v>11432748.538011696</v>
      </c>
      <c r="H195" s="188">
        <v>11.433</v>
      </c>
      <c r="I195" s="19"/>
      <c r="K195" s="19"/>
      <c r="L195" s="97"/>
      <c r="M195" s="103"/>
      <c r="N195" s="193"/>
    </row>
    <row r="196" spans="1:14" ht="15.75" thickBot="1" x14ac:dyDescent="0.3">
      <c r="A196" s="191"/>
      <c r="B196" s="103">
        <v>14</v>
      </c>
      <c r="C196" s="103">
        <v>1.7100000000000001E-4</v>
      </c>
      <c r="D196" s="198">
        <v>2517</v>
      </c>
      <c r="E196" s="199">
        <v>0</v>
      </c>
      <c r="F196" s="199">
        <f t="shared" si="21"/>
        <v>2517</v>
      </c>
      <c r="G196" s="198">
        <f t="shared" si="22"/>
        <v>14719298.245614035</v>
      </c>
      <c r="H196" s="200">
        <v>14.718999999999999</v>
      </c>
      <c r="I196" s="19"/>
      <c r="K196" s="19"/>
      <c r="L196" s="19"/>
      <c r="M196" s="56"/>
      <c r="N196" s="19"/>
    </row>
    <row r="197" spans="1:14" ht="15.75" thickBot="1" x14ac:dyDescent="0.3">
      <c r="B197" s="19"/>
      <c r="I197" s="19"/>
      <c r="K197" s="19"/>
      <c r="L197" s="19"/>
      <c r="M197" s="56"/>
      <c r="N197" s="19"/>
    </row>
    <row r="198" spans="1:14" ht="15.75" thickBot="1" x14ac:dyDescent="0.3">
      <c r="A198" s="184" t="s">
        <v>723</v>
      </c>
      <c r="B198" s="101" t="s">
        <v>42</v>
      </c>
      <c r="C198" s="101" t="s">
        <v>724</v>
      </c>
      <c r="D198" s="101" t="s">
        <v>680</v>
      </c>
      <c r="E198" s="195" t="s">
        <v>681</v>
      </c>
      <c r="F198" s="195" t="s">
        <v>725</v>
      </c>
      <c r="G198" s="101" t="s">
        <v>747</v>
      </c>
      <c r="H198" s="196" t="s">
        <v>748</v>
      </c>
      <c r="I198" s="19"/>
      <c r="K198" s="19"/>
      <c r="L198" s="222" t="s">
        <v>870</v>
      </c>
      <c r="M198" s="223"/>
      <c r="N198" s="224"/>
    </row>
    <row r="199" spans="1:14" x14ac:dyDescent="0.25">
      <c r="A199" s="187"/>
      <c r="B199" s="24" t="s">
        <v>679</v>
      </c>
      <c r="C199" s="24">
        <v>2.02E-5</v>
      </c>
      <c r="D199" s="24">
        <v>25300</v>
      </c>
      <c r="E199" s="180">
        <v>23120</v>
      </c>
      <c r="F199" s="180">
        <f>D199-E199</f>
        <v>2180</v>
      </c>
      <c r="G199" s="24">
        <f t="shared" ref="G199:G212" si="23">F199/C199</f>
        <v>107920792.07920793</v>
      </c>
      <c r="H199" s="188">
        <v>107.92100000000001</v>
      </c>
      <c r="I199" s="19"/>
      <c r="K199" s="19"/>
      <c r="L199" s="95"/>
      <c r="M199" s="101"/>
      <c r="N199" s="196"/>
    </row>
    <row r="200" spans="1:14" x14ac:dyDescent="0.25">
      <c r="A200" s="187"/>
      <c r="B200" s="24">
        <v>2</v>
      </c>
      <c r="C200" s="24">
        <v>2.02E-5</v>
      </c>
      <c r="D200" s="24">
        <v>23120</v>
      </c>
      <c r="E200" s="180">
        <v>20770</v>
      </c>
      <c r="F200" s="179">
        <f t="shared" ref="F200:F212" si="24">D200-E200</f>
        <v>2350</v>
      </c>
      <c r="G200" s="24">
        <f t="shared" si="23"/>
        <v>116336633.66336633</v>
      </c>
      <c r="H200" s="188">
        <v>116.337</v>
      </c>
      <c r="I200" s="19"/>
      <c r="K200" s="19"/>
      <c r="L200" s="96"/>
      <c r="M200" s="24" t="s">
        <v>813</v>
      </c>
      <c r="N200" s="189"/>
    </row>
    <row r="201" spans="1:14" x14ac:dyDescent="0.25">
      <c r="A201" s="187"/>
      <c r="B201" s="24">
        <v>3</v>
      </c>
      <c r="C201" s="24">
        <v>2.02E-5</v>
      </c>
      <c r="D201" s="24">
        <v>20770</v>
      </c>
      <c r="E201" s="180">
        <v>18630</v>
      </c>
      <c r="F201" s="180">
        <f t="shared" si="24"/>
        <v>2140</v>
      </c>
      <c r="G201" s="24">
        <f t="shared" si="23"/>
        <v>105940594.05940594</v>
      </c>
      <c r="H201" s="188">
        <v>105.941</v>
      </c>
      <c r="I201" s="19"/>
      <c r="K201" s="19"/>
      <c r="L201" s="96"/>
      <c r="M201" s="24" t="s">
        <v>814</v>
      </c>
      <c r="N201" s="189"/>
    </row>
    <row r="202" spans="1:14" x14ac:dyDescent="0.25">
      <c r="A202" s="187"/>
      <c r="B202" s="24">
        <v>4</v>
      </c>
      <c r="C202" s="24">
        <v>2.02E-5</v>
      </c>
      <c r="D202" s="24">
        <v>18630</v>
      </c>
      <c r="E202" s="180">
        <v>16490</v>
      </c>
      <c r="F202" s="180">
        <f t="shared" si="24"/>
        <v>2140</v>
      </c>
      <c r="G202" s="24">
        <f t="shared" si="23"/>
        <v>105940594.05940594</v>
      </c>
      <c r="H202" s="188">
        <v>105.941</v>
      </c>
      <c r="I202" s="19"/>
      <c r="K202" s="19"/>
      <c r="L202" s="96" t="s">
        <v>773</v>
      </c>
      <c r="M202" s="24" t="s">
        <v>774</v>
      </c>
      <c r="N202" s="204" t="s">
        <v>725</v>
      </c>
    </row>
    <row r="203" spans="1:14" x14ac:dyDescent="0.25">
      <c r="A203" s="187" t="s">
        <v>739</v>
      </c>
      <c r="B203" s="24">
        <v>5</v>
      </c>
      <c r="C203" s="24">
        <v>2.02E-5</v>
      </c>
      <c r="D203" s="24">
        <v>16490</v>
      </c>
      <c r="E203" s="180">
        <v>15220</v>
      </c>
      <c r="F203" s="180">
        <f t="shared" si="24"/>
        <v>1270</v>
      </c>
      <c r="G203" s="24">
        <f t="shared" si="23"/>
        <v>62871287.12871287</v>
      </c>
      <c r="H203" s="188">
        <v>62.871000000000002</v>
      </c>
      <c r="I203" s="19"/>
      <c r="K203" s="19"/>
      <c r="L203" s="96">
        <v>17170</v>
      </c>
      <c r="M203" s="24">
        <v>15160</v>
      </c>
      <c r="N203" s="189">
        <v>2010</v>
      </c>
    </row>
    <row r="204" spans="1:14" x14ac:dyDescent="0.25">
      <c r="A204" s="190" t="s">
        <v>257</v>
      </c>
      <c r="B204" s="24">
        <v>6</v>
      </c>
      <c r="C204" s="24">
        <v>2.02E-5</v>
      </c>
      <c r="D204" s="24">
        <v>15220</v>
      </c>
      <c r="E204" s="180">
        <v>14130</v>
      </c>
      <c r="F204" s="180">
        <f t="shared" si="24"/>
        <v>1090</v>
      </c>
      <c r="G204" s="24">
        <f t="shared" si="23"/>
        <v>53960396.039603963</v>
      </c>
      <c r="H204" s="188">
        <v>53.96</v>
      </c>
      <c r="I204" s="19"/>
      <c r="K204" s="19"/>
      <c r="L204" s="96">
        <v>15160</v>
      </c>
      <c r="M204" s="24">
        <v>13380</v>
      </c>
      <c r="N204" s="189">
        <v>1780</v>
      </c>
    </row>
    <row r="205" spans="1:14" x14ac:dyDescent="0.25">
      <c r="A205" s="218" t="s">
        <v>807</v>
      </c>
      <c r="B205" s="24">
        <v>7</v>
      </c>
      <c r="C205" s="24">
        <v>2.02E-5</v>
      </c>
      <c r="D205" s="24">
        <v>14130</v>
      </c>
      <c r="E205" s="180">
        <v>11970</v>
      </c>
      <c r="F205" s="179">
        <f t="shared" si="24"/>
        <v>2160</v>
      </c>
      <c r="G205" s="24">
        <f t="shared" si="23"/>
        <v>106930693.06930692</v>
      </c>
      <c r="H205" s="188">
        <v>106.931</v>
      </c>
      <c r="I205" s="19"/>
      <c r="J205" s="56">
        <v>13</v>
      </c>
      <c r="K205" s="19"/>
      <c r="L205" s="96"/>
      <c r="M205" s="24"/>
      <c r="N205" s="189"/>
    </row>
    <row r="206" spans="1:14" x14ac:dyDescent="0.25">
      <c r="A206" s="187"/>
      <c r="B206" s="24">
        <v>8</v>
      </c>
      <c r="C206" s="24">
        <v>2.02E-5</v>
      </c>
      <c r="D206" s="24">
        <v>11970</v>
      </c>
      <c r="E206" s="180">
        <v>9960</v>
      </c>
      <c r="F206" s="180">
        <f t="shared" si="24"/>
        <v>2010</v>
      </c>
      <c r="G206" s="24">
        <f t="shared" si="23"/>
        <v>99504950.495049506</v>
      </c>
      <c r="H206" s="188">
        <v>99.504999999999995</v>
      </c>
      <c r="I206" s="19"/>
      <c r="K206" s="19"/>
      <c r="L206" s="96"/>
      <c r="M206" s="24"/>
      <c r="N206" s="189"/>
    </row>
    <row r="207" spans="1:14" x14ac:dyDescent="0.25">
      <c r="A207" s="187"/>
      <c r="B207" s="24">
        <v>9</v>
      </c>
      <c r="C207" s="24">
        <v>2.02E-5</v>
      </c>
      <c r="D207" s="24">
        <v>9960</v>
      </c>
      <c r="E207" s="180">
        <v>7920</v>
      </c>
      <c r="F207" s="180">
        <f t="shared" si="24"/>
        <v>2040</v>
      </c>
      <c r="G207" s="24">
        <f t="shared" si="23"/>
        <v>100990099.00990099</v>
      </c>
      <c r="H207" s="188">
        <v>100.99</v>
      </c>
      <c r="I207" s="19"/>
      <c r="K207" s="19"/>
      <c r="L207" s="96"/>
      <c r="M207" s="24"/>
      <c r="N207" s="189"/>
    </row>
    <row r="208" spans="1:14" x14ac:dyDescent="0.25">
      <c r="A208" s="187"/>
      <c r="B208" s="24">
        <v>10</v>
      </c>
      <c r="C208" s="24">
        <v>2.02E-5</v>
      </c>
      <c r="D208" s="24">
        <v>7920</v>
      </c>
      <c r="E208" s="180">
        <v>6820</v>
      </c>
      <c r="F208" s="180">
        <f t="shared" si="24"/>
        <v>1100</v>
      </c>
      <c r="G208" s="24">
        <f t="shared" si="23"/>
        <v>54455445.544554457</v>
      </c>
      <c r="H208" s="188">
        <v>54.454999999999998</v>
      </c>
      <c r="I208" s="19"/>
      <c r="K208" s="19"/>
      <c r="L208" s="96">
        <v>7840</v>
      </c>
      <c r="M208" s="24">
        <v>6090</v>
      </c>
      <c r="N208" s="189">
        <v>1750</v>
      </c>
    </row>
    <row r="209" spans="1:14" x14ac:dyDescent="0.25">
      <c r="A209" s="187"/>
      <c r="B209" s="24">
        <v>11</v>
      </c>
      <c r="C209" s="24">
        <v>2.02E-5</v>
      </c>
      <c r="D209" s="24">
        <v>6820</v>
      </c>
      <c r="E209" s="180">
        <v>5054</v>
      </c>
      <c r="F209" s="180">
        <f t="shared" si="24"/>
        <v>1766</v>
      </c>
      <c r="G209" s="24">
        <f t="shared" si="23"/>
        <v>87425742.574257433</v>
      </c>
      <c r="H209" s="188">
        <v>87.426000000000002</v>
      </c>
      <c r="I209" s="19"/>
      <c r="K209" s="19"/>
      <c r="L209" s="96"/>
      <c r="M209" s="24"/>
      <c r="N209" s="189"/>
    </row>
    <row r="210" spans="1:14" x14ac:dyDescent="0.25">
      <c r="A210" s="187"/>
      <c r="B210" s="24">
        <v>12</v>
      </c>
      <c r="C210" s="24">
        <v>2.02E-5</v>
      </c>
      <c r="D210" s="24">
        <v>5054</v>
      </c>
      <c r="E210" s="180">
        <v>2921</v>
      </c>
      <c r="F210" s="180">
        <f t="shared" si="24"/>
        <v>2133</v>
      </c>
      <c r="G210" s="24">
        <f t="shared" si="23"/>
        <v>105594059.40594059</v>
      </c>
      <c r="H210" s="188">
        <v>105.59399999999999</v>
      </c>
      <c r="I210" s="19"/>
      <c r="K210" s="19"/>
      <c r="L210" s="96"/>
      <c r="M210" s="24"/>
      <c r="N210" s="189"/>
    </row>
    <row r="211" spans="1:14" x14ac:dyDescent="0.25">
      <c r="A211" s="187"/>
      <c r="B211" s="24">
        <v>13</v>
      </c>
      <c r="C211" s="24">
        <v>2.02E-5</v>
      </c>
      <c r="D211" s="24">
        <v>2921</v>
      </c>
      <c r="E211" s="180">
        <v>1594</v>
      </c>
      <c r="F211" s="180">
        <f t="shared" si="24"/>
        <v>1327</v>
      </c>
      <c r="G211" s="24">
        <f t="shared" si="23"/>
        <v>65693069.306930691</v>
      </c>
      <c r="H211" s="188">
        <v>65.692999999999998</v>
      </c>
      <c r="I211" s="19"/>
      <c r="K211" s="19"/>
      <c r="L211" s="96">
        <v>4462</v>
      </c>
      <c r="M211" s="24">
        <v>2457</v>
      </c>
      <c r="N211" s="189">
        <v>2005</v>
      </c>
    </row>
    <row r="212" spans="1:14" ht="15.75" thickBot="1" x14ac:dyDescent="0.3">
      <c r="A212" s="191"/>
      <c r="B212" s="103">
        <v>14</v>
      </c>
      <c r="C212" s="24">
        <v>2.02E-5</v>
      </c>
      <c r="D212" s="198">
        <v>1594</v>
      </c>
      <c r="E212" s="199">
        <v>0</v>
      </c>
      <c r="F212" s="199">
        <f t="shared" si="24"/>
        <v>1594</v>
      </c>
      <c r="G212" s="198">
        <f t="shared" si="23"/>
        <v>78910891.089108914</v>
      </c>
      <c r="H212" s="200">
        <v>78.911000000000001</v>
      </c>
      <c r="I212" s="19"/>
      <c r="K212" s="19"/>
      <c r="L212" s="225"/>
      <c r="M212" s="198"/>
      <c r="N212" s="226"/>
    </row>
    <row r="213" spans="1:14" ht="15.75" thickBot="1" x14ac:dyDescent="0.3">
      <c r="B213" s="19"/>
      <c r="I213" s="19"/>
      <c r="K213" s="19"/>
      <c r="L213" s="19"/>
      <c r="M213" s="56"/>
      <c r="N213" s="19"/>
    </row>
    <row r="214" spans="1:14" ht="15.75" thickBot="1" x14ac:dyDescent="0.3">
      <c r="A214" s="184" t="s">
        <v>723</v>
      </c>
      <c r="B214" s="101" t="s">
        <v>42</v>
      </c>
      <c r="C214" s="101" t="s">
        <v>724</v>
      </c>
      <c r="D214" s="101" t="s">
        <v>680</v>
      </c>
      <c r="E214" s="195" t="s">
        <v>681</v>
      </c>
      <c r="F214" s="195" t="s">
        <v>725</v>
      </c>
      <c r="G214" s="101" t="s">
        <v>747</v>
      </c>
      <c r="H214" s="196" t="s">
        <v>748</v>
      </c>
      <c r="I214" s="19"/>
      <c r="K214" s="19"/>
      <c r="L214" s="222" t="s">
        <v>870</v>
      </c>
      <c r="M214" s="223"/>
      <c r="N214" s="224"/>
    </row>
    <row r="215" spans="1:14" x14ac:dyDescent="0.25">
      <c r="A215" s="187"/>
      <c r="B215" s="24" t="s">
        <v>679</v>
      </c>
      <c r="C215" s="24">
        <v>5.0599999999999997E-5</v>
      </c>
      <c r="D215" s="24">
        <v>25653</v>
      </c>
      <c r="E215" s="180">
        <v>23550</v>
      </c>
      <c r="F215" s="180">
        <f t="shared" ref="F215:F228" si="25">D215-E215</f>
        <v>2103</v>
      </c>
      <c r="G215" s="24">
        <f t="shared" ref="G215:G228" si="26">F215/C215</f>
        <v>41561264.82213439</v>
      </c>
      <c r="H215" s="188">
        <v>41.561</v>
      </c>
      <c r="I215" s="19"/>
      <c r="K215" s="19"/>
      <c r="L215" s="95"/>
      <c r="M215" s="101"/>
      <c r="N215" s="196"/>
    </row>
    <row r="216" spans="1:14" x14ac:dyDescent="0.25">
      <c r="A216" s="187"/>
      <c r="B216" s="24">
        <v>2</v>
      </c>
      <c r="C216" s="24">
        <v>5.0599999999999997E-5</v>
      </c>
      <c r="D216" s="24">
        <v>23550</v>
      </c>
      <c r="E216" s="180">
        <v>21941</v>
      </c>
      <c r="F216" s="179">
        <f t="shared" si="25"/>
        <v>1609</v>
      </c>
      <c r="G216" s="24">
        <f t="shared" si="26"/>
        <v>31798418.972332019</v>
      </c>
      <c r="H216" s="188">
        <v>31.797999999999998</v>
      </c>
      <c r="I216" s="19"/>
      <c r="K216" s="19"/>
      <c r="L216" s="96"/>
      <c r="M216" s="24" t="s">
        <v>815</v>
      </c>
      <c r="N216" s="189"/>
    </row>
    <row r="217" spans="1:14" x14ac:dyDescent="0.25">
      <c r="A217" s="187"/>
      <c r="B217" s="24">
        <v>3</v>
      </c>
      <c r="C217" s="24">
        <v>5.0599999999999997E-5</v>
      </c>
      <c r="D217" s="24">
        <v>21941</v>
      </c>
      <c r="E217" s="180">
        <v>19974</v>
      </c>
      <c r="F217" s="180">
        <f t="shared" si="25"/>
        <v>1967</v>
      </c>
      <c r="G217" s="24">
        <f t="shared" si="26"/>
        <v>38873517.786561266</v>
      </c>
      <c r="H217" s="188">
        <v>38.874000000000002</v>
      </c>
      <c r="I217" s="19"/>
      <c r="K217" s="19"/>
      <c r="L217" s="96"/>
      <c r="M217" s="24" t="s">
        <v>816</v>
      </c>
      <c r="N217" s="189"/>
    </row>
    <row r="218" spans="1:14" x14ac:dyDescent="0.25">
      <c r="A218" s="187"/>
      <c r="B218" s="24">
        <v>4</v>
      </c>
      <c r="C218" s="24">
        <v>5.0599999999999997E-5</v>
      </c>
      <c r="D218" s="24">
        <v>19974</v>
      </c>
      <c r="E218" s="180">
        <v>17873</v>
      </c>
      <c r="F218" s="180">
        <f t="shared" si="25"/>
        <v>2101</v>
      </c>
      <c r="G218" s="24">
        <f t="shared" si="26"/>
        <v>41521739.130434789</v>
      </c>
      <c r="H218" s="188">
        <v>41.521999999999998</v>
      </c>
      <c r="I218" s="19"/>
      <c r="K218" s="19"/>
      <c r="L218" s="96" t="s">
        <v>773</v>
      </c>
      <c r="M218" s="24" t="s">
        <v>774</v>
      </c>
      <c r="N218" s="204" t="s">
        <v>725</v>
      </c>
    </row>
    <row r="219" spans="1:14" x14ac:dyDescent="0.25">
      <c r="A219" s="187" t="s">
        <v>739</v>
      </c>
      <c r="B219" s="24">
        <v>5</v>
      </c>
      <c r="C219" s="24">
        <v>5.0599999999999997E-5</v>
      </c>
      <c r="D219" s="24">
        <v>17873</v>
      </c>
      <c r="E219" s="180">
        <v>16321</v>
      </c>
      <c r="F219" s="180">
        <f t="shared" si="25"/>
        <v>1552</v>
      </c>
      <c r="G219" s="24">
        <f t="shared" si="26"/>
        <v>30671936.758893281</v>
      </c>
      <c r="H219" s="188">
        <v>30.672000000000001</v>
      </c>
      <c r="I219" s="19"/>
      <c r="K219" s="19"/>
      <c r="L219" s="96"/>
      <c r="M219" s="24"/>
      <c r="N219" s="189"/>
    </row>
    <row r="220" spans="1:14" x14ac:dyDescent="0.25">
      <c r="A220" s="190" t="s">
        <v>259</v>
      </c>
      <c r="B220" s="24">
        <v>6</v>
      </c>
      <c r="C220" s="24">
        <v>5.0599999999999997E-5</v>
      </c>
      <c r="D220" s="24">
        <v>16231</v>
      </c>
      <c r="E220" s="180">
        <v>14439</v>
      </c>
      <c r="F220" s="180">
        <f t="shared" si="25"/>
        <v>1792</v>
      </c>
      <c r="G220" s="24">
        <f t="shared" si="26"/>
        <v>35415019.762845851</v>
      </c>
      <c r="H220" s="188">
        <v>35.613</v>
      </c>
      <c r="I220" s="19"/>
      <c r="J220" s="56">
        <v>14</v>
      </c>
      <c r="K220" s="19"/>
      <c r="L220" s="96"/>
      <c r="M220" s="24"/>
      <c r="N220" s="189"/>
    </row>
    <row r="221" spans="1:14" x14ac:dyDescent="0.25">
      <c r="A221" s="218" t="s">
        <v>874</v>
      </c>
      <c r="B221" s="24">
        <v>7</v>
      </c>
      <c r="C221" s="24">
        <v>5.0599999999999997E-5</v>
      </c>
      <c r="D221" s="24">
        <v>14439</v>
      </c>
      <c r="E221" s="180">
        <v>12374</v>
      </c>
      <c r="F221" s="179">
        <f t="shared" si="25"/>
        <v>2065</v>
      </c>
      <c r="G221" s="24">
        <f t="shared" si="26"/>
        <v>40810276.679841898</v>
      </c>
      <c r="H221" s="188">
        <v>40.81</v>
      </c>
      <c r="I221" s="19"/>
      <c r="K221" s="19"/>
      <c r="L221" s="96"/>
      <c r="M221" s="24"/>
      <c r="N221" s="189"/>
    </row>
    <row r="222" spans="1:14" x14ac:dyDescent="0.25">
      <c r="A222" s="187"/>
      <c r="B222" s="24">
        <v>8</v>
      </c>
      <c r="C222" s="24">
        <v>5.0599999999999997E-5</v>
      </c>
      <c r="D222" s="24">
        <v>12374</v>
      </c>
      <c r="E222" s="180">
        <v>10832</v>
      </c>
      <c r="F222" s="180">
        <f t="shared" si="25"/>
        <v>1542</v>
      </c>
      <c r="G222" s="24">
        <f t="shared" si="26"/>
        <v>30474308.300395258</v>
      </c>
      <c r="H222" s="188">
        <v>39.368000000000002</v>
      </c>
      <c r="I222" s="19"/>
      <c r="K222" s="19"/>
      <c r="L222" s="96"/>
      <c r="M222" s="24"/>
      <c r="N222" s="189"/>
    </row>
    <row r="223" spans="1:14" x14ac:dyDescent="0.25">
      <c r="A223" s="187"/>
      <c r="B223" s="24">
        <v>9</v>
      </c>
      <c r="C223" s="24">
        <v>5.0599999999999997E-5</v>
      </c>
      <c r="D223" s="24">
        <v>10832</v>
      </c>
      <c r="E223" s="180">
        <v>8527</v>
      </c>
      <c r="F223" s="180">
        <f t="shared" si="25"/>
        <v>2305</v>
      </c>
      <c r="G223" s="24">
        <f t="shared" si="26"/>
        <v>45553359.683794469</v>
      </c>
      <c r="H223" s="188">
        <v>45.552999999999997</v>
      </c>
      <c r="I223" s="19"/>
      <c r="K223" s="19"/>
      <c r="L223" s="96"/>
      <c r="M223" s="24"/>
      <c r="N223" s="189"/>
    </row>
    <row r="224" spans="1:14" x14ac:dyDescent="0.25">
      <c r="A224" s="187"/>
      <c r="B224" s="24">
        <v>10</v>
      </c>
      <c r="C224" s="24">
        <v>5.0599999999999997E-5</v>
      </c>
      <c r="D224" s="24">
        <v>8527</v>
      </c>
      <c r="E224" s="180">
        <v>6803</v>
      </c>
      <c r="F224" s="180">
        <f t="shared" si="25"/>
        <v>1724</v>
      </c>
      <c r="G224" s="24">
        <f t="shared" si="26"/>
        <v>34071146.245059289</v>
      </c>
      <c r="H224" s="188">
        <v>34.070999999999998</v>
      </c>
      <c r="I224" s="19"/>
      <c r="K224" s="19"/>
      <c r="L224" s="96"/>
      <c r="M224" s="24"/>
      <c r="N224" s="189"/>
    </row>
    <row r="225" spans="1:14" x14ac:dyDescent="0.25">
      <c r="A225" s="187"/>
      <c r="B225" s="24">
        <v>11</v>
      </c>
      <c r="C225" s="24">
        <v>5.0599999999999997E-5</v>
      </c>
      <c r="D225" s="24">
        <v>6803</v>
      </c>
      <c r="E225" s="180">
        <v>4782</v>
      </c>
      <c r="F225" s="180">
        <f t="shared" si="25"/>
        <v>2021</v>
      </c>
      <c r="G225" s="24">
        <f t="shared" si="26"/>
        <v>39940711.462450594</v>
      </c>
      <c r="H225" s="188">
        <v>39.941000000000003</v>
      </c>
      <c r="I225" s="19"/>
      <c r="K225" s="19"/>
      <c r="L225" s="96"/>
      <c r="M225" s="24"/>
      <c r="N225" s="189"/>
    </row>
    <row r="226" spans="1:14" x14ac:dyDescent="0.25">
      <c r="A226" s="187"/>
      <c r="B226" s="24">
        <v>12</v>
      </c>
      <c r="C226" s="24">
        <v>5.0599999999999997E-5</v>
      </c>
      <c r="D226" s="24">
        <v>4782</v>
      </c>
      <c r="E226" s="180">
        <v>3545</v>
      </c>
      <c r="F226" s="180">
        <f t="shared" si="25"/>
        <v>1237</v>
      </c>
      <c r="G226" s="24">
        <f t="shared" si="26"/>
        <v>24446640.316205535</v>
      </c>
      <c r="H226" s="188">
        <v>24.446999999999999</v>
      </c>
      <c r="I226" s="19"/>
      <c r="K226" s="19"/>
      <c r="L226" s="96">
        <v>5740</v>
      </c>
      <c r="M226" s="24">
        <v>4020</v>
      </c>
      <c r="N226" s="189">
        <v>1720</v>
      </c>
    </row>
    <row r="227" spans="1:14" x14ac:dyDescent="0.25">
      <c r="A227" s="187"/>
      <c r="B227" s="24">
        <v>13</v>
      </c>
      <c r="C227" s="24">
        <v>5.0599999999999997E-5</v>
      </c>
      <c r="D227" s="24">
        <v>3545</v>
      </c>
      <c r="E227" s="180">
        <v>2246</v>
      </c>
      <c r="F227" s="180">
        <f t="shared" si="25"/>
        <v>1299</v>
      </c>
      <c r="G227" s="24">
        <f t="shared" si="26"/>
        <v>25671936.758893281</v>
      </c>
      <c r="H227" s="188">
        <v>25.672000000000001</v>
      </c>
      <c r="I227" s="19"/>
      <c r="K227" s="19"/>
      <c r="L227" s="96">
        <v>4020</v>
      </c>
      <c r="M227" s="24">
        <v>2216</v>
      </c>
      <c r="N227" s="189">
        <v>1804</v>
      </c>
    </row>
    <row r="228" spans="1:14" ht="15.75" thickBot="1" x14ac:dyDescent="0.3">
      <c r="A228" s="191"/>
      <c r="B228" s="103">
        <v>14</v>
      </c>
      <c r="C228" s="24">
        <v>5.0599999999999997E-5</v>
      </c>
      <c r="D228" s="198">
        <v>2246</v>
      </c>
      <c r="E228" s="199">
        <v>0</v>
      </c>
      <c r="F228" s="199">
        <f t="shared" si="25"/>
        <v>2246</v>
      </c>
      <c r="G228" s="198">
        <f t="shared" si="26"/>
        <v>44387351.778656133</v>
      </c>
      <c r="H228" s="200">
        <v>44.387</v>
      </c>
      <c r="I228" s="19"/>
      <c r="K228" s="19"/>
      <c r="L228" s="225"/>
      <c r="M228" s="198"/>
      <c r="N228" s="226"/>
    </row>
    <row r="229" spans="1:14" ht="15.75" thickBot="1" x14ac:dyDescent="0.3">
      <c r="B229" s="19"/>
      <c r="I229" s="19"/>
      <c r="K229" s="19"/>
      <c r="L229" s="19"/>
      <c r="M229" s="56"/>
      <c r="N229" s="19"/>
    </row>
    <row r="230" spans="1:14" x14ac:dyDescent="0.25">
      <c r="A230" s="184" t="s">
        <v>723</v>
      </c>
      <c r="B230" s="101" t="s">
        <v>42</v>
      </c>
      <c r="C230" s="101" t="s">
        <v>724</v>
      </c>
      <c r="D230" s="101" t="s">
        <v>680</v>
      </c>
      <c r="E230" s="195" t="s">
        <v>681</v>
      </c>
      <c r="F230" s="195" t="s">
        <v>725</v>
      </c>
      <c r="G230" s="101" t="s">
        <v>747</v>
      </c>
      <c r="H230" s="196" t="s">
        <v>748</v>
      </c>
      <c r="I230" s="19"/>
      <c r="K230" s="19"/>
      <c r="L230" s="222" t="s">
        <v>870</v>
      </c>
      <c r="M230" s="223"/>
      <c r="N230" s="224"/>
    </row>
    <row r="231" spans="1:14" x14ac:dyDescent="0.25">
      <c r="A231" s="187"/>
      <c r="B231" s="24" t="s">
        <v>679</v>
      </c>
      <c r="C231" s="24">
        <v>3.7800000000000003E-4</v>
      </c>
      <c r="D231" s="24">
        <v>25560</v>
      </c>
      <c r="E231" s="180">
        <v>23210</v>
      </c>
      <c r="F231" s="180">
        <f t="shared" ref="F231:F241" si="27">D231-E231</f>
        <v>2350</v>
      </c>
      <c r="G231" s="24">
        <f t="shared" ref="G231:G241" si="28">F231/C231</f>
        <v>6216931.2169312164</v>
      </c>
      <c r="H231" s="188">
        <v>62.168999999999997</v>
      </c>
      <c r="I231" s="19"/>
      <c r="K231" s="19"/>
      <c r="L231" s="96" t="s">
        <v>773</v>
      </c>
      <c r="M231" s="24" t="s">
        <v>774</v>
      </c>
      <c r="N231" s="204" t="s">
        <v>725</v>
      </c>
    </row>
    <row r="232" spans="1:14" x14ac:dyDescent="0.25">
      <c r="A232" s="187"/>
      <c r="B232" s="24">
        <v>2</v>
      </c>
      <c r="C232" s="24">
        <v>3.7800000000000003E-4</v>
      </c>
      <c r="D232" s="24">
        <v>23210</v>
      </c>
      <c r="E232" s="180">
        <v>20770</v>
      </c>
      <c r="F232" s="179">
        <f t="shared" si="27"/>
        <v>2440</v>
      </c>
      <c r="G232" s="24">
        <f t="shared" si="28"/>
        <v>6455026.4550264543</v>
      </c>
      <c r="H232" s="188">
        <v>64.55</v>
      </c>
      <c r="I232" s="19"/>
      <c r="K232" s="19"/>
      <c r="L232" s="96"/>
      <c r="M232" s="24"/>
      <c r="N232" s="189"/>
    </row>
    <row r="233" spans="1:14" x14ac:dyDescent="0.25">
      <c r="A233" s="187"/>
      <c r="B233" s="24">
        <v>3</v>
      </c>
      <c r="C233" s="24">
        <v>3.7800000000000003E-4</v>
      </c>
      <c r="D233" s="24">
        <v>20770</v>
      </c>
      <c r="E233" s="180">
        <v>20710</v>
      </c>
      <c r="F233" s="180">
        <f t="shared" si="27"/>
        <v>60</v>
      </c>
      <c r="G233" s="207" t="s">
        <v>762</v>
      </c>
      <c r="H233" s="209" t="s">
        <v>762</v>
      </c>
      <c r="I233" s="19"/>
      <c r="K233" s="19"/>
      <c r="L233" s="96">
        <v>21690</v>
      </c>
      <c r="M233" s="24">
        <v>19550</v>
      </c>
      <c r="N233" s="189">
        <v>2410</v>
      </c>
    </row>
    <row r="234" spans="1:14" x14ac:dyDescent="0.25">
      <c r="A234" s="187"/>
      <c r="B234" s="24">
        <v>4</v>
      </c>
      <c r="C234" s="24">
        <v>3.7800000000000003E-4</v>
      </c>
      <c r="D234" s="24">
        <v>20710</v>
      </c>
      <c r="E234" s="180">
        <v>18320</v>
      </c>
      <c r="F234" s="180">
        <f t="shared" si="27"/>
        <v>2390</v>
      </c>
      <c r="G234" s="24">
        <f t="shared" si="28"/>
        <v>6322751.3227513228</v>
      </c>
      <c r="H234" s="188">
        <v>63.228000000000002</v>
      </c>
      <c r="I234" s="19"/>
      <c r="K234" s="19"/>
      <c r="L234" s="96"/>
      <c r="M234" s="24"/>
      <c r="N234" s="204"/>
    </row>
    <row r="235" spans="1:14" x14ac:dyDescent="0.25">
      <c r="A235" s="187" t="s">
        <v>760</v>
      </c>
      <c r="B235" s="24">
        <v>5</v>
      </c>
      <c r="C235" s="24">
        <v>3.7800000000000003E-4</v>
      </c>
      <c r="D235" s="24">
        <v>18320</v>
      </c>
      <c r="E235" s="180">
        <v>15950</v>
      </c>
      <c r="F235" s="180">
        <f t="shared" si="27"/>
        <v>2370</v>
      </c>
      <c r="G235" s="24">
        <f t="shared" si="28"/>
        <v>6269841.2698412696</v>
      </c>
      <c r="H235" s="188">
        <v>62.698</v>
      </c>
      <c r="I235" s="19"/>
      <c r="K235" s="19"/>
      <c r="L235" s="96"/>
      <c r="M235" s="24"/>
      <c r="N235" s="189"/>
    </row>
    <row r="236" spans="1:14" x14ac:dyDescent="0.25">
      <c r="A236" s="190" t="s">
        <v>754</v>
      </c>
      <c r="B236" s="24">
        <v>6</v>
      </c>
      <c r="C236" s="24">
        <v>3.7800000000000003E-4</v>
      </c>
      <c r="D236" s="24">
        <v>15950</v>
      </c>
      <c r="E236" s="180">
        <v>13470</v>
      </c>
      <c r="F236" s="180">
        <f t="shared" si="27"/>
        <v>2480</v>
      </c>
      <c r="G236" s="24">
        <f t="shared" si="28"/>
        <v>6560846.5608465606</v>
      </c>
      <c r="H236" s="188">
        <v>65.608000000000004</v>
      </c>
      <c r="I236" s="19"/>
      <c r="J236" s="56">
        <v>15</v>
      </c>
      <c r="K236" s="19"/>
      <c r="L236" s="96"/>
      <c r="M236" s="24"/>
      <c r="N236" s="189"/>
    </row>
    <row r="237" spans="1:14" x14ac:dyDescent="0.25">
      <c r="A237" s="218" t="s">
        <v>806</v>
      </c>
      <c r="B237" s="24">
        <v>7</v>
      </c>
      <c r="C237" s="24">
        <v>3.7800000000000003E-4</v>
      </c>
      <c r="D237" s="24">
        <v>13470</v>
      </c>
      <c r="E237" s="180">
        <v>11120</v>
      </c>
      <c r="F237" s="179">
        <f t="shared" si="27"/>
        <v>2350</v>
      </c>
      <c r="G237" s="24">
        <f t="shared" si="28"/>
        <v>6216931.2169312164</v>
      </c>
      <c r="H237" s="188">
        <v>62.168999999999997</v>
      </c>
      <c r="I237" s="19"/>
      <c r="K237" s="19"/>
      <c r="L237" s="96"/>
      <c r="M237" s="24" t="s">
        <v>813</v>
      </c>
      <c r="N237" s="189"/>
    </row>
    <row r="238" spans="1:14" x14ac:dyDescent="0.25">
      <c r="A238" s="187"/>
      <c r="B238" s="24">
        <v>8</v>
      </c>
      <c r="C238" s="24">
        <v>3.7800000000000003E-4</v>
      </c>
      <c r="D238" s="24">
        <v>11120</v>
      </c>
      <c r="E238" s="180">
        <v>8590</v>
      </c>
      <c r="F238" s="180">
        <f t="shared" si="27"/>
        <v>2530</v>
      </c>
      <c r="G238" s="24">
        <f t="shared" si="28"/>
        <v>6693121.6931216931</v>
      </c>
      <c r="H238" s="188">
        <v>66.930999999999997</v>
      </c>
      <c r="I238" s="19"/>
      <c r="K238" s="19"/>
      <c r="L238" s="96"/>
      <c r="M238" s="24" t="s">
        <v>814</v>
      </c>
      <c r="N238" s="189"/>
    </row>
    <row r="239" spans="1:14" x14ac:dyDescent="0.25">
      <c r="A239" s="187"/>
      <c r="B239" s="24">
        <v>9</v>
      </c>
      <c r="C239" s="24">
        <v>3.7800000000000003E-4</v>
      </c>
      <c r="D239" s="24">
        <v>8590</v>
      </c>
      <c r="E239" s="180">
        <v>6246</v>
      </c>
      <c r="F239" s="180">
        <f t="shared" si="27"/>
        <v>2344</v>
      </c>
      <c r="G239" s="24">
        <f t="shared" si="28"/>
        <v>6201058.2010582006</v>
      </c>
      <c r="H239" s="188">
        <v>62.011000000000003</v>
      </c>
      <c r="I239" s="19"/>
      <c r="K239" s="19"/>
      <c r="L239" s="96"/>
      <c r="M239" s="24"/>
      <c r="N239" s="189"/>
    </row>
    <row r="240" spans="1:14" x14ac:dyDescent="0.25">
      <c r="A240" s="187"/>
      <c r="B240" s="24">
        <v>10</v>
      </c>
      <c r="C240" s="24">
        <v>3.7800000000000003E-4</v>
      </c>
      <c r="D240" s="24">
        <v>6246</v>
      </c>
      <c r="E240" s="180">
        <v>3851</v>
      </c>
      <c r="F240" s="180">
        <f t="shared" si="27"/>
        <v>2395</v>
      </c>
      <c r="G240" s="24">
        <f t="shared" si="28"/>
        <v>6335978.8359788358</v>
      </c>
      <c r="H240" s="188">
        <v>63.36</v>
      </c>
      <c r="I240" s="19"/>
      <c r="K240" s="19"/>
      <c r="L240" s="96"/>
      <c r="M240" s="24"/>
      <c r="N240" s="189"/>
    </row>
    <row r="241" spans="1:14" x14ac:dyDescent="0.25">
      <c r="A241" s="187"/>
      <c r="B241" s="24">
        <v>11</v>
      </c>
      <c r="C241" s="24">
        <v>3.7800000000000003E-4</v>
      </c>
      <c r="D241" s="24">
        <v>3851</v>
      </c>
      <c r="E241" s="180">
        <v>1407</v>
      </c>
      <c r="F241" s="180">
        <f t="shared" si="27"/>
        <v>2444</v>
      </c>
      <c r="G241" s="24">
        <f t="shared" si="28"/>
        <v>6465608.4656084655</v>
      </c>
      <c r="H241" s="188">
        <v>64.656000000000006</v>
      </c>
      <c r="I241" s="19"/>
      <c r="K241" s="19"/>
      <c r="L241" s="96"/>
      <c r="M241" s="24"/>
      <c r="N241" s="189"/>
    </row>
    <row r="242" spans="1:14" x14ac:dyDescent="0.25">
      <c r="A242" s="187"/>
      <c r="B242" s="24">
        <v>12</v>
      </c>
      <c r="C242" s="24">
        <v>3.7800000000000003E-4</v>
      </c>
      <c r="D242" s="24">
        <v>1407</v>
      </c>
      <c r="E242" s="180">
        <v>0</v>
      </c>
      <c r="F242" s="180" t="s">
        <v>762</v>
      </c>
      <c r="G242" s="208" t="s">
        <v>762</v>
      </c>
      <c r="H242" s="248" t="s">
        <v>762</v>
      </c>
      <c r="I242" s="19"/>
      <c r="K242" s="19"/>
      <c r="L242" s="96">
        <v>3574</v>
      </c>
      <c r="M242" s="24">
        <v>1917</v>
      </c>
      <c r="N242" s="189">
        <v>1657</v>
      </c>
    </row>
    <row r="243" spans="1:14" x14ac:dyDescent="0.25">
      <c r="A243" s="187"/>
      <c r="B243" s="24">
        <v>13</v>
      </c>
      <c r="C243" s="24">
        <v>3.7800000000000003E-4</v>
      </c>
      <c r="D243" s="24">
        <v>0</v>
      </c>
      <c r="E243" s="180">
        <v>0</v>
      </c>
      <c r="F243" s="180" t="s">
        <v>762</v>
      </c>
      <c r="G243" s="208" t="s">
        <v>762</v>
      </c>
      <c r="H243" s="248" t="s">
        <v>762</v>
      </c>
      <c r="I243" s="19"/>
      <c r="K243" s="19"/>
      <c r="L243" s="96">
        <v>1917</v>
      </c>
      <c r="M243" s="24">
        <v>0</v>
      </c>
      <c r="N243" s="189">
        <v>1917</v>
      </c>
    </row>
    <row r="244" spans="1:14" ht="15.75" thickBot="1" x14ac:dyDescent="0.3">
      <c r="A244" s="191"/>
      <c r="B244" s="103">
        <v>14</v>
      </c>
      <c r="C244" s="103" t="s">
        <v>768</v>
      </c>
      <c r="D244" s="103" t="s">
        <v>768</v>
      </c>
      <c r="E244" s="103" t="s">
        <v>768</v>
      </c>
      <c r="F244" s="103" t="s">
        <v>768</v>
      </c>
      <c r="G244" s="103" t="s">
        <v>768</v>
      </c>
      <c r="H244" s="193" t="s">
        <v>768</v>
      </c>
      <c r="I244" s="19"/>
      <c r="K244" s="19"/>
      <c r="L244" s="225"/>
      <c r="M244" s="198"/>
      <c r="N244" s="226"/>
    </row>
    <row r="245" spans="1:14" ht="15.75" thickBot="1" x14ac:dyDescent="0.3">
      <c r="B245" s="19"/>
      <c r="I245" s="19"/>
      <c r="K245" s="19"/>
      <c r="L245" s="19"/>
      <c r="M245" s="56"/>
      <c r="N245" s="19"/>
    </row>
    <row r="246" spans="1:14" x14ac:dyDescent="0.25">
      <c r="A246" s="184" t="s">
        <v>723</v>
      </c>
      <c r="B246" s="101" t="s">
        <v>42</v>
      </c>
      <c r="C246" s="101" t="s">
        <v>724</v>
      </c>
      <c r="D246" s="101" t="s">
        <v>680</v>
      </c>
      <c r="E246" s="195" t="s">
        <v>681</v>
      </c>
      <c r="F246" s="195" t="s">
        <v>725</v>
      </c>
      <c r="G246" s="101" t="s">
        <v>747</v>
      </c>
      <c r="H246" s="196" t="s">
        <v>748</v>
      </c>
      <c r="I246" s="19"/>
      <c r="K246" s="19"/>
      <c r="L246" s="222" t="s">
        <v>870</v>
      </c>
      <c r="M246" s="223"/>
      <c r="N246" s="224"/>
    </row>
    <row r="247" spans="1:14" x14ac:dyDescent="0.25">
      <c r="A247" s="187"/>
      <c r="B247" s="24" t="s">
        <v>679</v>
      </c>
      <c r="C247" s="24">
        <v>5.91E-5</v>
      </c>
      <c r="D247" s="24">
        <v>0</v>
      </c>
      <c r="E247" s="180">
        <v>220</v>
      </c>
      <c r="F247" s="180">
        <f t="shared" ref="F247:F260" si="29">E247-D247</f>
        <v>220</v>
      </c>
      <c r="G247" s="207" t="s">
        <v>762</v>
      </c>
      <c r="H247" s="207" t="s">
        <v>762</v>
      </c>
      <c r="I247" s="19"/>
      <c r="K247" s="19"/>
      <c r="L247" s="96">
        <v>0</v>
      </c>
      <c r="M247" s="24">
        <v>1995</v>
      </c>
      <c r="N247" s="204">
        <v>1995</v>
      </c>
    </row>
    <row r="248" spans="1:14" x14ac:dyDescent="0.25">
      <c r="A248" s="187"/>
      <c r="B248" s="24">
        <v>2</v>
      </c>
      <c r="C248" s="24">
        <v>5.91E-5</v>
      </c>
      <c r="D248" s="24">
        <v>220</v>
      </c>
      <c r="E248" s="180">
        <v>2411</v>
      </c>
      <c r="F248" s="179">
        <f t="shared" si="29"/>
        <v>2191</v>
      </c>
      <c r="G248" s="24">
        <f>F248/C248</f>
        <v>37072758.037225045</v>
      </c>
      <c r="H248" s="188">
        <v>37.073</v>
      </c>
      <c r="I248" s="19"/>
      <c r="K248" s="19"/>
      <c r="L248" s="96" t="s">
        <v>773</v>
      </c>
      <c r="M248" s="24" t="s">
        <v>774</v>
      </c>
      <c r="N248" s="204" t="s">
        <v>725</v>
      </c>
    </row>
    <row r="249" spans="1:14" x14ac:dyDescent="0.25">
      <c r="A249" s="187"/>
      <c r="B249" s="24">
        <v>3</v>
      </c>
      <c r="C249" s="24">
        <v>5.91E-5</v>
      </c>
      <c r="D249" s="24">
        <v>2411</v>
      </c>
      <c r="E249" s="180">
        <v>4390</v>
      </c>
      <c r="F249" s="180">
        <f t="shared" si="29"/>
        <v>1979</v>
      </c>
      <c r="G249" s="24">
        <f t="shared" ref="G249:G254" si="30">F249/C249</f>
        <v>33485617.597292725</v>
      </c>
      <c r="H249" s="188">
        <v>33.485999999999997</v>
      </c>
      <c r="I249" s="19"/>
      <c r="K249" s="19"/>
      <c r="L249" s="96"/>
      <c r="M249" s="24"/>
      <c r="N249" s="189"/>
    </row>
    <row r="250" spans="1:14" x14ac:dyDescent="0.25">
      <c r="A250" s="187"/>
      <c r="B250" s="24">
        <v>4</v>
      </c>
      <c r="C250" s="24">
        <v>5.91E-5</v>
      </c>
      <c r="D250" s="24">
        <v>4390</v>
      </c>
      <c r="E250" s="180">
        <v>5496</v>
      </c>
      <c r="F250" s="180">
        <f t="shared" si="29"/>
        <v>1106</v>
      </c>
      <c r="G250" s="24">
        <f t="shared" si="30"/>
        <v>18714043.993231811</v>
      </c>
      <c r="H250" s="188">
        <v>18.713999999999999</v>
      </c>
      <c r="I250" s="19"/>
      <c r="K250" s="19"/>
      <c r="L250" s="96"/>
      <c r="M250" s="24"/>
      <c r="N250" s="204"/>
    </row>
    <row r="251" spans="1:14" x14ac:dyDescent="0.25">
      <c r="A251" s="187" t="s">
        <v>739</v>
      </c>
      <c r="B251" s="24">
        <v>5</v>
      </c>
      <c r="C251" s="24">
        <v>5.91E-5</v>
      </c>
      <c r="D251" s="24">
        <v>5496</v>
      </c>
      <c r="E251" s="180">
        <v>7310</v>
      </c>
      <c r="F251" s="180">
        <f t="shared" si="29"/>
        <v>1814</v>
      </c>
      <c r="G251" s="24">
        <f t="shared" si="30"/>
        <v>30693739.424703892</v>
      </c>
      <c r="H251" s="188">
        <v>30.693999999999999</v>
      </c>
      <c r="I251" s="19"/>
      <c r="K251" s="19"/>
      <c r="L251" s="96"/>
      <c r="M251" s="24"/>
      <c r="N251" s="189"/>
    </row>
    <row r="252" spans="1:14" x14ac:dyDescent="0.25">
      <c r="A252" s="190" t="s">
        <v>254</v>
      </c>
      <c r="B252" s="24">
        <v>6</v>
      </c>
      <c r="C252" s="24">
        <v>5.91E-5</v>
      </c>
      <c r="D252" s="24">
        <v>7310</v>
      </c>
      <c r="E252" s="180">
        <v>9420</v>
      </c>
      <c r="F252" s="180">
        <f t="shared" si="29"/>
        <v>2110</v>
      </c>
      <c r="G252" s="24">
        <f t="shared" si="30"/>
        <v>35702199.661590524</v>
      </c>
      <c r="H252" s="188">
        <v>35.701999999999998</v>
      </c>
      <c r="I252" s="19"/>
      <c r="J252" s="56">
        <v>16</v>
      </c>
      <c r="K252" s="19"/>
      <c r="L252" s="96"/>
      <c r="M252" s="24"/>
      <c r="N252" s="189"/>
    </row>
    <row r="253" spans="1:14" x14ac:dyDescent="0.25">
      <c r="A253" s="218" t="s">
        <v>808</v>
      </c>
      <c r="B253" s="24">
        <v>7</v>
      </c>
      <c r="C253" s="24">
        <v>5.91E-5</v>
      </c>
      <c r="D253" s="24">
        <v>9420</v>
      </c>
      <c r="E253" s="180">
        <v>11650</v>
      </c>
      <c r="F253" s="179">
        <f t="shared" si="29"/>
        <v>2230</v>
      </c>
      <c r="G253" s="24">
        <f t="shared" si="30"/>
        <v>37732656.5143824</v>
      </c>
      <c r="H253" s="188">
        <v>37.732999999999997</v>
      </c>
      <c r="I253" s="19"/>
      <c r="K253" s="19"/>
      <c r="L253" s="96"/>
      <c r="M253" s="24" t="s">
        <v>820</v>
      </c>
      <c r="N253" s="189"/>
    </row>
    <row r="254" spans="1:14" x14ac:dyDescent="0.25">
      <c r="A254" s="187"/>
      <c r="B254" s="24">
        <v>8</v>
      </c>
      <c r="C254" s="24">
        <v>5.91E-5</v>
      </c>
      <c r="D254" s="24">
        <v>11650</v>
      </c>
      <c r="E254" s="180">
        <v>13530</v>
      </c>
      <c r="F254" s="180">
        <f t="shared" si="29"/>
        <v>1880</v>
      </c>
      <c r="G254" s="24">
        <f t="shared" si="30"/>
        <v>31810490.693739425</v>
      </c>
      <c r="H254" s="188">
        <v>31.81</v>
      </c>
      <c r="I254" s="19"/>
      <c r="K254" s="19"/>
      <c r="L254" s="96"/>
      <c r="M254" s="24" t="s">
        <v>821</v>
      </c>
      <c r="N254" s="189"/>
    </row>
    <row r="255" spans="1:14" x14ac:dyDescent="0.25">
      <c r="A255" s="187"/>
      <c r="B255" s="24">
        <v>9</v>
      </c>
      <c r="C255" s="24">
        <v>5.91E-5</v>
      </c>
      <c r="D255" s="24">
        <v>13530</v>
      </c>
      <c r="E255" s="180">
        <v>14980</v>
      </c>
      <c r="F255" s="180">
        <f t="shared" si="29"/>
        <v>1450</v>
      </c>
      <c r="G255" s="205" t="s">
        <v>100</v>
      </c>
      <c r="H255" s="205" t="s">
        <v>100</v>
      </c>
      <c r="I255" s="19"/>
      <c r="K255" s="19"/>
      <c r="L255" s="96">
        <v>5657</v>
      </c>
      <c r="M255" s="24">
        <v>7700</v>
      </c>
      <c r="N255" s="189">
        <f>M255-L255</f>
        <v>2043</v>
      </c>
    </row>
    <row r="256" spans="1:14" x14ac:dyDescent="0.25">
      <c r="A256" s="187"/>
      <c r="B256" s="24">
        <v>10</v>
      </c>
      <c r="C256" s="24">
        <v>5.91E-5</v>
      </c>
      <c r="D256" s="24">
        <v>14980</v>
      </c>
      <c r="E256" s="180">
        <v>17020</v>
      </c>
      <c r="F256" s="180">
        <f t="shared" si="29"/>
        <v>2040</v>
      </c>
      <c r="G256" s="24">
        <f t="shared" ref="G256:G260" si="31">F256/C256</f>
        <v>34517766.49746193</v>
      </c>
      <c r="H256" s="188">
        <v>34.518000000000001</v>
      </c>
      <c r="I256" s="19"/>
      <c r="K256" s="19"/>
      <c r="L256" s="96"/>
      <c r="M256" s="24"/>
      <c r="N256" s="189"/>
    </row>
    <row r="257" spans="1:14" x14ac:dyDescent="0.25">
      <c r="A257" s="187"/>
      <c r="B257" s="24">
        <v>11</v>
      </c>
      <c r="C257" s="24">
        <v>5.91E-5</v>
      </c>
      <c r="D257" s="24">
        <v>17020</v>
      </c>
      <c r="E257" s="180">
        <v>19250</v>
      </c>
      <c r="F257" s="180">
        <f t="shared" si="29"/>
        <v>2230</v>
      </c>
      <c r="G257" s="24">
        <f t="shared" si="31"/>
        <v>37732656.5143824</v>
      </c>
      <c r="H257" s="188">
        <v>37.732999999999997</v>
      </c>
      <c r="I257" s="19"/>
      <c r="K257" s="19"/>
      <c r="L257" s="96"/>
      <c r="M257" s="24"/>
      <c r="N257" s="189"/>
    </row>
    <row r="258" spans="1:14" x14ac:dyDescent="0.25">
      <c r="A258" s="187"/>
      <c r="B258" s="24">
        <v>12</v>
      </c>
      <c r="C258" s="24">
        <v>5.91E-5</v>
      </c>
      <c r="D258" s="24">
        <v>19250</v>
      </c>
      <c r="E258" s="180">
        <v>21370</v>
      </c>
      <c r="F258" s="180">
        <f t="shared" si="29"/>
        <v>2120</v>
      </c>
      <c r="G258" s="24">
        <f t="shared" si="31"/>
        <v>35871404.39932318</v>
      </c>
      <c r="H258" s="188">
        <v>35.871000000000002</v>
      </c>
      <c r="I258" s="19"/>
      <c r="K258" s="19"/>
      <c r="L258" s="96"/>
      <c r="M258" s="24"/>
      <c r="N258" s="189"/>
    </row>
    <row r="259" spans="1:14" x14ac:dyDescent="0.25">
      <c r="A259" s="187"/>
      <c r="B259" s="24">
        <v>13</v>
      </c>
      <c r="C259" s="24">
        <v>5.91E-5</v>
      </c>
      <c r="D259" s="24">
        <v>21370</v>
      </c>
      <c r="E259" s="180">
        <v>23610</v>
      </c>
      <c r="F259" s="180">
        <f t="shared" si="29"/>
        <v>2240</v>
      </c>
      <c r="G259" s="24">
        <f t="shared" si="31"/>
        <v>37901861.252115056</v>
      </c>
      <c r="H259" s="188">
        <v>37.902000000000001</v>
      </c>
      <c r="I259" s="19"/>
      <c r="K259" s="19"/>
      <c r="L259" s="96"/>
      <c r="M259" s="24"/>
      <c r="N259" s="189"/>
    </row>
    <row r="260" spans="1:14" ht="15.75" thickBot="1" x14ac:dyDescent="0.3">
      <c r="A260" s="191"/>
      <c r="B260" s="103">
        <v>14</v>
      </c>
      <c r="C260" s="24">
        <v>5.91E-5</v>
      </c>
      <c r="D260" s="198">
        <v>23610</v>
      </c>
      <c r="E260" s="199">
        <v>25840</v>
      </c>
      <c r="F260" s="199">
        <f t="shared" si="29"/>
        <v>2230</v>
      </c>
      <c r="G260" s="198">
        <f t="shared" si="31"/>
        <v>37732656.5143824</v>
      </c>
      <c r="H260" s="200">
        <v>37.732999999999997</v>
      </c>
      <c r="I260" s="19"/>
      <c r="K260" s="19"/>
      <c r="L260" s="225"/>
      <c r="M260" s="198"/>
      <c r="N260" s="226"/>
    </row>
    <row r="261" spans="1:14" ht="15.75" thickBot="1" x14ac:dyDescent="0.3">
      <c r="B261" s="19"/>
      <c r="I261" s="19"/>
      <c r="K261" s="19"/>
      <c r="L261" s="19"/>
      <c r="M261" s="56"/>
      <c r="N261" s="19"/>
    </row>
    <row r="262" spans="1:14" x14ac:dyDescent="0.25">
      <c r="A262" s="184" t="s">
        <v>723</v>
      </c>
      <c r="B262" s="101" t="s">
        <v>42</v>
      </c>
      <c r="C262" s="101" t="s">
        <v>724</v>
      </c>
      <c r="D262" s="101" t="s">
        <v>680</v>
      </c>
      <c r="E262" s="195" t="s">
        <v>681</v>
      </c>
      <c r="F262" s="195" t="s">
        <v>725</v>
      </c>
      <c r="G262" s="101" t="s">
        <v>747</v>
      </c>
      <c r="H262" s="196" t="s">
        <v>748</v>
      </c>
      <c r="I262" s="19"/>
      <c r="K262" s="19"/>
      <c r="L262" s="222" t="s">
        <v>870</v>
      </c>
      <c r="M262" s="223"/>
      <c r="N262" s="224"/>
    </row>
    <row r="263" spans="1:14" x14ac:dyDescent="0.25">
      <c r="A263" s="187"/>
      <c r="B263" s="24" t="s">
        <v>679</v>
      </c>
      <c r="C263" s="24">
        <v>3.9100000000000002E-5</v>
      </c>
      <c r="D263" s="24">
        <v>26050</v>
      </c>
      <c r="E263" s="180">
        <v>23820</v>
      </c>
      <c r="F263" s="180">
        <f t="shared" ref="F263:F275" si="32">D263-E263</f>
        <v>2230</v>
      </c>
      <c r="G263" s="24">
        <f t="shared" ref="G263:G275" si="33">F263/C263</f>
        <v>57033248.081841432</v>
      </c>
      <c r="H263" s="188">
        <v>57.033000000000001</v>
      </c>
      <c r="I263" s="19"/>
      <c r="K263" s="19"/>
      <c r="L263" s="96" t="s">
        <v>773</v>
      </c>
      <c r="M263" s="24" t="s">
        <v>774</v>
      </c>
      <c r="N263" s="204" t="s">
        <v>725</v>
      </c>
    </row>
    <row r="264" spans="1:14" x14ac:dyDescent="0.25">
      <c r="A264" s="187"/>
      <c r="B264" s="24">
        <v>2</v>
      </c>
      <c r="C264" s="24">
        <v>3.9100000000000002E-5</v>
      </c>
      <c r="D264" s="24">
        <v>23820</v>
      </c>
      <c r="E264" s="180">
        <v>21890</v>
      </c>
      <c r="F264" s="179">
        <f t="shared" si="32"/>
        <v>1930</v>
      </c>
      <c r="G264" s="24">
        <f t="shared" si="33"/>
        <v>49360613.810741685</v>
      </c>
      <c r="H264" s="188">
        <v>49.360999999999997</v>
      </c>
      <c r="I264" s="19"/>
      <c r="K264" s="19"/>
      <c r="L264" s="96"/>
      <c r="M264" s="24"/>
      <c r="N264" s="189"/>
    </row>
    <row r="265" spans="1:14" x14ac:dyDescent="0.25">
      <c r="A265" s="187"/>
      <c r="B265" s="24">
        <v>3</v>
      </c>
      <c r="C265" s="24">
        <v>3.9100000000000002E-5</v>
      </c>
      <c r="D265" s="24">
        <v>21890</v>
      </c>
      <c r="E265" s="180">
        <v>19710</v>
      </c>
      <c r="F265" s="180">
        <f t="shared" si="32"/>
        <v>2180</v>
      </c>
      <c r="G265" s="24">
        <f t="shared" si="33"/>
        <v>55754475.703324802</v>
      </c>
      <c r="H265" s="188">
        <v>55.753999999999998</v>
      </c>
      <c r="I265" s="19"/>
      <c r="K265" s="19"/>
      <c r="L265" s="96"/>
      <c r="M265" s="24"/>
      <c r="N265" s="189"/>
    </row>
    <row r="266" spans="1:14" x14ac:dyDescent="0.25">
      <c r="A266" s="187"/>
      <c r="B266" s="24">
        <v>4</v>
      </c>
      <c r="C266" s="24">
        <v>3.9100000000000002E-5</v>
      </c>
      <c r="D266" s="24">
        <v>19710</v>
      </c>
      <c r="E266" s="180">
        <v>17620</v>
      </c>
      <c r="F266" s="180">
        <f t="shared" si="32"/>
        <v>2090</v>
      </c>
      <c r="G266" s="24">
        <f t="shared" si="33"/>
        <v>53452685.42199488</v>
      </c>
      <c r="H266" s="188">
        <v>53.453000000000003</v>
      </c>
      <c r="I266" s="19"/>
      <c r="K266" s="19"/>
      <c r="L266" s="96"/>
      <c r="M266" s="24"/>
      <c r="N266" s="204"/>
    </row>
    <row r="267" spans="1:14" x14ac:dyDescent="0.25">
      <c r="A267" s="187" t="s">
        <v>824</v>
      </c>
      <c r="B267" s="24">
        <v>5</v>
      </c>
      <c r="C267" s="24">
        <v>3.9100000000000002E-5</v>
      </c>
      <c r="D267" s="24">
        <v>17620</v>
      </c>
      <c r="E267" s="180">
        <v>15630</v>
      </c>
      <c r="F267" s="180">
        <f t="shared" si="32"/>
        <v>1990</v>
      </c>
      <c r="G267" s="24">
        <f t="shared" si="33"/>
        <v>50895140.664961636</v>
      </c>
      <c r="H267" s="188">
        <v>50.895000000000003</v>
      </c>
      <c r="I267" s="19"/>
      <c r="K267" s="19"/>
      <c r="L267" s="96"/>
      <c r="M267" s="24"/>
      <c r="N267" s="189"/>
    </row>
    <row r="268" spans="1:14" x14ac:dyDescent="0.25">
      <c r="A268" s="190" t="s">
        <v>754</v>
      </c>
      <c r="B268" s="24">
        <v>6</v>
      </c>
      <c r="C268" s="24">
        <v>3.9100000000000002E-5</v>
      </c>
      <c r="D268" s="24">
        <v>15630</v>
      </c>
      <c r="E268" s="180">
        <v>13550</v>
      </c>
      <c r="F268" s="180">
        <f t="shared" si="32"/>
        <v>2080</v>
      </c>
      <c r="G268" s="24">
        <f t="shared" si="33"/>
        <v>53196930.946291558</v>
      </c>
      <c r="H268" s="188">
        <v>53.197000000000003</v>
      </c>
      <c r="I268" s="19"/>
      <c r="J268" s="56">
        <v>17</v>
      </c>
      <c r="K268" s="19"/>
      <c r="L268" s="96"/>
      <c r="M268" s="24"/>
      <c r="N268" s="189"/>
    </row>
    <row r="269" spans="1:14" x14ac:dyDescent="0.25">
      <c r="A269" s="218" t="s">
        <v>811</v>
      </c>
      <c r="B269" s="24">
        <v>7</v>
      </c>
      <c r="C269" s="24">
        <v>3.9100000000000002E-5</v>
      </c>
      <c r="D269" s="24">
        <v>13550</v>
      </c>
      <c r="E269" s="180">
        <v>11600</v>
      </c>
      <c r="F269" s="179">
        <f t="shared" si="32"/>
        <v>1950</v>
      </c>
      <c r="G269" s="24">
        <f t="shared" si="33"/>
        <v>49872122.762148336</v>
      </c>
      <c r="H269" s="188">
        <v>49.872</v>
      </c>
      <c r="I269" s="19"/>
      <c r="K269" s="19"/>
      <c r="L269" s="96"/>
      <c r="M269" s="24" t="s">
        <v>818</v>
      </c>
      <c r="N269" s="189"/>
    </row>
    <row r="270" spans="1:14" x14ac:dyDescent="0.25">
      <c r="A270" s="187"/>
      <c r="B270" s="24">
        <v>8</v>
      </c>
      <c r="C270" s="24">
        <v>3.9100000000000002E-5</v>
      </c>
      <c r="D270" s="24">
        <v>11600</v>
      </c>
      <c r="E270" s="180">
        <v>9520</v>
      </c>
      <c r="F270" s="180">
        <f t="shared" si="32"/>
        <v>2080</v>
      </c>
      <c r="G270" s="24">
        <f t="shared" si="33"/>
        <v>53196930.946291558</v>
      </c>
      <c r="H270" s="188">
        <v>53.197000000000003</v>
      </c>
      <c r="I270" s="19"/>
      <c r="K270" s="19"/>
      <c r="L270" s="96"/>
      <c r="M270" s="24" t="s">
        <v>819</v>
      </c>
      <c r="N270" s="189"/>
    </row>
    <row r="271" spans="1:14" x14ac:dyDescent="0.25">
      <c r="A271" s="187"/>
      <c r="B271" s="24">
        <v>9</v>
      </c>
      <c r="C271" s="24">
        <v>3.9100000000000002E-5</v>
      </c>
      <c r="D271" s="24">
        <v>9520</v>
      </c>
      <c r="E271" s="180">
        <v>7340</v>
      </c>
      <c r="F271" s="180">
        <f t="shared" si="32"/>
        <v>2180</v>
      </c>
      <c r="G271" s="24">
        <f t="shared" si="33"/>
        <v>55754475.703324802</v>
      </c>
      <c r="H271" s="188">
        <v>55.753999999999998</v>
      </c>
      <c r="I271" s="19"/>
      <c r="K271" s="19"/>
      <c r="L271" s="96"/>
      <c r="M271" s="24"/>
      <c r="N271" s="189"/>
    </row>
    <row r="272" spans="1:14" x14ac:dyDescent="0.25">
      <c r="A272" s="187"/>
      <c r="B272" s="24">
        <v>10</v>
      </c>
      <c r="C272" s="24">
        <v>3.9100000000000002E-5</v>
      </c>
      <c r="D272" s="24">
        <v>7340</v>
      </c>
      <c r="E272" s="180">
        <v>5245</v>
      </c>
      <c r="F272" s="180">
        <f t="shared" si="32"/>
        <v>2095</v>
      </c>
      <c r="G272" s="24">
        <f t="shared" si="33"/>
        <v>53580562.659846544</v>
      </c>
      <c r="H272" s="188">
        <v>53.581000000000003</v>
      </c>
      <c r="I272" s="19"/>
      <c r="K272" s="19"/>
      <c r="L272" s="96"/>
      <c r="M272" s="24"/>
      <c r="N272" s="189"/>
    </row>
    <row r="273" spans="1:14" x14ac:dyDescent="0.25">
      <c r="A273" s="187"/>
      <c r="B273" s="24">
        <v>11</v>
      </c>
      <c r="C273" s="24">
        <v>3.9100000000000002E-5</v>
      </c>
      <c r="D273" s="24">
        <v>5245</v>
      </c>
      <c r="E273" s="180">
        <v>3235</v>
      </c>
      <c r="F273" s="180">
        <f t="shared" si="32"/>
        <v>2010</v>
      </c>
      <c r="G273" s="24">
        <f t="shared" si="33"/>
        <v>51406649.616368286</v>
      </c>
      <c r="H273" s="188">
        <v>51.406999999999996</v>
      </c>
      <c r="I273" s="19"/>
      <c r="K273" s="19"/>
      <c r="L273" s="96"/>
      <c r="M273" s="24"/>
      <c r="N273" s="189"/>
    </row>
    <row r="274" spans="1:14" x14ac:dyDescent="0.25">
      <c r="A274" s="187"/>
      <c r="B274" s="24">
        <v>12</v>
      </c>
      <c r="C274" s="24">
        <v>3.9100000000000002E-5</v>
      </c>
      <c r="D274" s="24">
        <v>3235</v>
      </c>
      <c r="E274" s="180">
        <v>1270</v>
      </c>
      <c r="F274" s="180">
        <f t="shared" si="32"/>
        <v>1965</v>
      </c>
      <c r="G274" s="24">
        <f t="shared" si="33"/>
        <v>50255754.475703321</v>
      </c>
      <c r="H274" s="188">
        <v>50.256</v>
      </c>
      <c r="I274" s="19"/>
      <c r="K274" s="19"/>
      <c r="L274" s="96"/>
      <c r="M274" s="24"/>
      <c r="N274" s="189"/>
    </row>
    <row r="275" spans="1:14" x14ac:dyDescent="0.25">
      <c r="A275" s="187"/>
      <c r="B275" s="24">
        <v>13</v>
      </c>
      <c r="C275" s="24">
        <v>3.9100000000000002E-5</v>
      </c>
      <c r="D275" s="24">
        <v>1270</v>
      </c>
      <c r="E275" s="180">
        <v>0</v>
      </c>
      <c r="F275" s="220">
        <f t="shared" si="32"/>
        <v>1270</v>
      </c>
      <c r="G275" s="205">
        <f t="shared" si="33"/>
        <v>32480818.41432225</v>
      </c>
      <c r="H275" s="206">
        <v>32.481000000000002</v>
      </c>
      <c r="I275" s="19"/>
      <c r="K275" s="19"/>
      <c r="L275" s="96">
        <v>1991</v>
      </c>
      <c r="M275" s="24">
        <v>0</v>
      </c>
      <c r="N275" s="189">
        <v>1991</v>
      </c>
    </row>
    <row r="276" spans="1:14" ht="15.75" thickBot="1" x14ac:dyDescent="0.3">
      <c r="A276" s="191"/>
      <c r="B276" s="103">
        <v>14</v>
      </c>
      <c r="C276" s="103" t="s">
        <v>768</v>
      </c>
      <c r="D276" s="103" t="s">
        <v>768</v>
      </c>
      <c r="E276" s="103" t="s">
        <v>768</v>
      </c>
      <c r="F276" s="103" t="s">
        <v>768</v>
      </c>
      <c r="G276" s="103" t="s">
        <v>768</v>
      </c>
      <c r="H276" s="193" t="s">
        <v>768</v>
      </c>
      <c r="I276" s="20"/>
      <c r="K276" s="19"/>
      <c r="L276" s="225"/>
      <c r="M276" s="198"/>
      <c r="N276" s="226"/>
    </row>
    <row r="277" spans="1:14" ht="15.75" thickBot="1" x14ac:dyDescent="0.3">
      <c r="B277" s="19"/>
      <c r="I277" s="19"/>
      <c r="K277" s="19"/>
      <c r="L277" s="19"/>
      <c r="M277" s="56"/>
      <c r="N277" s="19"/>
    </row>
    <row r="278" spans="1:14" x14ac:dyDescent="0.25">
      <c r="A278" s="184" t="s">
        <v>723</v>
      </c>
      <c r="B278" s="101" t="s">
        <v>42</v>
      </c>
      <c r="C278" s="101" t="s">
        <v>724</v>
      </c>
      <c r="D278" s="101" t="s">
        <v>680</v>
      </c>
      <c r="E278" s="195" t="s">
        <v>681</v>
      </c>
      <c r="F278" s="195" t="s">
        <v>725</v>
      </c>
      <c r="G278" s="101" t="s">
        <v>747</v>
      </c>
      <c r="H278" s="196" t="s">
        <v>748</v>
      </c>
      <c r="I278" s="19"/>
      <c r="K278" s="19"/>
      <c r="L278" s="19"/>
      <c r="M278" s="56"/>
      <c r="N278" s="19"/>
    </row>
    <row r="279" spans="1:14" x14ac:dyDescent="0.25">
      <c r="A279" s="187"/>
      <c r="B279" s="24" t="s">
        <v>679</v>
      </c>
      <c r="C279" s="91">
        <v>2.19E-5</v>
      </c>
      <c r="D279" s="91">
        <v>25790</v>
      </c>
      <c r="E279" s="91">
        <v>24000</v>
      </c>
      <c r="F279" s="91">
        <f xml:space="preserve"> D279-E279</f>
        <v>1790</v>
      </c>
      <c r="G279" s="91">
        <f t="shared" ref="G279:G292" si="34">F279/C279</f>
        <v>81735159.817351595</v>
      </c>
      <c r="H279" s="188">
        <v>81.734999999999999</v>
      </c>
      <c r="I279" s="19"/>
      <c r="K279" s="19"/>
      <c r="L279" s="19"/>
      <c r="M279" s="56"/>
      <c r="N279" s="19"/>
    </row>
    <row r="280" spans="1:14" x14ac:dyDescent="0.25">
      <c r="A280" s="187"/>
      <c r="B280" s="24">
        <v>2</v>
      </c>
      <c r="C280" s="91">
        <v>2.19E-5</v>
      </c>
      <c r="D280" s="91">
        <v>24000</v>
      </c>
      <c r="E280" s="91">
        <v>22100</v>
      </c>
      <c r="F280" s="91">
        <f t="shared" ref="F280:F292" si="35">D280-E280</f>
        <v>1900</v>
      </c>
      <c r="G280" s="91">
        <f t="shared" si="34"/>
        <v>86757990.867579907</v>
      </c>
      <c r="H280" s="188">
        <v>86.757999999999996</v>
      </c>
      <c r="I280" s="19"/>
      <c r="K280" s="19"/>
      <c r="L280" s="19"/>
      <c r="M280" s="56"/>
      <c r="N280" s="19"/>
    </row>
    <row r="281" spans="1:14" x14ac:dyDescent="0.25">
      <c r="A281" s="187"/>
      <c r="B281" s="24">
        <v>3</v>
      </c>
      <c r="C281" s="91">
        <v>2.19E-5</v>
      </c>
      <c r="D281" s="91">
        <v>22100</v>
      </c>
      <c r="E281" s="91">
        <v>20170</v>
      </c>
      <c r="F281" s="91">
        <f t="shared" si="35"/>
        <v>1930</v>
      </c>
      <c r="G281" s="91">
        <f t="shared" si="34"/>
        <v>88127853.881278545</v>
      </c>
      <c r="H281" s="188">
        <v>88.128</v>
      </c>
      <c r="I281" s="19"/>
      <c r="K281" s="19"/>
      <c r="L281" s="19"/>
      <c r="M281" s="56"/>
      <c r="N281" s="19"/>
    </row>
    <row r="282" spans="1:14" x14ac:dyDescent="0.25">
      <c r="A282" s="187"/>
      <c r="B282" s="24">
        <v>4</v>
      </c>
      <c r="C282" s="91">
        <v>2.19E-5</v>
      </c>
      <c r="D282" s="91">
        <v>20170</v>
      </c>
      <c r="E282" s="91">
        <v>18190</v>
      </c>
      <c r="F282" s="91">
        <f t="shared" si="35"/>
        <v>1980</v>
      </c>
      <c r="G282" s="91">
        <f t="shared" si="34"/>
        <v>90410958.904109582</v>
      </c>
      <c r="H282" s="188">
        <v>90.411000000000001</v>
      </c>
      <c r="I282" s="19"/>
      <c r="K282" s="19"/>
      <c r="L282" s="19"/>
      <c r="M282" s="56"/>
      <c r="N282" s="19"/>
    </row>
    <row r="283" spans="1:14" x14ac:dyDescent="0.25">
      <c r="A283" s="187" t="s">
        <v>739</v>
      </c>
      <c r="B283" s="24">
        <v>5</v>
      </c>
      <c r="C283" s="91">
        <v>2.19E-5</v>
      </c>
      <c r="D283" s="91">
        <v>18190</v>
      </c>
      <c r="E283" s="91">
        <v>16100</v>
      </c>
      <c r="F283" s="91">
        <f t="shared" si="35"/>
        <v>2090</v>
      </c>
      <c r="G283" s="91">
        <f t="shared" si="34"/>
        <v>95433789.954337895</v>
      </c>
      <c r="H283" s="188">
        <v>95.433999999999997</v>
      </c>
      <c r="I283" s="19"/>
      <c r="K283" s="19"/>
      <c r="L283" s="19"/>
      <c r="M283" s="56"/>
      <c r="N283" s="19"/>
    </row>
    <row r="284" spans="1:14" x14ac:dyDescent="0.25">
      <c r="A284" s="190" t="s">
        <v>255</v>
      </c>
      <c r="B284" s="24">
        <v>6</v>
      </c>
      <c r="C284" s="91">
        <v>2.19E-5</v>
      </c>
      <c r="D284" s="91">
        <v>16100</v>
      </c>
      <c r="E284" s="91">
        <v>14290</v>
      </c>
      <c r="F284" s="91">
        <f t="shared" si="35"/>
        <v>1810</v>
      </c>
      <c r="G284" s="91">
        <f t="shared" si="34"/>
        <v>82648401.82648401</v>
      </c>
      <c r="H284" s="188">
        <v>82.647999999999996</v>
      </c>
      <c r="I284" s="19"/>
      <c r="J284" s="56">
        <v>18</v>
      </c>
      <c r="K284" s="19"/>
      <c r="L284" s="19"/>
      <c r="M284" s="56"/>
      <c r="N284" s="19"/>
    </row>
    <row r="285" spans="1:14" x14ac:dyDescent="0.25">
      <c r="A285" s="218" t="s">
        <v>812</v>
      </c>
      <c r="B285" s="24">
        <v>7</v>
      </c>
      <c r="C285" s="91">
        <v>2.19E-5</v>
      </c>
      <c r="D285" s="91">
        <v>14290</v>
      </c>
      <c r="E285" s="91">
        <v>12760</v>
      </c>
      <c r="F285" s="91">
        <f t="shared" si="35"/>
        <v>1530</v>
      </c>
      <c r="G285" s="91">
        <f t="shared" si="34"/>
        <v>69863013.698630139</v>
      </c>
      <c r="H285" s="188">
        <v>69.863</v>
      </c>
      <c r="I285" s="19"/>
      <c r="K285" s="19"/>
      <c r="L285" s="19"/>
      <c r="M285" s="56"/>
      <c r="N285" s="19"/>
    </row>
    <row r="286" spans="1:14" x14ac:dyDescent="0.25">
      <c r="A286" s="187"/>
      <c r="B286" s="24">
        <v>8</v>
      </c>
      <c r="C286" s="91">
        <v>2.19E-5</v>
      </c>
      <c r="D286" s="91">
        <v>12760</v>
      </c>
      <c r="E286" s="91">
        <v>10900</v>
      </c>
      <c r="F286" s="91">
        <f t="shared" si="35"/>
        <v>1860</v>
      </c>
      <c r="G286" s="91">
        <f t="shared" si="34"/>
        <v>84931506.849315062</v>
      </c>
      <c r="H286" s="188">
        <v>849.31500000000005</v>
      </c>
      <c r="I286" s="19"/>
      <c r="K286" s="19"/>
      <c r="L286" s="19"/>
      <c r="M286" s="56"/>
      <c r="N286" s="19"/>
    </row>
    <row r="287" spans="1:14" x14ac:dyDescent="0.25">
      <c r="A287" s="187"/>
      <c r="B287" s="24">
        <v>9</v>
      </c>
      <c r="C287" s="91">
        <v>2.19E-5</v>
      </c>
      <c r="D287" s="91">
        <v>10900</v>
      </c>
      <c r="E287" s="91">
        <v>9350</v>
      </c>
      <c r="F287" s="91">
        <f t="shared" si="35"/>
        <v>1550</v>
      </c>
      <c r="G287" s="91">
        <f t="shared" si="34"/>
        <v>70776255.707762554</v>
      </c>
      <c r="H287" s="188">
        <v>70.775999999999996</v>
      </c>
      <c r="I287" s="19"/>
      <c r="K287" s="19"/>
      <c r="L287" s="19"/>
      <c r="M287" s="56"/>
      <c r="N287" s="19"/>
    </row>
    <row r="288" spans="1:14" x14ac:dyDescent="0.25">
      <c r="A288" s="187"/>
      <c r="B288" s="24">
        <v>10</v>
      </c>
      <c r="C288" s="91">
        <v>2.19E-5</v>
      </c>
      <c r="D288" s="91">
        <v>9350</v>
      </c>
      <c r="E288" s="91">
        <v>7370</v>
      </c>
      <c r="F288" s="91">
        <f t="shared" si="35"/>
        <v>1980</v>
      </c>
      <c r="G288" s="91">
        <f t="shared" si="34"/>
        <v>90410958.904109582</v>
      </c>
      <c r="H288" s="188">
        <v>90.411000000000001</v>
      </c>
      <c r="I288" s="19"/>
      <c r="K288" s="19"/>
      <c r="L288" s="19"/>
      <c r="M288" s="56"/>
      <c r="N288" s="19"/>
    </row>
    <row r="289" spans="1:14" x14ac:dyDescent="0.25">
      <c r="A289" s="187"/>
      <c r="B289" s="24">
        <v>11</v>
      </c>
      <c r="C289" s="91">
        <v>2.19E-5</v>
      </c>
      <c r="D289" s="91">
        <v>7370</v>
      </c>
      <c r="E289" s="91">
        <v>5714</v>
      </c>
      <c r="F289" s="91">
        <f t="shared" si="35"/>
        <v>1656</v>
      </c>
      <c r="G289" s="91">
        <f t="shared" si="34"/>
        <v>75616438.356164381</v>
      </c>
      <c r="H289" s="188">
        <v>75.616</v>
      </c>
      <c r="I289" s="19"/>
      <c r="K289" s="19"/>
      <c r="L289" s="19"/>
      <c r="M289" s="56"/>
      <c r="N289" s="19"/>
    </row>
    <row r="290" spans="1:14" x14ac:dyDescent="0.25">
      <c r="A290" s="187"/>
      <c r="B290" s="24">
        <v>12</v>
      </c>
      <c r="C290" s="91">
        <v>2.19E-5</v>
      </c>
      <c r="D290" s="91">
        <v>5714</v>
      </c>
      <c r="E290" s="91">
        <v>3994</v>
      </c>
      <c r="F290" s="91">
        <f t="shared" si="35"/>
        <v>1720</v>
      </c>
      <c r="G290" s="91">
        <f t="shared" si="34"/>
        <v>78538812.785388127</v>
      </c>
      <c r="H290" s="188">
        <v>75.539000000000001</v>
      </c>
      <c r="I290" s="19"/>
      <c r="K290" s="19"/>
      <c r="L290" s="19"/>
      <c r="M290" s="56"/>
      <c r="N290" s="19"/>
    </row>
    <row r="291" spans="1:14" x14ac:dyDescent="0.25">
      <c r="A291" s="187"/>
      <c r="B291" s="24">
        <v>13</v>
      </c>
      <c r="C291" s="91">
        <v>2.19E-5</v>
      </c>
      <c r="D291" s="91">
        <v>3994</v>
      </c>
      <c r="E291" s="91">
        <v>2024</v>
      </c>
      <c r="F291" s="91">
        <f t="shared" si="35"/>
        <v>1970</v>
      </c>
      <c r="G291" s="91">
        <f t="shared" si="34"/>
        <v>89954337.899543375</v>
      </c>
      <c r="H291" s="188">
        <v>89.953999999999994</v>
      </c>
      <c r="I291" s="19"/>
      <c r="K291" s="19"/>
      <c r="L291" s="19"/>
      <c r="M291" s="56"/>
      <c r="N291" s="19"/>
    </row>
    <row r="292" spans="1:14" ht="15.75" thickBot="1" x14ac:dyDescent="0.3">
      <c r="A292" s="191"/>
      <c r="B292" s="103">
        <v>14</v>
      </c>
      <c r="C292" s="198">
        <v>2.19E-5</v>
      </c>
      <c r="D292" s="198">
        <v>2024</v>
      </c>
      <c r="E292" s="198">
        <v>0</v>
      </c>
      <c r="F292" s="198">
        <f t="shared" si="35"/>
        <v>2024</v>
      </c>
      <c r="G292" s="198">
        <f t="shared" si="34"/>
        <v>92420091.324200913</v>
      </c>
      <c r="H292" s="200">
        <v>92.42</v>
      </c>
      <c r="I292" s="19"/>
      <c r="K292" s="19"/>
      <c r="L292" s="19"/>
      <c r="M292" s="56"/>
      <c r="N292" s="19"/>
    </row>
    <row r="293" spans="1:14" ht="15.75" thickBot="1" x14ac:dyDescent="0.3">
      <c r="B293" s="19"/>
      <c r="I293" s="19"/>
      <c r="K293" s="19"/>
      <c r="L293" s="19"/>
      <c r="M293" s="56"/>
      <c r="N293" s="19"/>
    </row>
    <row r="294" spans="1:14" x14ac:dyDescent="0.25">
      <c r="A294" s="184" t="s">
        <v>723</v>
      </c>
      <c r="B294" s="101" t="s">
        <v>42</v>
      </c>
      <c r="C294" s="101" t="s">
        <v>724</v>
      </c>
      <c r="D294" s="101" t="s">
        <v>680</v>
      </c>
      <c r="E294" s="195" t="s">
        <v>681</v>
      </c>
      <c r="F294" s="195" t="s">
        <v>725</v>
      </c>
      <c r="G294" s="101" t="s">
        <v>747</v>
      </c>
      <c r="H294" s="196" t="s">
        <v>748</v>
      </c>
      <c r="I294" s="19"/>
      <c r="K294" s="19"/>
      <c r="L294" s="222" t="s">
        <v>870</v>
      </c>
      <c r="M294" s="223"/>
      <c r="N294" s="224"/>
    </row>
    <row r="295" spans="1:14" x14ac:dyDescent="0.25">
      <c r="A295" s="187"/>
      <c r="B295" s="24" t="s">
        <v>679</v>
      </c>
      <c r="C295" s="24">
        <v>6.8899999999999994E-5</v>
      </c>
      <c r="D295" s="24">
        <v>25560</v>
      </c>
      <c r="E295" s="180">
        <v>23370</v>
      </c>
      <c r="F295" s="180">
        <f t="shared" ref="F295:F307" si="36">D295-E295</f>
        <v>2190</v>
      </c>
      <c r="G295" s="180">
        <f t="shared" ref="G295:G306" si="37">F295/C295</f>
        <v>31785195.936139334</v>
      </c>
      <c r="H295" s="188">
        <v>31.785</v>
      </c>
      <c r="I295" s="19"/>
      <c r="K295" s="19"/>
      <c r="L295" s="96" t="s">
        <v>773</v>
      </c>
      <c r="M295" s="24" t="s">
        <v>774</v>
      </c>
      <c r="N295" s="204" t="s">
        <v>725</v>
      </c>
    </row>
    <row r="296" spans="1:14" x14ac:dyDescent="0.25">
      <c r="A296" s="187"/>
      <c r="B296" s="24">
        <v>2</v>
      </c>
      <c r="C296" s="24">
        <v>6.8899999999999994E-5</v>
      </c>
      <c r="D296" s="24">
        <v>23370</v>
      </c>
      <c r="E296" s="180">
        <v>21250</v>
      </c>
      <c r="F296" s="179">
        <f t="shared" si="36"/>
        <v>2120</v>
      </c>
      <c r="G296" s="180">
        <f t="shared" si="37"/>
        <v>30769230.769230772</v>
      </c>
      <c r="H296" s="188">
        <v>30.768999999999998</v>
      </c>
      <c r="I296" s="19"/>
      <c r="K296" s="19"/>
      <c r="L296" s="96"/>
      <c r="M296" s="24"/>
      <c r="N296" s="189"/>
    </row>
    <row r="297" spans="1:14" x14ac:dyDescent="0.25">
      <c r="A297" s="187"/>
      <c r="B297" s="24">
        <v>3</v>
      </c>
      <c r="C297" s="24">
        <v>6.8899999999999994E-5</v>
      </c>
      <c r="D297" s="24">
        <v>21250</v>
      </c>
      <c r="E297" s="180">
        <v>19100</v>
      </c>
      <c r="F297" s="180">
        <f t="shared" si="36"/>
        <v>2150</v>
      </c>
      <c r="G297" s="180">
        <f t="shared" si="37"/>
        <v>31204644.412191585</v>
      </c>
      <c r="H297" s="188">
        <v>31.204999999999998</v>
      </c>
      <c r="I297" s="19"/>
      <c r="K297" s="19"/>
      <c r="L297" s="96"/>
      <c r="M297" s="24"/>
      <c r="N297" s="189"/>
    </row>
    <row r="298" spans="1:14" x14ac:dyDescent="0.25">
      <c r="A298" s="187"/>
      <c r="B298" s="24">
        <v>4</v>
      </c>
      <c r="C298" s="24">
        <v>6.8899999999999994E-5</v>
      </c>
      <c r="D298" s="24">
        <v>19100</v>
      </c>
      <c r="E298" s="180">
        <v>17001</v>
      </c>
      <c r="F298" s="180">
        <f t="shared" si="36"/>
        <v>2099</v>
      </c>
      <c r="G298" s="180">
        <f t="shared" si="37"/>
        <v>30464441.219158202</v>
      </c>
      <c r="H298" s="188">
        <v>30.463999999999999</v>
      </c>
      <c r="I298" s="19"/>
      <c r="K298" s="19"/>
      <c r="L298" s="96"/>
      <c r="M298" s="24"/>
      <c r="N298" s="204"/>
    </row>
    <row r="299" spans="1:14" x14ac:dyDescent="0.25">
      <c r="A299" s="187" t="s">
        <v>760</v>
      </c>
      <c r="B299" s="24">
        <v>5</v>
      </c>
      <c r="C299" s="24">
        <v>6.8899999999999994E-5</v>
      </c>
      <c r="D299" s="24">
        <v>17001</v>
      </c>
      <c r="E299" s="180">
        <v>14860</v>
      </c>
      <c r="F299" s="180">
        <f t="shared" si="36"/>
        <v>2141</v>
      </c>
      <c r="G299" s="180">
        <f t="shared" si="37"/>
        <v>31074020.319303341</v>
      </c>
      <c r="H299" s="188">
        <v>31.074000000000002</v>
      </c>
      <c r="I299" s="19"/>
      <c r="K299" s="19"/>
      <c r="L299" s="96"/>
      <c r="M299" s="24"/>
      <c r="N299" s="189"/>
    </row>
    <row r="300" spans="1:14" x14ac:dyDescent="0.25">
      <c r="A300" s="190" t="s">
        <v>754</v>
      </c>
      <c r="B300" s="24">
        <v>6</v>
      </c>
      <c r="C300" s="24">
        <v>6.8899999999999994E-5</v>
      </c>
      <c r="D300" s="24">
        <v>14860</v>
      </c>
      <c r="E300" s="180">
        <v>12640</v>
      </c>
      <c r="F300" s="180">
        <f t="shared" si="36"/>
        <v>2220</v>
      </c>
      <c r="G300" s="180">
        <f t="shared" si="37"/>
        <v>32220609.579100147</v>
      </c>
      <c r="H300" s="188">
        <v>32.220999999999997</v>
      </c>
      <c r="I300" s="19"/>
      <c r="J300" s="56">
        <v>19</v>
      </c>
      <c r="K300" s="19"/>
      <c r="L300" s="96"/>
      <c r="M300" s="24"/>
      <c r="N300" s="189"/>
    </row>
    <row r="301" spans="1:14" x14ac:dyDescent="0.25">
      <c r="A301" s="218" t="s">
        <v>809</v>
      </c>
      <c r="B301" s="24">
        <v>7</v>
      </c>
      <c r="C301" s="24">
        <v>6.8899999999999994E-5</v>
      </c>
      <c r="D301" s="24">
        <v>12640</v>
      </c>
      <c r="E301" s="180">
        <v>10570</v>
      </c>
      <c r="F301" s="179">
        <f t="shared" si="36"/>
        <v>2070</v>
      </c>
      <c r="G301" s="180">
        <f t="shared" si="37"/>
        <v>30043541.364296082</v>
      </c>
      <c r="H301" s="188">
        <v>30.044</v>
      </c>
      <c r="I301" s="19"/>
      <c r="K301" s="19"/>
      <c r="L301" s="96"/>
      <c r="M301" s="24" t="s">
        <v>822</v>
      </c>
      <c r="N301" s="189"/>
    </row>
    <row r="302" spans="1:14" x14ac:dyDescent="0.25">
      <c r="A302" s="187"/>
      <c r="B302" s="24">
        <v>8</v>
      </c>
      <c r="C302" s="24">
        <v>6.8899999999999994E-5</v>
      </c>
      <c r="D302" s="24">
        <v>10570</v>
      </c>
      <c r="E302" s="180">
        <v>8450</v>
      </c>
      <c r="F302" s="180">
        <f t="shared" si="36"/>
        <v>2120</v>
      </c>
      <c r="G302" s="180">
        <f t="shared" si="37"/>
        <v>30769230.769230772</v>
      </c>
      <c r="H302" s="188">
        <v>30.768999999999998</v>
      </c>
      <c r="I302" s="19"/>
      <c r="K302" s="19"/>
      <c r="L302" s="96"/>
      <c r="M302" s="24" t="s">
        <v>823</v>
      </c>
      <c r="N302" s="189"/>
    </row>
    <row r="303" spans="1:14" x14ac:dyDescent="0.25">
      <c r="A303" s="187"/>
      <c r="B303" s="24">
        <v>9</v>
      </c>
      <c r="C303" s="24">
        <v>6.8899999999999994E-5</v>
      </c>
      <c r="D303" s="24">
        <v>8450</v>
      </c>
      <c r="E303" s="180">
        <v>6407</v>
      </c>
      <c r="F303" s="180">
        <f t="shared" si="36"/>
        <v>2043</v>
      </c>
      <c r="G303" s="180">
        <f t="shared" si="37"/>
        <v>29651669.085631352</v>
      </c>
      <c r="H303" s="188">
        <v>29.652000000000001</v>
      </c>
      <c r="I303" s="19"/>
      <c r="K303" s="19"/>
      <c r="L303" s="96"/>
      <c r="M303" s="24"/>
      <c r="N303" s="189"/>
    </row>
    <row r="304" spans="1:14" x14ac:dyDescent="0.25">
      <c r="A304" s="187"/>
      <c r="B304" s="24">
        <v>10</v>
      </c>
      <c r="C304" s="24">
        <v>6.8899999999999994E-5</v>
      </c>
      <c r="D304" s="24">
        <v>6407</v>
      </c>
      <c r="E304" s="180">
        <v>4252</v>
      </c>
      <c r="F304" s="180">
        <f t="shared" si="36"/>
        <v>2155</v>
      </c>
      <c r="G304" s="180">
        <f t="shared" si="37"/>
        <v>31277213.352685053</v>
      </c>
      <c r="H304" s="188">
        <v>31.277000000000001</v>
      </c>
      <c r="I304" s="19"/>
      <c r="K304" s="19"/>
      <c r="L304" s="96"/>
      <c r="M304" s="24"/>
      <c r="N304" s="189"/>
    </row>
    <row r="305" spans="1:14" x14ac:dyDescent="0.25">
      <c r="A305" s="187"/>
      <c r="B305" s="24">
        <v>11</v>
      </c>
      <c r="C305" s="24">
        <v>6.8899999999999994E-5</v>
      </c>
      <c r="D305" s="24">
        <v>4252</v>
      </c>
      <c r="E305" s="180">
        <v>2206</v>
      </c>
      <c r="F305" s="180">
        <f t="shared" si="36"/>
        <v>2046</v>
      </c>
      <c r="G305" s="180">
        <f t="shared" si="37"/>
        <v>29695210.449927434</v>
      </c>
      <c r="H305" s="188">
        <v>29.695</v>
      </c>
      <c r="I305" s="19"/>
      <c r="K305" s="19"/>
      <c r="L305" s="96"/>
      <c r="M305" s="24"/>
      <c r="N305" s="189"/>
    </row>
    <row r="306" spans="1:14" x14ac:dyDescent="0.25">
      <c r="A306" s="187"/>
      <c r="B306" s="24">
        <v>12</v>
      </c>
      <c r="C306" s="24">
        <v>6.8899999999999994E-5</v>
      </c>
      <c r="D306" s="24">
        <v>2206</v>
      </c>
      <c r="E306" s="180">
        <v>0</v>
      </c>
      <c r="F306" s="180">
        <f t="shared" si="36"/>
        <v>2206</v>
      </c>
      <c r="G306" s="180">
        <f t="shared" si="37"/>
        <v>32017416.545718435</v>
      </c>
      <c r="H306" s="188">
        <v>32.017000000000003</v>
      </c>
      <c r="I306" s="19"/>
      <c r="K306" s="19"/>
      <c r="L306" s="96"/>
      <c r="M306" s="24"/>
      <c r="N306" s="189"/>
    </row>
    <row r="307" spans="1:14" x14ac:dyDescent="0.25">
      <c r="A307" s="187"/>
      <c r="B307" s="24">
        <v>13</v>
      </c>
      <c r="C307" s="24">
        <v>6.8899999999999994E-5</v>
      </c>
      <c r="D307" s="24">
        <v>0</v>
      </c>
      <c r="E307" s="180">
        <v>0</v>
      </c>
      <c r="F307" s="180">
        <f t="shared" si="36"/>
        <v>0</v>
      </c>
      <c r="G307" s="207" t="s">
        <v>762</v>
      </c>
      <c r="H307" s="209" t="s">
        <v>762</v>
      </c>
      <c r="I307" s="19"/>
      <c r="K307" s="19"/>
      <c r="L307" s="96">
        <v>1954</v>
      </c>
      <c r="M307" s="24">
        <v>0</v>
      </c>
      <c r="N307" s="189">
        <v>1954</v>
      </c>
    </row>
    <row r="308" spans="1:14" ht="15.75" thickBot="1" x14ac:dyDescent="0.3">
      <c r="A308" s="191"/>
      <c r="B308" s="103">
        <v>14</v>
      </c>
      <c r="C308" s="103" t="s">
        <v>768</v>
      </c>
      <c r="D308" s="103" t="s">
        <v>768</v>
      </c>
      <c r="E308" s="103" t="s">
        <v>768</v>
      </c>
      <c r="F308" s="103" t="s">
        <v>768</v>
      </c>
      <c r="G308" s="103" t="s">
        <v>768</v>
      </c>
      <c r="H308" s="193" t="s">
        <v>768</v>
      </c>
      <c r="I308" s="19"/>
      <c r="K308" s="19"/>
      <c r="L308" s="225"/>
      <c r="M308" s="198"/>
      <c r="N308" s="226"/>
    </row>
    <row r="309" spans="1:14" ht="15.75" thickBot="1" x14ac:dyDescent="0.3">
      <c r="B309" s="19"/>
      <c r="I309" s="19"/>
      <c r="K309" s="19"/>
      <c r="L309" s="19"/>
      <c r="M309" s="56"/>
      <c r="N309" s="19"/>
    </row>
    <row r="310" spans="1:14" x14ac:dyDescent="0.25">
      <c r="A310" s="184" t="s">
        <v>723</v>
      </c>
      <c r="B310" s="101" t="s">
        <v>42</v>
      </c>
      <c r="C310" s="101" t="s">
        <v>724</v>
      </c>
      <c r="D310" s="101" t="s">
        <v>680</v>
      </c>
      <c r="E310" s="195" t="s">
        <v>681</v>
      </c>
      <c r="F310" s="195" t="s">
        <v>725</v>
      </c>
      <c r="G310" s="101" t="s">
        <v>747</v>
      </c>
      <c r="H310" s="196" t="s">
        <v>748</v>
      </c>
      <c r="I310" s="19"/>
      <c r="K310" s="19"/>
      <c r="L310" s="19"/>
      <c r="M310" s="56"/>
      <c r="N310" s="19"/>
    </row>
    <row r="311" spans="1:14" x14ac:dyDescent="0.25">
      <c r="A311" s="187"/>
      <c r="B311" s="24" t="s">
        <v>679</v>
      </c>
      <c r="C311" s="24">
        <v>3.26E-5</v>
      </c>
      <c r="D311" s="24">
        <v>0</v>
      </c>
      <c r="E311" s="180">
        <v>2089</v>
      </c>
      <c r="F311" s="180">
        <f t="shared" ref="F311:F323" si="38">E311-D311</f>
        <v>2089</v>
      </c>
      <c r="G311" s="24">
        <f t="shared" ref="G311:G323" si="39">F311/C311</f>
        <v>64079754.601226993</v>
      </c>
      <c r="H311" s="188">
        <v>64.08</v>
      </c>
      <c r="I311" s="19"/>
      <c r="K311" s="19"/>
      <c r="L311" s="19"/>
      <c r="M311" s="56"/>
      <c r="N311" s="19"/>
    </row>
    <row r="312" spans="1:14" x14ac:dyDescent="0.25">
      <c r="A312" s="187"/>
      <c r="B312" s="24">
        <v>2</v>
      </c>
      <c r="C312" s="24">
        <v>3.26E-5</v>
      </c>
      <c r="D312" s="24">
        <v>2089</v>
      </c>
      <c r="E312" s="180">
        <v>4116</v>
      </c>
      <c r="F312" s="179">
        <f t="shared" si="38"/>
        <v>2027</v>
      </c>
      <c r="G312" s="24">
        <f t="shared" si="39"/>
        <v>62177914.110429451</v>
      </c>
      <c r="H312" s="188">
        <v>62.177999999999997</v>
      </c>
      <c r="I312" s="19"/>
      <c r="K312" s="19"/>
      <c r="L312" s="19"/>
      <c r="M312" s="56"/>
      <c r="N312" s="19"/>
    </row>
    <row r="313" spans="1:14" x14ac:dyDescent="0.25">
      <c r="A313" s="187"/>
      <c r="B313" s="24">
        <v>3</v>
      </c>
      <c r="C313" s="24">
        <v>3.26E-5</v>
      </c>
      <c r="D313" s="24">
        <v>4116</v>
      </c>
      <c r="E313" s="180">
        <v>6202</v>
      </c>
      <c r="F313" s="180">
        <f t="shared" si="38"/>
        <v>2086</v>
      </c>
      <c r="G313" s="24">
        <f t="shared" si="39"/>
        <v>63987730.061349697</v>
      </c>
      <c r="H313" s="188">
        <v>63.988</v>
      </c>
      <c r="I313" s="19"/>
      <c r="K313" s="19"/>
      <c r="L313" s="19"/>
      <c r="M313" s="56"/>
      <c r="N313" s="19"/>
    </row>
    <row r="314" spans="1:14" x14ac:dyDescent="0.25">
      <c r="A314" s="187"/>
      <c r="B314" s="24">
        <v>4</v>
      </c>
      <c r="C314" s="24">
        <v>3.26E-5</v>
      </c>
      <c r="D314" s="24">
        <v>6202</v>
      </c>
      <c r="E314" s="180">
        <v>8180</v>
      </c>
      <c r="F314" s="180">
        <f t="shared" si="38"/>
        <v>1978</v>
      </c>
      <c r="G314" s="24">
        <f t="shared" si="39"/>
        <v>60674846.625766873</v>
      </c>
      <c r="H314" s="188">
        <v>60.674999999999997</v>
      </c>
      <c r="I314" s="19"/>
      <c r="K314" s="19"/>
      <c r="L314" s="19"/>
      <c r="M314" s="56"/>
      <c r="N314" s="19"/>
    </row>
    <row r="315" spans="1:14" x14ac:dyDescent="0.25">
      <c r="A315" s="187" t="s">
        <v>760</v>
      </c>
      <c r="B315" s="24">
        <v>5</v>
      </c>
      <c r="C315" s="24">
        <v>3.26E-5</v>
      </c>
      <c r="D315" s="24">
        <v>8180</v>
      </c>
      <c r="E315" s="180">
        <v>10130</v>
      </c>
      <c r="F315" s="180">
        <f t="shared" si="38"/>
        <v>1950</v>
      </c>
      <c r="G315" s="24">
        <f t="shared" si="39"/>
        <v>59815950.920245402</v>
      </c>
      <c r="H315" s="188">
        <v>59.816000000000003</v>
      </c>
      <c r="I315" s="19"/>
      <c r="K315" s="19"/>
      <c r="L315" s="19"/>
      <c r="M315" s="56"/>
      <c r="N315" s="19"/>
    </row>
    <row r="316" spans="1:14" x14ac:dyDescent="0.25">
      <c r="A316" s="190" t="s">
        <v>761</v>
      </c>
      <c r="B316" s="24">
        <v>6</v>
      </c>
      <c r="C316" s="24">
        <v>3.26E-5</v>
      </c>
      <c r="D316" s="24">
        <v>10130</v>
      </c>
      <c r="E316" s="180">
        <v>12150</v>
      </c>
      <c r="F316" s="180">
        <f t="shared" si="38"/>
        <v>2020</v>
      </c>
      <c r="G316" s="24">
        <f t="shared" si="39"/>
        <v>61963190.184049077</v>
      </c>
      <c r="H316" s="188">
        <v>61.692999999999998</v>
      </c>
      <c r="I316" s="19"/>
      <c r="J316" s="56">
        <v>20</v>
      </c>
      <c r="K316" s="19"/>
      <c r="L316" s="19"/>
      <c r="M316" s="56"/>
      <c r="N316" s="19"/>
    </row>
    <row r="317" spans="1:14" x14ac:dyDescent="0.25">
      <c r="A317" s="218" t="s">
        <v>810</v>
      </c>
      <c r="B317" s="24">
        <v>7</v>
      </c>
      <c r="C317" s="24">
        <v>3.26E-5</v>
      </c>
      <c r="D317" s="24">
        <v>12150</v>
      </c>
      <c r="E317" s="180">
        <v>14070</v>
      </c>
      <c r="F317" s="179">
        <f t="shared" si="38"/>
        <v>1920</v>
      </c>
      <c r="G317" s="24">
        <f t="shared" si="39"/>
        <v>58895705.521472394</v>
      </c>
      <c r="H317" s="188">
        <v>58.896000000000001</v>
      </c>
      <c r="I317" s="19"/>
      <c r="K317" s="19"/>
      <c r="L317" s="19"/>
      <c r="M317" s="56"/>
      <c r="N317" s="19"/>
    </row>
    <row r="318" spans="1:14" x14ac:dyDescent="0.25">
      <c r="A318" s="187"/>
      <c r="B318" s="24">
        <v>8</v>
      </c>
      <c r="C318" s="24">
        <v>3.26E-5</v>
      </c>
      <c r="D318" s="24">
        <v>14070</v>
      </c>
      <c r="E318" s="180">
        <v>16190</v>
      </c>
      <c r="F318" s="180">
        <f t="shared" si="38"/>
        <v>2120</v>
      </c>
      <c r="G318" s="24">
        <f t="shared" si="39"/>
        <v>65030674.846625768</v>
      </c>
      <c r="H318" s="188">
        <v>65.031000000000006</v>
      </c>
      <c r="I318" s="19"/>
      <c r="K318" s="19"/>
      <c r="L318" s="19"/>
      <c r="M318" s="56"/>
      <c r="N318" s="19"/>
    </row>
    <row r="319" spans="1:14" x14ac:dyDescent="0.25">
      <c r="A319" s="187"/>
      <c r="B319" s="24">
        <v>9</v>
      </c>
      <c r="C319" s="24">
        <v>3.26E-5</v>
      </c>
      <c r="D319" s="24">
        <v>16190</v>
      </c>
      <c r="E319" s="180">
        <v>18160</v>
      </c>
      <c r="F319" s="180">
        <f t="shared" si="38"/>
        <v>1970</v>
      </c>
      <c r="G319" s="24">
        <f t="shared" si="39"/>
        <v>60429447.85276074</v>
      </c>
      <c r="H319" s="188">
        <v>60.429000000000002</v>
      </c>
      <c r="I319" s="19"/>
      <c r="K319" s="19"/>
      <c r="L319" s="19"/>
      <c r="M319" s="56"/>
      <c r="N319" s="19"/>
    </row>
    <row r="320" spans="1:14" x14ac:dyDescent="0.25">
      <c r="A320" s="187"/>
      <c r="B320" s="24">
        <v>10</v>
      </c>
      <c r="C320" s="24">
        <v>3.26E-5</v>
      </c>
      <c r="D320" s="24">
        <v>18160</v>
      </c>
      <c r="E320" s="180">
        <v>20130</v>
      </c>
      <c r="F320" s="180">
        <f t="shared" si="38"/>
        <v>1970</v>
      </c>
      <c r="G320" s="24">
        <f t="shared" si="39"/>
        <v>60429447.85276074</v>
      </c>
      <c r="H320" s="188">
        <v>60.429000000000002</v>
      </c>
      <c r="I320" s="19"/>
      <c r="K320" s="19"/>
      <c r="L320" s="19"/>
      <c r="M320" s="56"/>
      <c r="N320" s="19"/>
    </row>
    <row r="321" spans="1:14" x14ac:dyDescent="0.25">
      <c r="A321" s="187"/>
      <c r="B321" s="24">
        <v>11</v>
      </c>
      <c r="C321" s="24">
        <v>3.26E-5</v>
      </c>
      <c r="D321" s="24">
        <v>20130</v>
      </c>
      <c r="E321" s="180">
        <v>22010</v>
      </c>
      <c r="F321" s="180">
        <f t="shared" si="38"/>
        <v>1880</v>
      </c>
      <c r="G321" s="24">
        <f t="shared" si="39"/>
        <v>57668711.656441718</v>
      </c>
      <c r="H321" s="188">
        <v>57.668999999999997</v>
      </c>
      <c r="I321" s="19"/>
      <c r="K321" s="19"/>
      <c r="L321" s="19"/>
      <c r="M321" s="56"/>
      <c r="N321" s="19"/>
    </row>
    <row r="322" spans="1:14" x14ac:dyDescent="0.25">
      <c r="A322" s="187"/>
      <c r="B322" s="24">
        <v>12</v>
      </c>
      <c r="C322" s="24">
        <v>3.26E-5</v>
      </c>
      <c r="D322" s="24">
        <v>22010</v>
      </c>
      <c r="E322" s="180">
        <v>23730</v>
      </c>
      <c r="F322" s="180">
        <f t="shared" si="38"/>
        <v>1720</v>
      </c>
      <c r="G322" s="24">
        <f t="shared" si="39"/>
        <v>52760736.196319021</v>
      </c>
      <c r="H322" s="188">
        <v>52.761000000000003</v>
      </c>
      <c r="I322" s="19"/>
      <c r="K322" s="19"/>
      <c r="L322" s="19"/>
      <c r="M322" s="56"/>
      <c r="N322" s="19"/>
    </row>
    <row r="323" spans="1:14" x14ac:dyDescent="0.25">
      <c r="A323" s="187"/>
      <c r="B323" s="24">
        <v>13</v>
      </c>
      <c r="C323" s="24">
        <v>3.26E-5</v>
      </c>
      <c r="D323" s="24">
        <v>23730</v>
      </c>
      <c r="E323" s="180">
        <v>25780</v>
      </c>
      <c r="F323" s="180">
        <f t="shared" si="38"/>
        <v>2050</v>
      </c>
      <c r="G323" s="24">
        <f t="shared" si="39"/>
        <v>62883435.582822084</v>
      </c>
      <c r="H323" s="188">
        <v>62.883000000000003</v>
      </c>
      <c r="I323" s="19"/>
      <c r="K323" s="19"/>
      <c r="L323" s="19"/>
      <c r="M323" s="56"/>
      <c r="N323" s="19"/>
    </row>
    <row r="324" spans="1:14" ht="15.75" thickBot="1" x14ac:dyDescent="0.3">
      <c r="A324" s="191"/>
      <c r="B324" s="103">
        <v>14</v>
      </c>
      <c r="C324" s="103" t="s">
        <v>768</v>
      </c>
      <c r="D324" s="103" t="s">
        <v>768</v>
      </c>
      <c r="E324" s="103" t="s">
        <v>768</v>
      </c>
      <c r="F324" s="103" t="s">
        <v>768</v>
      </c>
      <c r="G324" s="103" t="s">
        <v>768</v>
      </c>
      <c r="H324" s="193" t="s">
        <v>768</v>
      </c>
      <c r="I324" s="19"/>
      <c r="K324" s="19"/>
      <c r="L324" s="19"/>
      <c r="M324" s="56"/>
      <c r="N324" s="19"/>
    </row>
    <row r="325" spans="1:14" ht="15.75" thickBot="1" x14ac:dyDescent="0.3">
      <c r="B325" s="19"/>
      <c r="I325" s="19"/>
      <c r="K325" s="19"/>
      <c r="L325" s="19"/>
      <c r="M325" s="56"/>
      <c r="N325" s="19"/>
    </row>
    <row r="326" spans="1:14" x14ac:dyDescent="0.25">
      <c r="A326" s="184" t="s">
        <v>723</v>
      </c>
      <c r="B326" s="101" t="s">
        <v>42</v>
      </c>
      <c r="C326" s="101" t="s">
        <v>724</v>
      </c>
      <c r="D326" s="101" t="s">
        <v>680</v>
      </c>
      <c r="E326" s="195" t="s">
        <v>681</v>
      </c>
      <c r="F326" s="195" t="s">
        <v>725</v>
      </c>
      <c r="G326" s="101" t="s">
        <v>747</v>
      </c>
      <c r="H326" s="196" t="s">
        <v>748</v>
      </c>
      <c r="I326" s="19"/>
      <c r="K326" s="19"/>
      <c r="L326" s="222" t="s">
        <v>870</v>
      </c>
      <c r="M326" s="223"/>
      <c r="N326" s="224"/>
    </row>
    <row r="327" spans="1:14" x14ac:dyDescent="0.25">
      <c r="A327" s="187"/>
      <c r="B327" s="24" t="s">
        <v>679</v>
      </c>
      <c r="C327" s="24">
        <v>7.45E-4</v>
      </c>
      <c r="D327" s="24">
        <v>0</v>
      </c>
      <c r="E327" s="180">
        <v>2724</v>
      </c>
      <c r="F327" s="180">
        <f t="shared" ref="F327:F340" si="40">E327-D327</f>
        <v>2724</v>
      </c>
      <c r="G327" s="24">
        <f t="shared" ref="G327:G334" si="41">F327/C327</f>
        <v>3656375.8389261747</v>
      </c>
      <c r="H327" s="188">
        <v>3.6560000000000001</v>
      </c>
      <c r="I327" s="19"/>
      <c r="K327" s="19"/>
      <c r="L327" s="96" t="s">
        <v>773</v>
      </c>
      <c r="M327" s="24" t="s">
        <v>774</v>
      </c>
      <c r="N327" s="204" t="s">
        <v>725</v>
      </c>
    </row>
    <row r="328" spans="1:14" x14ac:dyDescent="0.25">
      <c r="A328" s="187"/>
      <c r="B328" s="24">
        <v>2</v>
      </c>
      <c r="C328" s="24">
        <v>7.45E-4</v>
      </c>
      <c r="D328" s="24">
        <v>2724</v>
      </c>
      <c r="E328" s="180">
        <v>5394</v>
      </c>
      <c r="F328" s="179">
        <f t="shared" si="40"/>
        <v>2670</v>
      </c>
      <c r="G328" s="24">
        <f t="shared" si="41"/>
        <v>3583892.6174496645</v>
      </c>
      <c r="H328" s="188">
        <v>3.5840000000000001</v>
      </c>
      <c r="I328" s="19"/>
      <c r="K328" s="19"/>
      <c r="L328" s="96"/>
      <c r="M328" s="24"/>
      <c r="N328" s="189"/>
    </row>
    <row r="329" spans="1:14" x14ac:dyDescent="0.25">
      <c r="A329" s="187"/>
      <c r="B329" s="24">
        <v>3</v>
      </c>
      <c r="C329" s="24">
        <v>7.45E-4</v>
      </c>
      <c r="D329" s="24">
        <v>5394</v>
      </c>
      <c r="E329" s="180">
        <v>8040</v>
      </c>
      <c r="F329" s="180">
        <f t="shared" si="40"/>
        <v>2646</v>
      </c>
      <c r="G329" s="24">
        <f t="shared" si="41"/>
        <v>3551677.8523489931</v>
      </c>
      <c r="H329" s="188">
        <v>3.552</v>
      </c>
      <c r="I329" s="19"/>
      <c r="K329" s="19"/>
      <c r="L329" s="96"/>
      <c r="M329" s="24"/>
      <c r="N329" s="189"/>
    </row>
    <row r="330" spans="1:14" x14ac:dyDescent="0.25">
      <c r="A330" s="187"/>
      <c r="B330" s="24">
        <v>4</v>
      </c>
      <c r="C330" s="24">
        <v>7.45E-4</v>
      </c>
      <c r="D330" s="24">
        <v>8040</v>
      </c>
      <c r="E330" s="180">
        <v>10750</v>
      </c>
      <c r="F330" s="180">
        <f t="shared" si="40"/>
        <v>2710</v>
      </c>
      <c r="G330" s="24">
        <f t="shared" si="41"/>
        <v>3637583.8926174496</v>
      </c>
      <c r="H330" s="188">
        <v>3.3679999999999999</v>
      </c>
      <c r="I330" s="19"/>
      <c r="K330" s="19"/>
      <c r="L330" s="96"/>
      <c r="M330" s="24"/>
      <c r="N330" s="204"/>
    </row>
    <row r="331" spans="1:14" x14ac:dyDescent="0.25">
      <c r="A331" s="187" t="s">
        <v>760</v>
      </c>
      <c r="B331" s="24">
        <v>5</v>
      </c>
      <c r="C331" s="24">
        <v>7.45E-4</v>
      </c>
      <c r="D331" s="24">
        <v>10750</v>
      </c>
      <c r="E331" s="180">
        <v>13420</v>
      </c>
      <c r="F331" s="180">
        <f t="shared" si="40"/>
        <v>2670</v>
      </c>
      <c r="G331" s="24">
        <f t="shared" si="41"/>
        <v>3583892.6174496645</v>
      </c>
      <c r="H331" s="188">
        <v>3.5840000000000001</v>
      </c>
      <c r="I331" s="19"/>
      <c r="K331" s="19"/>
      <c r="L331" s="96"/>
      <c r="M331" s="24"/>
      <c r="N331" s="189"/>
    </row>
    <row r="332" spans="1:14" x14ac:dyDescent="0.25">
      <c r="A332" s="190" t="s">
        <v>761</v>
      </c>
      <c r="B332" s="24">
        <v>6</v>
      </c>
      <c r="C332" s="24">
        <v>7.45E-4</v>
      </c>
      <c r="D332" s="24">
        <v>13420</v>
      </c>
      <c r="E332" s="180">
        <v>16110</v>
      </c>
      <c r="F332" s="180">
        <f t="shared" si="40"/>
        <v>2690</v>
      </c>
      <c r="G332" s="24">
        <f t="shared" si="41"/>
        <v>3610738.2550335568</v>
      </c>
      <c r="H332" s="188">
        <v>3.6110000000000002</v>
      </c>
      <c r="I332" s="19"/>
      <c r="J332" s="56">
        <v>21</v>
      </c>
      <c r="K332" s="19"/>
      <c r="L332" s="96"/>
      <c r="M332" s="24"/>
      <c r="N332" s="189"/>
    </row>
    <row r="333" spans="1:14" x14ac:dyDescent="0.25">
      <c r="A333" s="218" t="s">
        <v>825</v>
      </c>
      <c r="B333" s="24">
        <v>7</v>
      </c>
      <c r="C333" s="24">
        <v>7.45E-4</v>
      </c>
      <c r="D333" s="24">
        <v>16110</v>
      </c>
      <c r="E333" s="180">
        <v>18800</v>
      </c>
      <c r="F333" s="179">
        <f t="shared" si="40"/>
        <v>2690</v>
      </c>
      <c r="G333" s="24">
        <f t="shared" si="41"/>
        <v>3610738.2550335568</v>
      </c>
      <c r="H333" s="188">
        <v>3.6110000000000002</v>
      </c>
      <c r="I333" s="19"/>
      <c r="K333" s="19"/>
      <c r="L333" s="96"/>
      <c r="M333" s="24" t="s">
        <v>828</v>
      </c>
      <c r="N333" s="189"/>
    </row>
    <row r="334" spans="1:14" x14ac:dyDescent="0.25">
      <c r="A334" s="187"/>
      <c r="B334" s="24">
        <v>8</v>
      </c>
      <c r="C334" s="24">
        <v>7.45E-4</v>
      </c>
      <c r="D334" s="24">
        <v>18800</v>
      </c>
      <c r="E334" s="180">
        <v>21500</v>
      </c>
      <c r="F334" s="180">
        <f t="shared" si="40"/>
        <v>2700</v>
      </c>
      <c r="G334" s="24">
        <f t="shared" si="41"/>
        <v>3624161.0738255032</v>
      </c>
      <c r="H334" s="188">
        <v>3.6240000000000001</v>
      </c>
      <c r="I334" s="19"/>
      <c r="K334" s="19"/>
      <c r="L334" s="96"/>
      <c r="M334" s="24" t="s">
        <v>827</v>
      </c>
      <c r="N334" s="189"/>
    </row>
    <row r="335" spans="1:14" x14ac:dyDescent="0.25">
      <c r="A335" s="187"/>
      <c r="B335" s="24">
        <v>9</v>
      </c>
      <c r="C335" s="24">
        <v>7.45E-4</v>
      </c>
      <c r="D335" s="24">
        <v>21500</v>
      </c>
      <c r="E335" s="180">
        <v>21500</v>
      </c>
      <c r="F335" s="180">
        <f t="shared" si="40"/>
        <v>0</v>
      </c>
      <c r="G335" s="207" t="s">
        <v>762</v>
      </c>
      <c r="H335" s="207" t="s">
        <v>762</v>
      </c>
      <c r="I335" s="19"/>
      <c r="K335" s="19"/>
      <c r="L335" s="96">
        <v>15260</v>
      </c>
      <c r="M335" s="24">
        <v>17210</v>
      </c>
      <c r="N335" s="189">
        <f t="shared" ref="N335:N339" si="42">M335-L335</f>
        <v>1950</v>
      </c>
    </row>
    <row r="336" spans="1:14" x14ac:dyDescent="0.25">
      <c r="A336" s="187"/>
      <c r="B336" s="24">
        <v>10</v>
      </c>
      <c r="C336" s="24">
        <v>7.45E-4</v>
      </c>
      <c r="D336" s="24">
        <v>21500</v>
      </c>
      <c r="E336" s="180">
        <v>23780</v>
      </c>
      <c r="F336" s="180">
        <f t="shared" si="40"/>
        <v>2280</v>
      </c>
      <c r="G336" s="24">
        <f>F336/C336</f>
        <v>3060402.6845637583</v>
      </c>
      <c r="H336" s="188">
        <v>3.06</v>
      </c>
      <c r="I336" s="19"/>
      <c r="K336" s="19"/>
      <c r="L336" s="96"/>
      <c r="M336" s="24"/>
      <c r="N336" s="189"/>
    </row>
    <row r="337" spans="1:14" x14ac:dyDescent="0.25">
      <c r="A337" s="187"/>
      <c r="B337" s="24">
        <v>11</v>
      </c>
      <c r="C337" s="24">
        <v>7.45E-4</v>
      </c>
      <c r="D337" s="24">
        <v>23780</v>
      </c>
      <c r="E337" s="180">
        <v>23780</v>
      </c>
      <c r="F337" s="180">
        <f t="shared" si="40"/>
        <v>0</v>
      </c>
      <c r="G337" s="207" t="s">
        <v>762</v>
      </c>
      <c r="H337" s="207" t="s">
        <v>762</v>
      </c>
      <c r="I337" s="19"/>
      <c r="K337" s="19"/>
      <c r="L337" s="96">
        <v>18720</v>
      </c>
      <c r="M337" s="24">
        <v>20240</v>
      </c>
      <c r="N337" s="189">
        <f t="shared" si="42"/>
        <v>1520</v>
      </c>
    </row>
    <row r="338" spans="1:14" x14ac:dyDescent="0.25">
      <c r="A338" s="187"/>
      <c r="B338" s="24">
        <v>12</v>
      </c>
      <c r="C338" s="24">
        <v>7.45E-4</v>
      </c>
      <c r="D338" s="24">
        <v>23780</v>
      </c>
      <c r="E338" s="180">
        <v>23780</v>
      </c>
      <c r="F338" s="180">
        <f t="shared" si="40"/>
        <v>0</v>
      </c>
      <c r="G338" s="207" t="s">
        <v>762</v>
      </c>
      <c r="H338" s="207" t="s">
        <v>762</v>
      </c>
      <c r="I338" s="19"/>
      <c r="K338" s="19"/>
      <c r="L338" s="96">
        <v>20240</v>
      </c>
      <c r="M338" s="24">
        <v>22480</v>
      </c>
      <c r="N338" s="189">
        <f t="shared" si="42"/>
        <v>2240</v>
      </c>
    </row>
    <row r="339" spans="1:14" x14ac:dyDescent="0.25">
      <c r="A339" s="187"/>
      <c r="B339" s="24">
        <v>13</v>
      </c>
      <c r="C339" s="24">
        <v>7.45E-4</v>
      </c>
      <c r="D339" s="24">
        <v>23780</v>
      </c>
      <c r="E339" s="180">
        <v>23780</v>
      </c>
      <c r="F339" s="180">
        <f t="shared" si="40"/>
        <v>0</v>
      </c>
      <c r="G339" s="207" t="s">
        <v>762</v>
      </c>
      <c r="H339" s="207" t="s">
        <v>762</v>
      </c>
      <c r="I339" s="19"/>
      <c r="K339" s="19"/>
      <c r="L339" s="96">
        <v>22480</v>
      </c>
      <c r="M339" s="24">
        <v>24460</v>
      </c>
      <c r="N339" s="189">
        <f t="shared" si="42"/>
        <v>1980</v>
      </c>
    </row>
    <row r="340" spans="1:14" ht="15.75" thickBot="1" x14ac:dyDescent="0.3">
      <c r="A340" s="191"/>
      <c r="B340" s="103">
        <v>14</v>
      </c>
      <c r="C340" s="24">
        <v>7.45E-4</v>
      </c>
      <c r="D340" s="198">
        <v>23780</v>
      </c>
      <c r="E340" s="199">
        <v>25990</v>
      </c>
      <c r="F340" s="199">
        <f t="shared" si="40"/>
        <v>2210</v>
      </c>
      <c r="G340" s="198">
        <f>F340/C340</f>
        <v>2966442.953020134</v>
      </c>
      <c r="H340" s="200">
        <v>2.9660000000000002</v>
      </c>
      <c r="I340" s="19"/>
      <c r="K340" s="19"/>
      <c r="L340" s="225"/>
      <c r="M340" s="198"/>
      <c r="N340" s="226"/>
    </row>
    <row r="341" spans="1:14" ht="15.75" thickBot="1" x14ac:dyDescent="0.3">
      <c r="B341" s="19"/>
      <c r="I341" s="19"/>
      <c r="K341" s="19"/>
      <c r="L341" s="19"/>
      <c r="M341" s="56"/>
      <c r="N341" s="19"/>
    </row>
    <row r="342" spans="1:14" x14ac:dyDescent="0.25">
      <c r="A342" s="184" t="s">
        <v>723</v>
      </c>
      <c r="B342" s="101" t="s">
        <v>42</v>
      </c>
      <c r="C342" s="101" t="s">
        <v>724</v>
      </c>
      <c r="D342" s="101" t="s">
        <v>680</v>
      </c>
      <c r="E342" s="195" t="s">
        <v>681</v>
      </c>
      <c r="F342" s="195" t="s">
        <v>725</v>
      </c>
      <c r="G342" s="101" t="s">
        <v>747</v>
      </c>
      <c r="H342" s="196" t="s">
        <v>748</v>
      </c>
      <c r="I342" s="19"/>
      <c r="K342" s="19"/>
      <c r="L342" s="222" t="s">
        <v>870</v>
      </c>
      <c r="M342" s="223"/>
      <c r="N342" s="224"/>
    </row>
    <row r="343" spans="1:14" x14ac:dyDescent="0.25">
      <c r="A343" s="187"/>
      <c r="B343" s="24" t="s">
        <v>679</v>
      </c>
      <c r="C343" s="24">
        <v>1.3799999999999999E-4</v>
      </c>
      <c r="D343" s="24">
        <v>0</v>
      </c>
      <c r="E343" s="180">
        <v>2326</v>
      </c>
      <c r="F343" s="180">
        <f t="shared" ref="F343:F355" si="43">E343-D343</f>
        <v>2326</v>
      </c>
      <c r="G343" s="24">
        <f t="shared" ref="G343:G355" si="44">F343/C343</f>
        <v>16855072.463768117</v>
      </c>
      <c r="H343" s="188">
        <v>16.855</v>
      </c>
      <c r="I343" s="19"/>
      <c r="K343" s="19"/>
      <c r="L343" s="96" t="s">
        <v>773</v>
      </c>
      <c r="M343" s="24" t="s">
        <v>774</v>
      </c>
      <c r="N343" s="204" t="s">
        <v>725</v>
      </c>
    </row>
    <row r="344" spans="1:14" x14ac:dyDescent="0.25">
      <c r="A344" s="187"/>
      <c r="B344" s="24">
        <v>2</v>
      </c>
      <c r="C344" s="24">
        <v>1.3799999999999999E-4</v>
      </c>
      <c r="D344" s="24">
        <v>2326</v>
      </c>
      <c r="E344" s="180">
        <v>4661</v>
      </c>
      <c r="F344" s="179">
        <f t="shared" si="43"/>
        <v>2335</v>
      </c>
      <c r="G344" s="24">
        <f t="shared" si="44"/>
        <v>16920289.855072465</v>
      </c>
      <c r="H344" s="188">
        <v>16.920000000000002</v>
      </c>
      <c r="I344" s="19"/>
      <c r="K344" s="19"/>
      <c r="L344" s="96"/>
      <c r="M344" s="24"/>
      <c r="N344" s="189"/>
    </row>
    <row r="345" spans="1:14" x14ac:dyDescent="0.25">
      <c r="A345" s="187"/>
      <c r="B345" s="24">
        <v>3</v>
      </c>
      <c r="C345" s="24">
        <v>1.3799999999999999E-4</v>
      </c>
      <c r="D345" s="24">
        <v>4661</v>
      </c>
      <c r="E345" s="180">
        <v>6980</v>
      </c>
      <c r="F345" s="180">
        <f t="shared" si="43"/>
        <v>2319</v>
      </c>
      <c r="G345" s="24">
        <f t="shared" si="44"/>
        <v>16804347.826086957</v>
      </c>
      <c r="H345" s="188">
        <v>16.803999999999998</v>
      </c>
      <c r="I345" s="19"/>
      <c r="K345" s="19"/>
      <c r="L345" s="96"/>
      <c r="M345" s="24"/>
      <c r="N345" s="189"/>
    </row>
    <row r="346" spans="1:14" x14ac:dyDescent="0.25">
      <c r="A346" s="187"/>
      <c r="B346" s="24">
        <v>4</v>
      </c>
      <c r="C346" s="24">
        <v>1.3799999999999999E-4</v>
      </c>
      <c r="D346" s="24">
        <v>6980</v>
      </c>
      <c r="E346" s="180">
        <v>9310</v>
      </c>
      <c r="F346" s="180">
        <f t="shared" si="43"/>
        <v>2330</v>
      </c>
      <c r="G346" s="24">
        <f t="shared" si="44"/>
        <v>16884057.971014492</v>
      </c>
      <c r="H346" s="188">
        <v>16.884</v>
      </c>
      <c r="I346" s="19"/>
      <c r="K346" s="19"/>
      <c r="L346" s="96"/>
      <c r="M346" s="24"/>
      <c r="N346" s="204"/>
    </row>
    <row r="347" spans="1:14" x14ac:dyDescent="0.25">
      <c r="A347" s="187" t="s">
        <v>760</v>
      </c>
      <c r="B347" s="24">
        <v>5</v>
      </c>
      <c r="C347" s="24">
        <v>1.3799999999999999E-4</v>
      </c>
      <c r="D347" s="24">
        <v>9310</v>
      </c>
      <c r="E347" s="180">
        <v>11660</v>
      </c>
      <c r="F347" s="180">
        <f t="shared" si="43"/>
        <v>2350</v>
      </c>
      <c r="G347" s="24">
        <f t="shared" si="44"/>
        <v>17028985.507246379</v>
      </c>
      <c r="H347" s="188">
        <v>17.029</v>
      </c>
      <c r="I347" s="19"/>
      <c r="K347" s="19"/>
      <c r="L347" s="96"/>
      <c r="M347" s="24"/>
      <c r="N347" s="189"/>
    </row>
    <row r="348" spans="1:14" x14ac:dyDescent="0.25">
      <c r="A348" s="190" t="s">
        <v>761</v>
      </c>
      <c r="B348" s="24">
        <v>6</v>
      </c>
      <c r="C348" s="24">
        <v>1.3799999999999999E-4</v>
      </c>
      <c r="D348" s="24">
        <v>11660</v>
      </c>
      <c r="E348" s="180">
        <v>14110</v>
      </c>
      <c r="F348" s="180">
        <f t="shared" si="43"/>
        <v>2450</v>
      </c>
      <c r="G348" s="24">
        <f t="shared" si="44"/>
        <v>17753623.188405797</v>
      </c>
      <c r="H348" s="188">
        <v>17.754000000000001</v>
      </c>
      <c r="I348" s="19"/>
      <c r="J348" s="56">
        <v>22</v>
      </c>
      <c r="K348" s="19"/>
      <c r="L348" s="96"/>
      <c r="M348" s="24"/>
      <c r="N348" s="189"/>
    </row>
    <row r="349" spans="1:14" x14ac:dyDescent="0.25">
      <c r="A349" s="218" t="s">
        <v>826</v>
      </c>
      <c r="B349" s="24">
        <v>7</v>
      </c>
      <c r="C349" s="24">
        <v>1.3799999999999999E-4</v>
      </c>
      <c r="D349" s="24">
        <v>14110</v>
      </c>
      <c r="E349" s="180">
        <v>16280</v>
      </c>
      <c r="F349" s="179">
        <f t="shared" si="43"/>
        <v>2170</v>
      </c>
      <c r="G349" s="24">
        <f t="shared" si="44"/>
        <v>15724637.681159422</v>
      </c>
      <c r="H349" s="188">
        <v>15.725</v>
      </c>
      <c r="I349" s="19"/>
      <c r="K349" s="19"/>
      <c r="L349" s="96"/>
      <c r="M349" s="24" t="s">
        <v>829</v>
      </c>
      <c r="N349" s="189"/>
    </row>
    <row r="350" spans="1:14" x14ac:dyDescent="0.25">
      <c r="A350" s="187"/>
      <c r="B350" s="24">
        <v>8</v>
      </c>
      <c r="C350" s="24">
        <v>1.3799999999999999E-4</v>
      </c>
      <c r="D350" s="24">
        <v>16280</v>
      </c>
      <c r="E350" s="180">
        <v>18820</v>
      </c>
      <c r="F350" s="180">
        <f t="shared" si="43"/>
        <v>2540</v>
      </c>
      <c r="G350" s="24">
        <f t="shared" si="44"/>
        <v>18405797.101449277</v>
      </c>
      <c r="H350" s="188">
        <v>18.405999999999999</v>
      </c>
      <c r="I350" s="19"/>
      <c r="K350" s="19"/>
      <c r="L350" s="96"/>
      <c r="M350" s="24" t="s">
        <v>830</v>
      </c>
      <c r="N350" s="189"/>
    </row>
    <row r="351" spans="1:14" x14ac:dyDescent="0.25">
      <c r="A351" s="187"/>
      <c r="B351" s="24">
        <v>9</v>
      </c>
      <c r="C351" s="24">
        <v>1.3799999999999999E-4</v>
      </c>
      <c r="D351" s="24">
        <v>18820</v>
      </c>
      <c r="E351" s="180">
        <v>18830</v>
      </c>
      <c r="F351" s="180">
        <f t="shared" si="43"/>
        <v>10</v>
      </c>
      <c r="G351" s="207">
        <f>F351/C351</f>
        <v>72463.768115942032</v>
      </c>
      <c r="H351" s="207" t="s">
        <v>762</v>
      </c>
      <c r="I351" s="19"/>
      <c r="K351" s="19"/>
      <c r="L351" s="96">
        <v>16010</v>
      </c>
      <c r="M351" s="24">
        <v>18010</v>
      </c>
      <c r="N351" s="189">
        <v>2000</v>
      </c>
    </row>
    <row r="352" spans="1:14" x14ac:dyDescent="0.25">
      <c r="A352" s="187"/>
      <c r="B352" s="24">
        <v>10</v>
      </c>
      <c r="C352" s="24">
        <v>1.3799999999999999E-4</v>
      </c>
      <c r="D352" s="24">
        <v>18830</v>
      </c>
      <c r="E352" s="180">
        <v>18830</v>
      </c>
      <c r="F352" s="180">
        <f t="shared" si="43"/>
        <v>0</v>
      </c>
      <c r="G352" s="207">
        <f t="shared" si="44"/>
        <v>0</v>
      </c>
      <c r="H352" s="207" t="s">
        <v>762</v>
      </c>
      <c r="I352" s="19"/>
      <c r="K352" s="19"/>
      <c r="L352" s="96">
        <v>18010</v>
      </c>
      <c r="M352" s="24">
        <v>19750</v>
      </c>
      <c r="N352" s="189">
        <v>1740</v>
      </c>
    </row>
    <row r="353" spans="1:14" x14ac:dyDescent="0.25">
      <c r="A353" s="187"/>
      <c r="B353" s="24">
        <v>11</v>
      </c>
      <c r="C353" s="24">
        <v>1.3799999999999999E-4</v>
      </c>
      <c r="D353" s="24">
        <v>18830</v>
      </c>
      <c r="E353" s="180">
        <v>21020</v>
      </c>
      <c r="F353" s="180">
        <f t="shared" si="43"/>
        <v>2190</v>
      </c>
      <c r="G353" s="24">
        <f t="shared" si="44"/>
        <v>15869565.217391305</v>
      </c>
      <c r="H353" s="188">
        <v>15.87</v>
      </c>
      <c r="I353" s="19"/>
      <c r="K353" s="19"/>
      <c r="L353" s="96"/>
      <c r="M353" s="24"/>
      <c r="N353" s="189"/>
    </row>
    <row r="354" spans="1:14" x14ac:dyDescent="0.25">
      <c r="A354" s="187"/>
      <c r="B354" s="24">
        <v>12</v>
      </c>
      <c r="C354" s="24">
        <v>1.3799999999999999E-4</v>
      </c>
      <c r="D354" s="24">
        <v>21020</v>
      </c>
      <c r="E354" s="180">
        <v>23430</v>
      </c>
      <c r="F354" s="180">
        <f t="shared" si="43"/>
        <v>2410</v>
      </c>
      <c r="G354" s="24">
        <f t="shared" si="44"/>
        <v>17463768.115942031</v>
      </c>
      <c r="H354" s="188">
        <v>17.463999999999999</v>
      </c>
      <c r="I354" s="19"/>
      <c r="K354" s="19"/>
      <c r="L354" s="96"/>
      <c r="M354" s="24"/>
      <c r="N354" s="189"/>
    </row>
    <row r="355" spans="1:14" x14ac:dyDescent="0.25">
      <c r="A355" s="187"/>
      <c r="B355" s="24">
        <v>13</v>
      </c>
      <c r="C355" s="24">
        <v>1.3799999999999999E-4</v>
      </c>
      <c r="D355" s="24">
        <v>23430</v>
      </c>
      <c r="E355" s="180">
        <v>25570</v>
      </c>
      <c r="F355" s="180">
        <f t="shared" si="43"/>
        <v>2140</v>
      </c>
      <c r="G355" s="24">
        <f t="shared" si="44"/>
        <v>15507246.376811596</v>
      </c>
      <c r="H355" s="188">
        <v>15.507</v>
      </c>
      <c r="I355" s="19"/>
      <c r="K355" s="19"/>
      <c r="L355" s="96"/>
      <c r="M355" s="24"/>
      <c r="N355" s="189"/>
    </row>
    <row r="356" spans="1:14" ht="15.75" thickBot="1" x14ac:dyDescent="0.3">
      <c r="A356" s="191"/>
      <c r="B356" s="103">
        <v>14</v>
      </c>
      <c r="C356" s="103" t="s">
        <v>768</v>
      </c>
      <c r="D356" s="103" t="s">
        <v>768</v>
      </c>
      <c r="E356" s="103" t="s">
        <v>768</v>
      </c>
      <c r="F356" s="103" t="s">
        <v>768</v>
      </c>
      <c r="G356" s="103" t="s">
        <v>768</v>
      </c>
      <c r="H356" s="193" t="s">
        <v>768</v>
      </c>
      <c r="I356" s="19"/>
      <c r="K356" s="19"/>
      <c r="L356" s="225"/>
      <c r="M356" s="198"/>
      <c r="N356" s="226"/>
    </row>
    <row r="357" spans="1:14" ht="15.75" thickBot="1" x14ac:dyDescent="0.3">
      <c r="B357" s="19"/>
      <c r="I357" s="19"/>
      <c r="K357" s="19"/>
      <c r="L357" s="19"/>
      <c r="M357" s="56"/>
      <c r="N357" s="19"/>
    </row>
    <row r="358" spans="1:14" x14ac:dyDescent="0.25">
      <c r="A358" s="184" t="s">
        <v>723</v>
      </c>
      <c r="B358" s="101" t="s">
        <v>42</v>
      </c>
      <c r="C358" s="101" t="s">
        <v>724</v>
      </c>
      <c r="D358" s="101" t="s">
        <v>680</v>
      </c>
      <c r="E358" s="195" t="s">
        <v>681</v>
      </c>
      <c r="F358" s="195" t="s">
        <v>725</v>
      </c>
      <c r="G358" s="101" t="s">
        <v>747</v>
      </c>
      <c r="H358" s="196" t="s">
        <v>748</v>
      </c>
      <c r="I358" s="19"/>
      <c r="K358" s="19"/>
      <c r="L358" s="222" t="s">
        <v>870</v>
      </c>
      <c r="M358" s="223"/>
      <c r="N358" s="224"/>
    </row>
    <row r="359" spans="1:14" x14ac:dyDescent="0.25">
      <c r="A359" s="187"/>
      <c r="B359" s="24" t="s">
        <v>679</v>
      </c>
      <c r="C359" s="24">
        <v>9.1199999999999994E-5</v>
      </c>
      <c r="D359" s="24">
        <v>0</v>
      </c>
      <c r="E359" s="180">
        <v>2284</v>
      </c>
      <c r="F359" s="180">
        <f t="shared" ref="F359:F371" si="45">E359-D359</f>
        <v>2284</v>
      </c>
      <c r="G359" s="24">
        <f t="shared" ref="G359:G371" si="46">F359/C359</f>
        <v>25043859.649122808</v>
      </c>
      <c r="H359" s="188">
        <v>25.044</v>
      </c>
      <c r="I359" s="19"/>
      <c r="K359" s="19"/>
      <c r="L359" s="96" t="s">
        <v>773</v>
      </c>
      <c r="M359" s="24" t="s">
        <v>774</v>
      </c>
      <c r="N359" s="204" t="s">
        <v>725</v>
      </c>
    </row>
    <row r="360" spans="1:14" x14ac:dyDescent="0.25">
      <c r="A360" s="187"/>
      <c r="B360" s="24">
        <v>2</v>
      </c>
      <c r="C360" s="24">
        <v>9.1199999999999994E-5</v>
      </c>
      <c r="D360" s="24">
        <v>2284</v>
      </c>
      <c r="E360" s="180">
        <v>4602</v>
      </c>
      <c r="F360" s="179">
        <f t="shared" si="45"/>
        <v>2318</v>
      </c>
      <c r="G360" s="24">
        <f t="shared" si="46"/>
        <v>25416666.666666668</v>
      </c>
      <c r="H360" s="188">
        <v>25.417000000000002</v>
      </c>
      <c r="I360" s="19"/>
      <c r="K360" s="19"/>
      <c r="L360" s="96"/>
      <c r="M360" s="24"/>
      <c r="N360" s="189"/>
    </row>
    <row r="361" spans="1:14" x14ac:dyDescent="0.25">
      <c r="A361" s="187"/>
      <c r="B361" s="24">
        <v>3</v>
      </c>
      <c r="C361" s="24">
        <v>9.1199999999999994E-5</v>
      </c>
      <c r="D361" s="24">
        <v>4602</v>
      </c>
      <c r="E361" s="180">
        <v>6710</v>
      </c>
      <c r="F361" s="180">
        <f t="shared" si="45"/>
        <v>2108</v>
      </c>
      <c r="G361" s="24">
        <f t="shared" si="46"/>
        <v>23114035.087719299</v>
      </c>
      <c r="H361" s="188">
        <v>23.114000000000001</v>
      </c>
      <c r="I361" s="19"/>
      <c r="K361" s="19"/>
      <c r="L361" s="96"/>
      <c r="M361" s="24"/>
      <c r="N361" s="189"/>
    </row>
    <row r="362" spans="1:14" x14ac:dyDescent="0.25">
      <c r="A362" s="187"/>
      <c r="B362" s="24">
        <v>4</v>
      </c>
      <c r="C362" s="24">
        <v>9.1199999999999994E-5</v>
      </c>
      <c r="D362" s="24">
        <v>6710</v>
      </c>
      <c r="E362" s="180">
        <v>8820</v>
      </c>
      <c r="F362" s="180">
        <f t="shared" si="45"/>
        <v>2110</v>
      </c>
      <c r="G362" s="24">
        <f t="shared" si="46"/>
        <v>23135964.912280705</v>
      </c>
      <c r="H362" s="188">
        <v>23.135999999999999</v>
      </c>
      <c r="I362" s="19"/>
      <c r="K362" s="19"/>
      <c r="L362" s="96"/>
      <c r="M362" s="24"/>
      <c r="N362" s="204"/>
    </row>
    <row r="363" spans="1:14" x14ac:dyDescent="0.25">
      <c r="A363" s="187" t="s">
        <v>760</v>
      </c>
      <c r="B363" s="24">
        <v>5</v>
      </c>
      <c r="C363" s="24">
        <v>9.1199999999999994E-5</v>
      </c>
      <c r="D363" s="24">
        <v>8820</v>
      </c>
      <c r="E363" s="180">
        <v>11010</v>
      </c>
      <c r="F363" s="180">
        <f t="shared" si="45"/>
        <v>2190</v>
      </c>
      <c r="G363" s="24">
        <f t="shared" si="46"/>
        <v>24013157.894736845</v>
      </c>
      <c r="H363" s="188">
        <v>24.013000000000002</v>
      </c>
      <c r="I363" s="19"/>
      <c r="K363" s="19"/>
      <c r="L363" s="96"/>
      <c r="M363" s="24"/>
      <c r="N363" s="189"/>
    </row>
    <row r="364" spans="1:14" x14ac:dyDescent="0.25">
      <c r="A364" s="190" t="s">
        <v>761</v>
      </c>
      <c r="B364" s="24">
        <v>6</v>
      </c>
      <c r="C364" s="24">
        <v>9.1199999999999994E-5</v>
      </c>
      <c r="D364" s="24">
        <v>11010</v>
      </c>
      <c r="E364" s="180">
        <v>13320</v>
      </c>
      <c r="F364" s="180">
        <f t="shared" si="45"/>
        <v>2310</v>
      </c>
      <c r="G364" s="24">
        <f t="shared" si="46"/>
        <v>25328947.368421055</v>
      </c>
      <c r="H364" s="188">
        <v>25.329000000000001</v>
      </c>
      <c r="I364" s="19"/>
      <c r="J364" s="56">
        <v>23</v>
      </c>
      <c r="K364" s="19"/>
      <c r="L364" s="96"/>
      <c r="M364" s="24"/>
      <c r="N364" s="189"/>
    </row>
    <row r="365" spans="1:14" x14ac:dyDescent="0.25">
      <c r="A365" s="218" t="s">
        <v>863</v>
      </c>
      <c r="B365" s="24">
        <v>7</v>
      </c>
      <c r="C365" s="24">
        <v>9.1199999999999994E-5</v>
      </c>
      <c r="D365" s="24">
        <v>13230</v>
      </c>
      <c r="E365" s="180">
        <v>15420</v>
      </c>
      <c r="F365" s="179">
        <f t="shared" si="45"/>
        <v>2190</v>
      </c>
      <c r="G365" s="24">
        <f t="shared" si="46"/>
        <v>24013157.894736845</v>
      </c>
      <c r="H365" s="188">
        <v>24.013000000000002</v>
      </c>
      <c r="I365" s="19"/>
      <c r="K365" s="19"/>
      <c r="L365" s="96"/>
      <c r="M365" s="24" t="s">
        <v>831</v>
      </c>
      <c r="N365" s="189"/>
    </row>
    <row r="366" spans="1:14" x14ac:dyDescent="0.25">
      <c r="A366" s="187"/>
      <c r="B366" s="24">
        <v>8</v>
      </c>
      <c r="C366" s="24">
        <v>9.1199999999999994E-5</v>
      </c>
      <c r="D366" s="24">
        <v>15420</v>
      </c>
      <c r="E366" s="180">
        <v>17760</v>
      </c>
      <c r="F366" s="180">
        <f t="shared" si="45"/>
        <v>2340</v>
      </c>
      <c r="G366" s="24">
        <f t="shared" si="46"/>
        <v>25657894.736842107</v>
      </c>
      <c r="H366" s="188">
        <v>25.658000000000001</v>
      </c>
      <c r="I366" s="19"/>
      <c r="K366" s="19"/>
      <c r="L366" s="96"/>
      <c r="M366" s="24" t="s">
        <v>832</v>
      </c>
      <c r="N366" s="189"/>
    </row>
    <row r="367" spans="1:14" x14ac:dyDescent="0.25">
      <c r="A367" s="187"/>
      <c r="B367" s="24">
        <v>9</v>
      </c>
      <c r="C367" s="24">
        <v>9.1199999999999994E-5</v>
      </c>
      <c r="D367" s="24">
        <v>17760</v>
      </c>
      <c r="E367" s="180">
        <v>17770</v>
      </c>
      <c r="F367" s="180">
        <f t="shared" si="45"/>
        <v>10</v>
      </c>
      <c r="G367" s="24">
        <f t="shared" si="46"/>
        <v>109649.12280701756</v>
      </c>
      <c r="H367" s="207" t="s">
        <v>762</v>
      </c>
      <c r="I367" s="19"/>
      <c r="K367" s="19"/>
      <c r="L367" s="96">
        <v>16040</v>
      </c>
      <c r="M367" s="24">
        <v>18050</v>
      </c>
      <c r="N367" s="189">
        <v>2010</v>
      </c>
    </row>
    <row r="368" spans="1:14" x14ac:dyDescent="0.25">
      <c r="A368" s="187"/>
      <c r="B368" s="24">
        <v>10</v>
      </c>
      <c r="C368" s="24">
        <v>9.1199999999999994E-5</v>
      </c>
      <c r="D368" s="24">
        <v>17770</v>
      </c>
      <c r="E368" s="180">
        <v>19870</v>
      </c>
      <c r="F368" s="180">
        <f t="shared" si="45"/>
        <v>2100</v>
      </c>
      <c r="G368" s="24">
        <f t="shared" si="46"/>
        <v>23026315.789473686</v>
      </c>
      <c r="H368" s="188">
        <v>23.026</v>
      </c>
      <c r="I368" s="19"/>
      <c r="K368" s="19"/>
      <c r="L368" s="96"/>
      <c r="M368" s="24"/>
      <c r="N368" s="189"/>
    </row>
    <row r="369" spans="1:14" x14ac:dyDescent="0.25">
      <c r="A369" s="187"/>
      <c r="B369" s="24">
        <v>11</v>
      </c>
      <c r="C369" s="24">
        <v>9.1199999999999994E-5</v>
      </c>
      <c r="D369" s="24">
        <v>19870</v>
      </c>
      <c r="E369" s="180">
        <v>21680</v>
      </c>
      <c r="F369" s="180">
        <f t="shared" si="45"/>
        <v>1810</v>
      </c>
      <c r="G369" s="24">
        <f t="shared" si="46"/>
        <v>19846491.228070177</v>
      </c>
      <c r="H369" s="188">
        <v>19.846</v>
      </c>
      <c r="I369" s="19"/>
      <c r="K369" s="19"/>
      <c r="L369" s="96"/>
      <c r="M369" s="24"/>
      <c r="N369" s="189"/>
    </row>
    <row r="370" spans="1:14" x14ac:dyDescent="0.25">
      <c r="A370" s="187"/>
      <c r="B370" s="24">
        <v>12</v>
      </c>
      <c r="C370" s="24">
        <v>9.1199999999999994E-5</v>
      </c>
      <c r="D370" s="24">
        <v>21680</v>
      </c>
      <c r="E370" s="180">
        <v>23770</v>
      </c>
      <c r="F370" s="180">
        <f t="shared" si="45"/>
        <v>2090</v>
      </c>
      <c r="G370" s="24">
        <f t="shared" si="46"/>
        <v>22916666.666666668</v>
      </c>
      <c r="H370" s="188">
        <v>22.917000000000002</v>
      </c>
      <c r="I370" s="19"/>
      <c r="K370" s="19"/>
      <c r="L370" s="96"/>
      <c r="M370" s="24"/>
      <c r="N370" s="189"/>
    </row>
    <row r="371" spans="1:14" x14ac:dyDescent="0.25">
      <c r="A371" s="187"/>
      <c r="B371" s="24">
        <v>13</v>
      </c>
      <c r="C371" s="24">
        <v>9.1199999999999994E-5</v>
      </c>
      <c r="D371" s="24">
        <v>23770</v>
      </c>
      <c r="E371" s="180">
        <v>26020</v>
      </c>
      <c r="F371" s="180">
        <f t="shared" si="45"/>
        <v>2250</v>
      </c>
      <c r="G371" s="24">
        <f t="shared" si="46"/>
        <v>24671052.631578948</v>
      </c>
      <c r="H371" s="188">
        <v>24.670999999999999</v>
      </c>
      <c r="I371" s="19"/>
      <c r="K371" s="19"/>
      <c r="L371" s="96"/>
      <c r="M371" s="24"/>
      <c r="N371" s="189"/>
    </row>
    <row r="372" spans="1:14" ht="15.75" thickBot="1" x14ac:dyDescent="0.3">
      <c r="A372" s="191"/>
      <c r="B372" s="103">
        <v>14</v>
      </c>
      <c r="C372" s="103" t="s">
        <v>768</v>
      </c>
      <c r="D372" s="103" t="s">
        <v>768</v>
      </c>
      <c r="E372" s="103" t="s">
        <v>768</v>
      </c>
      <c r="F372" s="103" t="s">
        <v>768</v>
      </c>
      <c r="G372" s="103" t="s">
        <v>768</v>
      </c>
      <c r="H372" s="193" t="s">
        <v>768</v>
      </c>
      <c r="I372" s="19"/>
      <c r="K372" s="19"/>
      <c r="L372" s="225"/>
      <c r="M372" s="198"/>
      <c r="N372" s="226"/>
    </row>
    <row r="373" spans="1:14" ht="15.75" thickBot="1" x14ac:dyDescent="0.3">
      <c r="B373" s="19"/>
      <c r="I373" s="19"/>
      <c r="K373" s="19"/>
      <c r="L373" s="19"/>
      <c r="M373" s="56"/>
      <c r="N373" s="19"/>
    </row>
    <row r="374" spans="1:14" x14ac:dyDescent="0.25">
      <c r="A374" s="184" t="s">
        <v>723</v>
      </c>
      <c r="B374" s="101" t="s">
        <v>42</v>
      </c>
      <c r="C374" s="101" t="s">
        <v>724</v>
      </c>
      <c r="D374" s="101" t="s">
        <v>680</v>
      </c>
      <c r="E374" s="195" t="s">
        <v>681</v>
      </c>
      <c r="F374" s="195" t="s">
        <v>725</v>
      </c>
      <c r="G374" s="101" t="s">
        <v>747</v>
      </c>
      <c r="H374" s="196" t="s">
        <v>748</v>
      </c>
      <c r="I374" s="19"/>
      <c r="K374" s="19"/>
      <c r="L374" s="222" t="s">
        <v>870</v>
      </c>
      <c r="M374" s="223"/>
      <c r="N374" s="224"/>
    </row>
    <row r="375" spans="1:14" x14ac:dyDescent="0.25">
      <c r="A375" s="187"/>
      <c r="B375" s="24" t="s">
        <v>679</v>
      </c>
      <c r="C375" s="24">
        <v>5.13E-5</v>
      </c>
      <c r="D375" s="24">
        <v>25750</v>
      </c>
      <c r="E375" s="180">
        <v>23540</v>
      </c>
      <c r="F375" s="180">
        <f>D375-E375</f>
        <v>2210</v>
      </c>
      <c r="G375" s="24">
        <f t="shared" ref="G375:G388" si="47">F375/C375</f>
        <v>43079922.027290449</v>
      </c>
      <c r="H375" s="188">
        <v>43.08</v>
      </c>
      <c r="I375" s="19"/>
      <c r="K375" s="19"/>
      <c r="L375" s="96" t="s">
        <v>773</v>
      </c>
      <c r="M375" s="24" t="s">
        <v>774</v>
      </c>
      <c r="N375" s="204" t="s">
        <v>725</v>
      </c>
    </row>
    <row r="376" spans="1:14" x14ac:dyDescent="0.25">
      <c r="A376" s="187"/>
      <c r="B376" s="24">
        <v>2</v>
      </c>
      <c r="C376" s="24">
        <v>5.13E-5</v>
      </c>
      <c r="D376" s="24">
        <v>23540</v>
      </c>
      <c r="E376" s="180">
        <v>21930</v>
      </c>
      <c r="F376" s="179">
        <f t="shared" ref="F376:F388" si="48">D376-E376</f>
        <v>1610</v>
      </c>
      <c r="G376" s="24">
        <f t="shared" si="47"/>
        <v>31384015.594541911</v>
      </c>
      <c r="H376" s="188">
        <v>31.384</v>
      </c>
      <c r="I376" s="19"/>
      <c r="K376" s="19"/>
      <c r="L376" s="96"/>
      <c r="M376" s="24"/>
      <c r="N376" s="189"/>
    </row>
    <row r="377" spans="1:14" x14ac:dyDescent="0.25">
      <c r="A377" s="187"/>
      <c r="B377" s="24">
        <v>3</v>
      </c>
      <c r="C377" s="24">
        <v>5.13E-5</v>
      </c>
      <c r="D377" s="24">
        <v>21930</v>
      </c>
      <c r="E377" s="180">
        <v>19800</v>
      </c>
      <c r="F377" s="180">
        <f t="shared" si="48"/>
        <v>2130</v>
      </c>
      <c r="G377" s="24">
        <f t="shared" si="47"/>
        <v>41520467.836257309</v>
      </c>
      <c r="H377" s="188">
        <v>41.52</v>
      </c>
      <c r="I377" s="19"/>
      <c r="K377" s="19"/>
      <c r="L377" s="96"/>
      <c r="M377" s="24" t="s">
        <v>867</v>
      </c>
      <c r="N377" s="189"/>
    </row>
    <row r="378" spans="1:14" x14ac:dyDescent="0.25">
      <c r="A378" s="187"/>
      <c r="B378" s="24">
        <v>4</v>
      </c>
      <c r="C378" s="24">
        <v>5.13E-5</v>
      </c>
      <c r="D378" s="24">
        <v>19800</v>
      </c>
      <c r="E378" s="180">
        <v>17260</v>
      </c>
      <c r="F378" s="180">
        <f t="shared" si="48"/>
        <v>2540</v>
      </c>
      <c r="G378" s="24">
        <f t="shared" si="47"/>
        <v>49512670.565302141</v>
      </c>
      <c r="H378" s="188">
        <v>49.512999999999998</v>
      </c>
      <c r="I378" s="19"/>
      <c r="K378" s="19"/>
      <c r="L378" s="96"/>
      <c r="M378" s="24" t="s">
        <v>868</v>
      </c>
      <c r="N378" s="204"/>
    </row>
    <row r="379" spans="1:14" x14ac:dyDescent="0.25">
      <c r="A379" s="187" t="s">
        <v>760</v>
      </c>
      <c r="B379" s="24">
        <v>5</v>
      </c>
      <c r="C379" s="24">
        <v>5.13E-5</v>
      </c>
      <c r="D379" s="24">
        <v>17260</v>
      </c>
      <c r="E379" s="180">
        <v>17250</v>
      </c>
      <c r="F379" s="180">
        <f t="shared" si="48"/>
        <v>10</v>
      </c>
      <c r="G379" s="24">
        <f t="shared" si="47"/>
        <v>194931.7738791423</v>
      </c>
      <c r="H379" s="207" t="s">
        <v>762</v>
      </c>
      <c r="I379" s="19"/>
      <c r="K379" s="19"/>
      <c r="L379" s="96">
        <v>17640</v>
      </c>
      <c r="M379" s="24">
        <v>15650</v>
      </c>
      <c r="N379" s="189">
        <v>1990</v>
      </c>
    </row>
    <row r="380" spans="1:14" x14ac:dyDescent="0.25">
      <c r="A380" s="190" t="s">
        <v>754</v>
      </c>
      <c r="B380" s="24">
        <v>6</v>
      </c>
      <c r="C380" s="24">
        <v>5.13E-5</v>
      </c>
      <c r="D380" s="24">
        <v>17250</v>
      </c>
      <c r="E380" s="180">
        <v>15220</v>
      </c>
      <c r="F380" s="180">
        <f t="shared" si="48"/>
        <v>2030</v>
      </c>
      <c r="G380" s="24">
        <f t="shared" si="47"/>
        <v>39571150.097465888</v>
      </c>
      <c r="H380" s="188">
        <v>39.570999999999998</v>
      </c>
      <c r="I380" s="19"/>
      <c r="J380" s="56">
        <v>24</v>
      </c>
      <c r="K380" s="19"/>
      <c r="L380" s="96"/>
      <c r="M380" s="24"/>
      <c r="N380" s="189"/>
    </row>
    <row r="381" spans="1:14" x14ac:dyDescent="0.25">
      <c r="A381" s="218" t="s">
        <v>866</v>
      </c>
      <c r="B381" s="24">
        <v>7</v>
      </c>
      <c r="C381" s="24">
        <v>5.13E-5</v>
      </c>
      <c r="D381" s="24">
        <v>15220</v>
      </c>
      <c r="E381" s="180">
        <v>13830</v>
      </c>
      <c r="F381" s="179">
        <f t="shared" si="48"/>
        <v>1390</v>
      </c>
      <c r="G381" s="24">
        <f t="shared" si="47"/>
        <v>27095516.56920078</v>
      </c>
      <c r="H381" s="188">
        <v>27.096</v>
      </c>
      <c r="I381" s="19"/>
      <c r="K381" s="19"/>
      <c r="L381" s="96"/>
      <c r="M381" s="24"/>
      <c r="N381" s="189"/>
    </row>
    <row r="382" spans="1:14" x14ac:dyDescent="0.25">
      <c r="A382" s="187"/>
      <c r="B382" s="24">
        <v>8</v>
      </c>
      <c r="C382" s="24">
        <v>5.13E-5</v>
      </c>
      <c r="D382" s="24">
        <v>13830</v>
      </c>
      <c r="E382" s="180">
        <v>12310</v>
      </c>
      <c r="F382" s="180">
        <f t="shared" si="48"/>
        <v>1520</v>
      </c>
      <c r="G382" s="24">
        <f t="shared" si="47"/>
        <v>29629629.629629631</v>
      </c>
      <c r="H382" s="188">
        <v>29.63</v>
      </c>
      <c r="I382" s="19"/>
      <c r="K382" s="19"/>
      <c r="L382" s="96"/>
      <c r="M382" s="24"/>
      <c r="N382" s="189"/>
    </row>
    <row r="383" spans="1:14" x14ac:dyDescent="0.25">
      <c r="A383" s="187"/>
      <c r="B383" s="24">
        <v>9</v>
      </c>
      <c r="C383" s="24">
        <v>5.13E-5</v>
      </c>
      <c r="D383" s="24">
        <v>12310</v>
      </c>
      <c r="E383" s="180">
        <v>10540</v>
      </c>
      <c r="F383" s="180">
        <f t="shared" si="48"/>
        <v>1770</v>
      </c>
      <c r="G383" s="24">
        <f t="shared" si="47"/>
        <v>34502923.976608187</v>
      </c>
      <c r="H383" s="188">
        <v>34.503</v>
      </c>
      <c r="I383" s="19"/>
      <c r="K383" s="19"/>
      <c r="L383" s="96"/>
      <c r="M383" s="24"/>
      <c r="N383" s="189"/>
    </row>
    <row r="384" spans="1:14" x14ac:dyDescent="0.25">
      <c r="A384" s="187"/>
      <c r="B384" s="24">
        <v>10</v>
      </c>
      <c r="C384" s="24">
        <v>5.13E-5</v>
      </c>
      <c r="D384" s="24">
        <v>10540</v>
      </c>
      <c r="E384" s="180">
        <v>8530</v>
      </c>
      <c r="F384" s="180">
        <f t="shared" si="48"/>
        <v>2010</v>
      </c>
      <c r="G384" s="24">
        <f t="shared" si="47"/>
        <v>39181286.549707599</v>
      </c>
      <c r="H384" s="188">
        <v>39.180999999999997</v>
      </c>
      <c r="I384" s="19"/>
      <c r="K384" s="19"/>
      <c r="L384" s="96"/>
      <c r="M384" s="24"/>
      <c r="N384" s="189"/>
    </row>
    <row r="385" spans="1:14" x14ac:dyDescent="0.25">
      <c r="A385" s="187"/>
      <c r="B385" s="24">
        <v>11</v>
      </c>
      <c r="C385" s="24">
        <v>5.13E-5</v>
      </c>
      <c r="D385" s="24">
        <v>8530</v>
      </c>
      <c r="E385" s="180">
        <v>6500</v>
      </c>
      <c r="F385" s="180">
        <f t="shared" si="48"/>
        <v>2030</v>
      </c>
      <c r="G385" s="24">
        <f t="shared" si="47"/>
        <v>39571150.097465888</v>
      </c>
      <c r="H385" s="188">
        <v>39.570999999999998</v>
      </c>
      <c r="I385" s="19"/>
      <c r="K385" s="19"/>
      <c r="L385" s="96"/>
      <c r="M385" s="24"/>
      <c r="N385" s="189"/>
    </row>
    <row r="386" spans="1:14" x14ac:dyDescent="0.25">
      <c r="A386" s="187"/>
      <c r="B386" s="24">
        <v>12</v>
      </c>
      <c r="C386" s="24">
        <v>5.13E-5</v>
      </c>
      <c r="D386" s="24">
        <v>6500</v>
      </c>
      <c r="E386" s="180">
        <v>4265</v>
      </c>
      <c r="F386" s="180">
        <f t="shared" si="48"/>
        <v>2235</v>
      </c>
      <c r="G386" s="24">
        <f t="shared" si="47"/>
        <v>43567251.461988308</v>
      </c>
      <c r="H386" s="188">
        <v>43.567</v>
      </c>
      <c r="I386" s="19"/>
      <c r="K386" s="19"/>
      <c r="L386" s="96"/>
      <c r="M386" s="24"/>
      <c r="N386" s="189"/>
    </row>
    <row r="387" spans="1:14" x14ac:dyDescent="0.25">
      <c r="A387" s="187"/>
      <c r="B387" s="24">
        <v>13</v>
      </c>
      <c r="C387" s="24">
        <v>5.13E-5</v>
      </c>
      <c r="D387" s="24">
        <v>4265</v>
      </c>
      <c r="E387" s="180">
        <v>2130</v>
      </c>
      <c r="F387" s="180">
        <f t="shared" si="48"/>
        <v>2135</v>
      </c>
      <c r="G387" s="24">
        <f t="shared" si="47"/>
        <v>41617933.723196879</v>
      </c>
      <c r="H387" s="188">
        <v>41.618000000000002</v>
      </c>
      <c r="I387" s="19"/>
      <c r="K387" s="19"/>
      <c r="L387" s="96"/>
      <c r="M387" s="24"/>
      <c r="N387" s="189"/>
    </row>
    <row r="388" spans="1:14" ht="15.75" thickBot="1" x14ac:dyDescent="0.3">
      <c r="A388" s="191"/>
      <c r="B388" s="103">
        <v>14</v>
      </c>
      <c r="C388" s="24">
        <v>5.13E-5</v>
      </c>
      <c r="D388" s="198">
        <v>2130</v>
      </c>
      <c r="E388" s="199">
        <v>0</v>
      </c>
      <c r="F388" s="199">
        <f t="shared" si="48"/>
        <v>2130</v>
      </c>
      <c r="G388" s="198">
        <f t="shared" si="47"/>
        <v>41520467.836257309</v>
      </c>
      <c r="H388" s="200">
        <v>41.52</v>
      </c>
      <c r="I388" s="19"/>
      <c r="K388" s="19"/>
      <c r="L388" s="225"/>
      <c r="M388" s="198"/>
      <c r="N388" s="226"/>
    </row>
    <row r="389" spans="1:14" ht="15.75" thickBot="1" x14ac:dyDescent="0.3">
      <c r="B389" s="19"/>
      <c r="I389" s="19"/>
      <c r="K389" s="19"/>
      <c r="L389" s="19"/>
      <c r="M389" s="56"/>
      <c r="N389" s="19"/>
    </row>
    <row r="390" spans="1:14" x14ac:dyDescent="0.25">
      <c r="A390" s="184" t="s">
        <v>723</v>
      </c>
      <c r="B390" s="101" t="s">
        <v>42</v>
      </c>
      <c r="C390" s="101" t="s">
        <v>724</v>
      </c>
      <c r="D390" s="101" t="s">
        <v>680</v>
      </c>
      <c r="E390" s="195" t="s">
        <v>681</v>
      </c>
      <c r="F390" s="195" t="s">
        <v>725</v>
      </c>
      <c r="G390" s="101" t="s">
        <v>747</v>
      </c>
      <c r="H390" s="196" t="s">
        <v>748</v>
      </c>
      <c r="L390" s="222" t="s">
        <v>873</v>
      </c>
      <c r="M390" s="223"/>
      <c r="N390" s="224"/>
    </row>
    <row r="391" spans="1:14" x14ac:dyDescent="0.25">
      <c r="A391" s="187"/>
      <c r="B391" s="24" t="s">
        <v>679</v>
      </c>
      <c r="C391" s="24">
        <v>1.1600000000000001E-5</v>
      </c>
      <c r="D391" s="24">
        <v>25870</v>
      </c>
      <c r="E391" s="180">
        <v>23810</v>
      </c>
      <c r="F391" s="180">
        <f>D391-E391</f>
        <v>2060</v>
      </c>
      <c r="G391" s="180">
        <f t="shared" ref="G391:G404" si="49">F391/C391</f>
        <v>177586206.8965517</v>
      </c>
      <c r="H391" s="188">
        <v>17.759</v>
      </c>
      <c r="L391" s="96" t="s">
        <v>773</v>
      </c>
      <c r="M391" s="24" t="s">
        <v>774</v>
      </c>
      <c r="N391" s="204" t="s">
        <v>725</v>
      </c>
    </row>
    <row r="392" spans="1:14" x14ac:dyDescent="0.25">
      <c r="A392" s="187"/>
      <c r="B392" s="24">
        <v>2</v>
      </c>
      <c r="C392" s="24">
        <v>1.1600000000000001E-5</v>
      </c>
      <c r="D392" s="24">
        <v>23810</v>
      </c>
      <c r="E392" s="180">
        <v>21800</v>
      </c>
      <c r="F392" s="179">
        <f t="shared" ref="F392:F404" si="50">D392-E392</f>
        <v>2010</v>
      </c>
      <c r="G392" s="180">
        <f t="shared" si="49"/>
        <v>173275862.06896549</v>
      </c>
      <c r="H392" s="188">
        <v>17.327999999999999</v>
      </c>
      <c r="L392" s="96"/>
      <c r="M392" s="24"/>
      <c r="N392" s="189"/>
    </row>
    <row r="393" spans="1:14" x14ac:dyDescent="0.25">
      <c r="A393" s="187"/>
      <c r="B393" s="24">
        <v>3</v>
      </c>
      <c r="C393" s="24">
        <v>1.1600000000000001E-5</v>
      </c>
      <c r="D393" s="24">
        <v>21800</v>
      </c>
      <c r="E393" s="180">
        <v>19690</v>
      </c>
      <c r="F393" s="180">
        <f t="shared" si="50"/>
        <v>2110</v>
      </c>
      <c r="G393" s="180">
        <f t="shared" si="49"/>
        <v>181896551.72413793</v>
      </c>
      <c r="H393" s="188">
        <v>18.190000000000001</v>
      </c>
      <c r="L393" s="96"/>
      <c r="M393" s="24"/>
      <c r="N393" s="189"/>
    </row>
    <row r="394" spans="1:14" x14ac:dyDescent="0.25">
      <c r="A394" s="187"/>
      <c r="B394" s="24">
        <v>4</v>
      </c>
      <c r="C394" s="24">
        <v>1.1600000000000001E-5</v>
      </c>
      <c r="D394" s="24">
        <v>19690</v>
      </c>
      <c r="E394" s="180">
        <v>17450</v>
      </c>
      <c r="F394" s="180">
        <f t="shared" si="50"/>
        <v>2240</v>
      </c>
      <c r="G394" s="180">
        <f t="shared" si="49"/>
        <v>193103448.27586207</v>
      </c>
      <c r="H394" s="188">
        <v>19.309999999999999</v>
      </c>
      <c r="L394" s="96"/>
      <c r="M394" s="24"/>
      <c r="N394" s="204"/>
    </row>
    <row r="395" spans="1:14" x14ac:dyDescent="0.25">
      <c r="A395" s="187" t="s">
        <v>864</v>
      </c>
      <c r="B395" s="24">
        <v>5</v>
      </c>
      <c r="C395" s="24">
        <v>1.1600000000000001E-5</v>
      </c>
      <c r="D395" s="24">
        <v>17540</v>
      </c>
      <c r="E395" s="180">
        <v>15580</v>
      </c>
      <c r="F395" s="180">
        <f t="shared" si="50"/>
        <v>1960</v>
      </c>
      <c r="G395" s="180">
        <f t="shared" si="49"/>
        <v>168965517.24137929</v>
      </c>
      <c r="H395" s="188">
        <v>16.896999999999998</v>
      </c>
      <c r="L395" s="96"/>
      <c r="M395" s="24"/>
      <c r="N395" s="189"/>
    </row>
    <row r="396" spans="1:14" x14ac:dyDescent="0.25">
      <c r="A396" s="190" t="s">
        <v>754</v>
      </c>
      <c r="B396" s="24">
        <v>6</v>
      </c>
      <c r="C396" s="24">
        <v>1.1600000000000001E-5</v>
      </c>
      <c r="D396" s="24">
        <v>15580</v>
      </c>
      <c r="E396" s="180">
        <v>13490</v>
      </c>
      <c r="F396" s="180">
        <f t="shared" si="50"/>
        <v>2090</v>
      </c>
      <c r="G396" s="180">
        <f t="shared" si="49"/>
        <v>180172413.79310343</v>
      </c>
      <c r="H396" s="188">
        <v>18.016999999999999</v>
      </c>
      <c r="J396" s="56">
        <v>25</v>
      </c>
      <c r="L396" s="96"/>
      <c r="M396" s="24"/>
      <c r="N396" s="189"/>
    </row>
    <row r="397" spans="1:14" x14ac:dyDescent="0.25">
      <c r="A397" s="218" t="s">
        <v>865</v>
      </c>
      <c r="B397" s="24">
        <v>7</v>
      </c>
      <c r="C397" s="24">
        <v>1.1600000000000001E-5</v>
      </c>
      <c r="D397" s="24">
        <v>13490</v>
      </c>
      <c r="E397" s="180">
        <v>11460</v>
      </c>
      <c r="F397" s="179">
        <f t="shared" si="50"/>
        <v>2030</v>
      </c>
      <c r="G397" s="180">
        <f t="shared" si="49"/>
        <v>175000000</v>
      </c>
      <c r="H397" s="188">
        <v>17.5</v>
      </c>
      <c r="L397" s="96"/>
      <c r="M397" s="24"/>
      <c r="N397" s="189"/>
    </row>
    <row r="398" spans="1:14" x14ac:dyDescent="0.25">
      <c r="A398" s="187"/>
      <c r="B398" s="24">
        <v>8</v>
      </c>
      <c r="C398" s="24">
        <v>1.1600000000000001E-5</v>
      </c>
      <c r="D398" s="24">
        <v>11460</v>
      </c>
      <c r="E398" s="180">
        <v>9670</v>
      </c>
      <c r="F398" s="180">
        <f t="shared" si="50"/>
        <v>1790</v>
      </c>
      <c r="G398" s="180">
        <f t="shared" si="49"/>
        <v>154310344.8275862</v>
      </c>
      <c r="H398" s="188">
        <v>15.430999999999999</v>
      </c>
      <c r="L398" s="96"/>
      <c r="M398" s="24"/>
      <c r="N398" s="189"/>
    </row>
    <row r="399" spans="1:14" x14ac:dyDescent="0.25">
      <c r="A399" s="187"/>
      <c r="B399" s="24">
        <v>9</v>
      </c>
      <c r="C399" s="24">
        <v>1.1600000000000001E-5</v>
      </c>
      <c r="D399" s="24">
        <v>9670</v>
      </c>
      <c r="E399" s="180">
        <v>7930</v>
      </c>
      <c r="F399" s="180">
        <f t="shared" si="50"/>
        <v>1740</v>
      </c>
      <c r="G399" s="180">
        <f t="shared" si="49"/>
        <v>150000000</v>
      </c>
      <c r="H399" s="188">
        <v>15</v>
      </c>
      <c r="L399" s="96"/>
      <c r="M399" s="24" t="s">
        <v>871</v>
      </c>
      <c r="N399" s="189"/>
    </row>
    <row r="400" spans="1:14" x14ac:dyDescent="0.25">
      <c r="A400" s="187"/>
      <c r="B400" s="24">
        <v>10</v>
      </c>
      <c r="C400" s="24">
        <v>1.1600000000000001E-5</v>
      </c>
      <c r="D400" s="24">
        <v>7930</v>
      </c>
      <c r="E400" s="180">
        <v>6334</v>
      </c>
      <c r="F400" s="180">
        <f t="shared" si="50"/>
        <v>1596</v>
      </c>
      <c r="G400" s="180">
        <f t="shared" si="49"/>
        <v>137586206.89655173</v>
      </c>
      <c r="H400" s="188">
        <v>13.759</v>
      </c>
      <c r="L400" s="96"/>
      <c r="M400" s="24" t="s">
        <v>872</v>
      </c>
      <c r="N400" s="204"/>
    </row>
    <row r="401" spans="1:14" x14ac:dyDescent="0.25">
      <c r="A401" s="187"/>
      <c r="B401" s="24">
        <v>11</v>
      </c>
      <c r="C401" s="24">
        <v>1.1600000000000001E-5</v>
      </c>
      <c r="D401" s="24">
        <v>6334</v>
      </c>
      <c r="E401" s="180">
        <v>4726</v>
      </c>
      <c r="F401" s="180">
        <f t="shared" si="50"/>
        <v>1608</v>
      </c>
      <c r="G401" s="180">
        <f t="shared" si="49"/>
        <v>138620689.65517241</v>
      </c>
      <c r="H401" s="188">
        <v>13.862</v>
      </c>
      <c r="L401" s="96"/>
      <c r="M401" s="24"/>
      <c r="N401" s="189"/>
    </row>
    <row r="402" spans="1:14" x14ac:dyDescent="0.25">
      <c r="A402" s="187"/>
      <c r="B402" s="24">
        <v>12</v>
      </c>
      <c r="C402" s="24">
        <v>1.1600000000000001E-5</v>
      </c>
      <c r="D402" s="24">
        <v>4726</v>
      </c>
      <c r="E402" s="180">
        <v>3974</v>
      </c>
      <c r="F402" s="180">
        <f t="shared" si="50"/>
        <v>752</v>
      </c>
      <c r="G402" s="249">
        <f t="shared" si="49"/>
        <v>64827586.206896551</v>
      </c>
      <c r="H402" s="250" t="s">
        <v>869</v>
      </c>
      <c r="L402" s="96">
        <v>5146</v>
      </c>
      <c r="M402" s="24">
        <v>3596</v>
      </c>
      <c r="N402" s="189">
        <f>L402-M402</f>
        <v>1550</v>
      </c>
    </row>
    <row r="403" spans="1:14" x14ac:dyDescent="0.25">
      <c r="A403" s="187"/>
      <c r="B403" s="24">
        <v>13</v>
      </c>
      <c r="C403" s="24">
        <v>1.1600000000000001E-5</v>
      </c>
      <c r="D403" s="24">
        <v>3974</v>
      </c>
      <c r="E403" s="180">
        <v>2006</v>
      </c>
      <c r="F403" s="180">
        <f t="shared" si="50"/>
        <v>1968</v>
      </c>
      <c r="G403" s="180">
        <f t="shared" si="49"/>
        <v>169655172.41379309</v>
      </c>
      <c r="H403" s="188">
        <v>16.966000000000001</v>
      </c>
      <c r="L403" s="96"/>
      <c r="M403" s="24"/>
      <c r="N403" s="189"/>
    </row>
    <row r="404" spans="1:14" ht="15.75" thickBot="1" x14ac:dyDescent="0.3">
      <c r="A404" s="191"/>
      <c r="B404" s="103">
        <v>14</v>
      </c>
      <c r="C404" s="24">
        <v>1.1600000000000001E-5</v>
      </c>
      <c r="D404" s="198">
        <v>2006</v>
      </c>
      <c r="E404" s="199">
        <v>0</v>
      </c>
      <c r="F404" s="199">
        <f t="shared" si="50"/>
        <v>2006</v>
      </c>
      <c r="G404" s="199">
        <f t="shared" si="49"/>
        <v>172931034.48275861</v>
      </c>
      <c r="H404" s="200">
        <v>17.292999999999999</v>
      </c>
      <c r="L404" s="225"/>
      <c r="M404" s="198"/>
      <c r="N404" s="226"/>
    </row>
  </sheetData>
  <pageMargins left="0.7" right="0.7" top="0.75" bottom="0.75" header="0.3" footer="0.3"/>
  <pageSetup paperSize="17" scale="24"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J197"/>
  <sheetViews>
    <sheetView windowProtection="1" topLeftCell="A175" workbookViewId="0">
      <selection activeCell="A7" sqref="A7:J53"/>
    </sheetView>
  </sheetViews>
  <sheetFormatPr defaultRowHeight="15" x14ac:dyDescent="0.25"/>
  <cols>
    <col min="1" max="1" width="20.7109375" customWidth="1"/>
    <col min="3" max="3" width="16.7109375" customWidth="1"/>
    <col min="4" max="7" width="24.7109375" customWidth="1"/>
    <col min="8" max="8" width="12.7109375" customWidth="1"/>
  </cols>
  <sheetData>
    <row r="2" spans="1:10" x14ac:dyDescent="0.25">
      <c r="A2" s="56"/>
      <c r="H2" s="56"/>
    </row>
    <row r="3" spans="1:10" x14ac:dyDescent="0.25">
      <c r="A3" s="56"/>
      <c r="B3" s="172"/>
      <c r="C3" s="173"/>
      <c r="D3" s="173"/>
      <c r="E3" s="173"/>
      <c r="F3" s="173"/>
      <c r="G3" s="20"/>
      <c r="H3" s="56"/>
    </row>
    <row r="4" spans="1:10" x14ac:dyDescent="0.25">
      <c r="A4" s="56"/>
      <c r="B4" s="172"/>
      <c r="C4" s="173"/>
      <c r="D4" s="173"/>
      <c r="E4" s="173"/>
      <c r="F4" s="173"/>
      <c r="G4" s="20"/>
      <c r="H4" s="56"/>
    </row>
    <row r="5" spans="1:10" x14ac:dyDescent="0.25">
      <c r="A5" s="56"/>
      <c r="B5" s="172"/>
      <c r="C5" s="173"/>
      <c r="D5" s="173"/>
      <c r="E5" s="173"/>
      <c r="F5" s="173"/>
      <c r="G5" s="20"/>
      <c r="H5" s="56"/>
    </row>
    <row r="6" spans="1:10" x14ac:dyDescent="0.25">
      <c r="A6" s="56"/>
      <c r="B6" s="56"/>
      <c r="C6" s="56"/>
      <c r="D6" s="56"/>
      <c r="E6" s="56"/>
      <c r="F6" s="56"/>
      <c r="G6" s="20"/>
      <c r="H6" s="56"/>
    </row>
    <row r="7" spans="1:10" x14ac:dyDescent="0.25">
      <c r="A7" s="56" t="s">
        <v>723</v>
      </c>
      <c r="B7" s="24" t="s">
        <v>42</v>
      </c>
      <c r="C7" s="24" t="s">
        <v>724</v>
      </c>
      <c r="D7" s="24" t="s">
        <v>680</v>
      </c>
      <c r="E7" s="24" t="s">
        <v>681</v>
      </c>
      <c r="F7" s="24" t="s">
        <v>725</v>
      </c>
      <c r="G7" s="24" t="s">
        <v>686</v>
      </c>
      <c r="H7" s="24" t="s">
        <v>93</v>
      </c>
    </row>
    <row r="8" spans="1:10" x14ac:dyDescent="0.25">
      <c r="A8" s="56"/>
      <c r="B8" s="24" t="s">
        <v>679</v>
      </c>
      <c r="C8" s="24"/>
      <c r="D8" s="24"/>
      <c r="E8" s="24"/>
      <c r="F8" s="24"/>
      <c r="G8" s="24"/>
      <c r="H8" s="91"/>
    </row>
    <row r="9" spans="1:10" x14ac:dyDescent="0.25">
      <c r="A9" s="56"/>
      <c r="B9" s="24">
        <v>2</v>
      </c>
      <c r="C9" s="24"/>
      <c r="D9" s="24"/>
      <c r="E9" s="24"/>
      <c r="F9" s="24"/>
      <c r="G9" s="24"/>
      <c r="H9" s="91"/>
    </row>
    <row r="10" spans="1:10" x14ac:dyDescent="0.25">
      <c r="A10" s="56"/>
      <c r="B10" s="24">
        <v>3</v>
      </c>
      <c r="C10" s="24"/>
      <c r="D10" s="24"/>
      <c r="E10" s="24"/>
      <c r="F10" s="24"/>
      <c r="G10" s="24"/>
      <c r="H10" s="91"/>
    </row>
    <row r="11" spans="1:10" x14ac:dyDescent="0.25">
      <c r="A11" s="56"/>
      <c r="B11" s="24">
        <v>4</v>
      </c>
      <c r="C11" s="24"/>
      <c r="D11" s="24"/>
      <c r="E11" s="24"/>
      <c r="F11" s="24"/>
      <c r="G11" s="24"/>
      <c r="H11" s="91"/>
    </row>
    <row r="12" spans="1:10" x14ac:dyDescent="0.25">
      <c r="A12" s="56"/>
      <c r="B12" s="24">
        <v>5</v>
      </c>
      <c r="C12" s="24"/>
      <c r="D12" s="24"/>
      <c r="E12" s="24"/>
      <c r="F12" s="24"/>
      <c r="G12" s="24"/>
      <c r="H12" s="91"/>
    </row>
    <row r="13" spans="1:10" x14ac:dyDescent="0.25">
      <c r="A13" s="91"/>
      <c r="B13" s="24">
        <v>6</v>
      </c>
      <c r="C13" s="24"/>
      <c r="D13" s="24"/>
      <c r="E13" s="24"/>
      <c r="F13" s="24"/>
      <c r="G13" s="24"/>
      <c r="H13" s="91"/>
      <c r="J13">
        <v>1</v>
      </c>
    </row>
    <row r="14" spans="1:10" x14ac:dyDescent="0.25">
      <c r="A14" s="56"/>
      <c r="B14" s="24">
        <v>7</v>
      </c>
      <c r="C14" s="24"/>
      <c r="D14" s="24"/>
      <c r="E14" s="24"/>
      <c r="F14" s="24"/>
      <c r="G14" s="24"/>
      <c r="H14" s="91"/>
    </row>
    <row r="15" spans="1:10" x14ac:dyDescent="0.25">
      <c r="A15" s="56"/>
      <c r="B15" s="24">
        <v>8</v>
      </c>
      <c r="C15" s="24"/>
      <c r="D15" s="24"/>
      <c r="E15" s="24"/>
      <c r="F15" s="24"/>
      <c r="G15" s="24"/>
      <c r="H15" s="91"/>
    </row>
    <row r="16" spans="1:10" x14ac:dyDescent="0.25">
      <c r="A16" s="56"/>
      <c r="B16" s="24">
        <v>9</v>
      </c>
      <c r="C16" s="24"/>
      <c r="D16" s="24"/>
      <c r="E16" s="24"/>
      <c r="F16" s="24"/>
      <c r="G16" s="24"/>
      <c r="H16" s="91"/>
    </row>
    <row r="17" spans="1:10" x14ac:dyDescent="0.25">
      <c r="A17" s="56"/>
      <c r="B17" s="24">
        <v>10</v>
      </c>
      <c r="C17" s="24"/>
      <c r="D17" s="24"/>
      <c r="E17" s="24"/>
      <c r="F17" s="24"/>
      <c r="G17" s="24"/>
      <c r="H17" s="91"/>
    </row>
    <row r="18" spans="1:10" x14ac:dyDescent="0.25">
      <c r="A18" s="56"/>
      <c r="B18" s="24">
        <v>11</v>
      </c>
      <c r="C18" s="175"/>
      <c r="D18" s="24"/>
      <c r="E18" s="24"/>
      <c r="F18" s="24"/>
      <c r="G18" s="24"/>
      <c r="H18" s="91"/>
    </row>
    <row r="19" spans="1:10" x14ac:dyDescent="0.25">
      <c r="A19" s="56"/>
      <c r="B19" s="24">
        <v>12</v>
      </c>
      <c r="C19" s="175"/>
      <c r="D19" s="24"/>
      <c r="E19" s="24"/>
      <c r="F19" s="24"/>
      <c r="G19" s="24"/>
      <c r="H19" s="91"/>
    </row>
    <row r="20" spans="1:10" x14ac:dyDescent="0.25">
      <c r="A20" s="56"/>
      <c r="B20" s="24">
        <v>13</v>
      </c>
      <c r="C20" s="175"/>
      <c r="D20" s="24"/>
      <c r="E20" s="24"/>
      <c r="F20" s="24"/>
      <c r="G20" s="24"/>
      <c r="H20" s="91"/>
    </row>
    <row r="21" spans="1:10" x14ac:dyDescent="0.25">
      <c r="A21" s="56"/>
      <c r="B21" s="24">
        <v>14</v>
      </c>
      <c r="C21" s="25"/>
      <c r="D21" s="25"/>
      <c r="E21" s="25"/>
      <c r="F21" s="25"/>
      <c r="G21" s="25"/>
      <c r="H21" s="91"/>
    </row>
    <row r="22" spans="1:10" x14ac:dyDescent="0.25">
      <c r="A22" s="56"/>
      <c r="H22" s="56"/>
    </row>
    <row r="23" spans="1:10" x14ac:dyDescent="0.25">
      <c r="A23" s="56" t="s">
        <v>723</v>
      </c>
      <c r="B23" s="24" t="s">
        <v>42</v>
      </c>
      <c r="C23" s="24" t="s">
        <v>724</v>
      </c>
      <c r="D23" s="24" t="s">
        <v>680</v>
      </c>
      <c r="E23" s="24" t="s">
        <v>681</v>
      </c>
      <c r="F23" s="24" t="s">
        <v>725</v>
      </c>
      <c r="G23" s="24" t="s">
        <v>686</v>
      </c>
      <c r="H23" s="24" t="s">
        <v>93</v>
      </c>
    </row>
    <row r="24" spans="1:10" x14ac:dyDescent="0.25">
      <c r="A24" s="56"/>
      <c r="B24" s="24" t="s">
        <v>679</v>
      </c>
      <c r="C24" s="24"/>
      <c r="D24" s="24"/>
      <c r="E24" s="24"/>
      <c r="F24" s="24"/>
      <c r="G24" s="24"/>
      <c r="H24" s="91"/>
    </row>
    <row r="25" spans="1:10" x14ac:dyDescent="0.25">
      <c r="A25" s="56"/>
      <c r="B25" s="24">
        <v>2</v>
      </c>
      <c r="C25" s="24"/>
      <c r="D25" s="24"/>
      <c r="E25" s="24"/>
      <c r="F25" s="24"/>
      <c r="G25" s="24"/>
      <c r="H25" s="91"/>
    </row>
    <row r="26" spans="1:10" x14ac:dyDescent="0.25">
      <c r="A26" s="56"/>
      <c r="B26" s="24">
        <v>3</v>
      </c>
      <c r="C26" s="24"/>
      <c r="D26" s="24"/>
      <c r="E26" s="24"/>
      <c r="F26" s="24"/>
      <c r="G26" s="24"/>
      <c r="H26" s="91"/>
    </row>
    <row r="27" spans="1:10" x14ac:dyDescent="0.25">
      <c r="A27" s="56"/>
      <c r="B27" s="24">
        <v>4</v>
      </c>
      <c r="C27" s="24"/>
      <c r="D27" s="24"/>
      <c r="E27" s="24"/>
      <c r="F27" s="24"/>
      <c r="G27" s="24"/>
      <c r="H27" s="91"/>
    </row>
    <row r="28" spans="1:10" x14ac:dyDescent="0.25">
      <c r="A28" s="56"/>
      <c r="B28" s="24">
        <v>5</v>
      </c>
      <c r="C28" s="24"/>
      <c r="D28" s="24"/>
      <c r="E28" s="24"/>
      <c r="F28" s="24"/>
      <c r="G28" s="24"/>
      <c r="H28" s="91"/>
    </row>
    <row r="29" spans="1:10" x14ac:dyDescent="0.25">
      <c r="A29" s="91"/>
      <c r="B29" s="24">
        <v>6</v>
      </c>
      <c r="C29" s="24"/>
      <c r="D29" s="24"/>
      <c r="E29" s="24"/>
      <c r="F29" s="24"/>
      <c r="G29" s="24"/>
      <c r="H29" s="91"/>
      <c r="J29">
        <v>2</v>
      </c>
    </row>
    <row r="30" spans="1:10" x14ac:dyDescent="0.25">
      <c r="A30" s="56"/>
      <c r="B30" s="24">
        <v>7</v>
      </c>
      <c r="C30" s="24"/>
      <c r="D30" s="24"/>
      <c r="E30" s="24"/>
      <c r="F30" s="24"/>
      <c r="G30" s="24"/>
      <c r="H30" s="91"/>
    </row>
    <row r="31" spans="1:10" x14ac:dyDescent="0.25">
      <c r="A31" s="56"/>
      <c r="B31" s="24">
        <v>8</v>
      </c>
      <c r="C31" s="24"/>
      <c r="D31" s="24"/>
      <c r="E31" s="24"/>
      <c r="F31" s="24"/>
      <c r="G31" s="24"/>
      <c r="H31" s="91"/>
    </row>
    <row r="32" spans="1:10" x14ac:dyDescent="0.25">
      <c r="A32" s="56"/>
      <c r="B32" s="24">
        <v>9</v>
      </c>
      <c r="C32" s="24"/>
      <c r="D32" s="24"/>
      <c r="E32" s="24"/>
      <c r="F32" s="24"/>
      <c r="G32" s="24"/>
      <c r="H32" s="91"/>
    </row>
    <row r="33" spans="1:10" x14ac:dyDescent="0.25">
      <c r="A33" s="56"/>
      <c r="B33" s="24">
        <v>10</v>
      </c>
      <c r="C33" s="24"/>
      <c r="D33" s="24"/>
      <c r="E33" s="24"/>
      <c r="F33" s="24"/>
      <c r="G33" s="24"/>
      <c r="H33" s="91"/>
    </row>
    <row r="34" spans="1:10" x14ac:dyDescent="0.25">
      <c r="A34" s="56"/>
      <c r="B34" s="24">
        <v>11</v>
      </c>
      <c r="C34" s="175"/>
      <c r="D34" s="24"/>
      <c r="E34" s="24"/>
      <c r="F34" s="24"/>
      <c r="G34" s="24"/>
      <c r="H34" s="91"/>
    </row>
    <row r="35" spans="1:10" x14ac:dyDescent="0.25">
      <c r="A35" s="56"/>
      <c r="B35" s="24">
        <v>12</v>
      </c>
      <c r="C35" s="175"/>
      <c r="D35" s="24"/>
      <c r="E35" s="24"/>
      <c r="F35" s="24"/>
      <c r="G35" s="24"/>
      <c r="H35" s="91"/>
    </row>
    <row r="36" spans="1:10" x14ac:dyDescent="0.25">
      <c r="A36" s="56"/>
      <c r="B36" s="24">
        <v>13</v>
      </c>
      <c r="C36" s="175"/>
      <c r="D36" s="24"/>
      <c r="E36" s="24"/>
      <c r="F36" s="24"/>
      <c r="G36" s="24"/>
      <c r="H36" s="91"/>
    </row>
    <row r="37" spans="1:10" x14ac:dyDescent="0.25">
      <c r="A37" s="56"/>
      <c r="B37" s="24">
        <v>14</v>
      </c>
      <c r="C37" s="25"/>
      <c r="D37" s="25"/>
      <c r="E37" s="25"/>
      <c r="F37" s="25"/>
      <c r="G37" s="25"/>
      <c r="H37" s="91"/>
    </row>
    <row r="38" spans="1:10" x14ac:dyDescent="0.25">
      <c r="A38" s="56"/>
      <c r="H38" s="56"/>
    </row>
    <row r="39" spans="1:10" x14ac:dyDescent="0.25">
      <c r="A39" s="56" t="s">
        <v>723</v>
      </c>
      <c r="B39" s="24" t="s">
        <v>42</v>
      </c>
      <c r="C39" s="24" t="s">
        <v>724</v>
      </c>
      <c r="D39" s="24" t="s">
        <v>680</v>
      </c>
      <c r="E39" s="24" t="s">
        <v>681</v>
      </c>
      <c r="F39" s="24" t="s">
        <v>725</v>
      </c>
      <c r="G39" s="24" t="s">
        <v>686</v>
      </c>
      <c r="H39" s="24" t="s">
        <v>93</v>
      </c>
    </row>
    <row r="40" spans="1:10" x14ac:dyDescent="0.25">
      <c r="A40" s="56"/>
      <c r="B40" s="24" t="s">
        <v>679</v>
      </c>
      <c r="C40" s="24"/>
      <c r="D40" s="24"/>
      <c r="E40" s="24"/>
      <c r="F40" s="24"/>
      <c r="G40" s="24"/>
      <c r="H40" s="91"/>
    </row>
    <row r="41" spans="1:10" x14ac:dyDescent="0.25">
      <c r="A41" s="56"/>
      <c r="B41" s="24">
        <v>2</v>
      </c>
      <c r="C41" s="24"/>
      <c r="D41" s="24"/>
      <c r="E41" s="24"/>
      <c r="F41" s="24"/>
      <c r="G41" s="24"/>
      <c r="H41" s="91"/>
    </row>
    <row r="42" spans="1:10" x14ac:dyDescent="0.25">
      <c r="A42" s="56"/>
      <c r="B42" s="24">
        <v>3</v>
      </c>
      <c r="C42" s="24"/>
      <c r="D42" s="24"/>
      <c r="E42" s="24"/>
      <c r="F42" s="24"/>
      <c r="G42" s="24"/>
      <c r="H42" s="91"/>
    </row>
    <row r="43" spans="1:10" x14ac:dyDescent="0.25">
      <c r="A43" s="56"/>
      <c r="B43" s="24">
        <v>4</v>
      </c>
      <c r="C43" s="24"/>
      <c r="D43" s="24"/>
      <c r="E43" s="24"/>
      <c r="F43" s="24"/>
      <c r="G43" s="24"/>
      <c r="H43" s="91"/>
    </row>
    <row r="44" spans="1:10" x14ac:dyDescent="0.25">
      <c r="A44" s="56"/>
      <c r="B44" s="24">
        <v>5</v>
      </c>
      <c r="C44" s="24"/>
      <c r="D44" s="24"/>
      <c r="E44" s="24"/>
      <c r="F44" s="24"/>
      <c r="G44" s="24"/>
      <c r="H44" s="91"/>
    </row>
    <row r="45" spans="1:10" x14ac:dyDescent="0.25">
      <c r="A45" s="91"/>
      <c r="B45" s="24">
        <v>6</v>
      </c>
      <c r="C45" s="24"/>
      <c r="D45" s="24"/>
      <c r="E45" s="24"/>
      <c r="F45" s="24"/>
      <c r="G45" s="24"/>
      <c r="H45" s="91"/>
      <c r="J45">
        <v>3</v>
      </c>
    </row>
    <row r="46" spans="1:10" x14ac:dyDescent="0.25">
      <c r="A46" s="56"/>
      <c r="B46" s="24">
        <v>7</v>
      </c>
      <c r="C46" s="24"/>
      <c r="D46" s="24"/>
      <c r="E46" s="24"/>
      <c r="F46" s="24"/>
      <c r="G46" s="24"/>
      <c r="H46" s="91"/>
    </row>
    <row r="47" spans="1:10" x14ac:dyDescent="0.25">
      <c r="A47" s="56"/>
      <c r="B47" s="24">
        <v>8</v>
      </c>
      <c r="C47" s="24"/>
      <c r="D47" s="24"/>
      <c r="E47" s="24"/>
      <c r="F47" s="24"/>
      <c r="G47" s="24"/>
      <c r="H47" s="91"/>
    </row>
    <row r="48" spans="1:10" x14ac:dyDescent="0.25">
      <c r="A48" s="56"/>
      <c r="B48" s="24">
        <v>9</v>
      </c>
      <c r="C48" s="24"/>
      <c r="D48" s="24"/>
      <c r="E48" s="24"/>
      <c r="F48" s="24"/>
      <c r="G48" s="24"/>
      <c r="H48" s="91"/>
    </row>
    <row r="49" spans="1:10" x14ac:dyDescent="0.25">
      <c r="A49" s="56"/>
      <c r="B49" s="24">
        <v>10</v>
      </c>
      <c r="C49" s="24"/>
      <c r="D49" s="24"/>
      <c r="E49" s="24"/>
      <c r="F49" s="24"/>
      <c r="G49" s="24"/>
      <c r="H49" s="91"/>
    </row>
    <row r="50" spans="1:10" x14ac:dyDescent="0.25">
      <c r="A50" s="56"/>
      <c r="B50" s="24">
        <v>11</v>
      </c>
      <c r="C50" s="175"/>
      <c r="D50" s="24"/>
      <c r="E50" s="24"/>
      <c r="F50" s="24"/>
      <c r="G50" s="24"/>
      <c r="H50" s="91"/>
    </row>
    <row r="51" spans="1:10" x14ac:dyDescent="0.25">
      <c r="A51" s="56"/>
      <c r="B51" s="24">
        <v>12</v>
      </c>
      <c r="C51" s="175"/>
      <c r="D51" s="24"/>
      <c r="E51" s="24"/>
      <c r="F51" s="24"/>
      <c r="G51" s="24"/>
      <c r="H51" s="91"/>
    </row>
    <row r="52" spans="1:10" x14ac:dyDescent="0.25">
      <c r="A52" s="56"/>
      <c r="B52" s="24">
        <v>13</v>
      </c>
      <c r="C52" s="175"/>
      <c r="D52" s="24"/>
      <c r="E52" s="24"/>
      <c r="F52" s="24"/>
      <c r="G52" s="24"/>
      <c r="H52" s="91"/>
    </row>
    <row r="53" spans="1:10" x14ac:dyDescent="0.25">
      <c r="A53" s="56"/>
      <c r="B53" s="24">
        <v>14</v>
      </c>
      <c r="C53" s="25"/>
      <c r="D53" s="25"/>
      <c r="E53" s="25"/>
      <c r="F53" s="25"/>
      <c r="G53" s="25"/>
      <c r="H53" s="91"/>
    </row>
    <row r="54" spans="1:10" x14ac:dyDescent="0.25">
      <c r="A54" s="56"/>
      <c r="H54" s="56"/>
    </row>
    <row r="55" spans="1:10" x14ac:dyDescent="0.25">
      <c r="A55" s="56" t="s">
        <v>723</v>
      </c>
      <c r="B55" s="24" t="s">
        <v>42</v>
      </c>
      <c r="C55" s="24" t="s">
        <v>724</v>
      </c>
      <c r="D55" s="24" t="s">
        <v>680</v>
      </c>
      <c r="E55" s="24" t="s">
        <v>681</v>
      </c>
      <c r="F55" s="24" t="s">
        <v>725</v>
      </c>
      <c r="G55" s="24" t="s">
        <v>686</v>
      </c>
      <c r="H55" s="24" t="s">
        <v>93</v>
      </c>
    </row>
    <row r="56" spans="1:10" x14ac:dyDescent="0.25">
      <c r="A56" s="56"/>
      <c r="B56" s="24" t="s">
        <v>679</v>
      </c>
      <c r="C56" s="24"/>
      <c r="D56" s="24"/>
      <c r="E56" s="24"/>
      <c r="F56" s="24"/>
      <c r="G56" s="24"/>
      <c r="H56" s="91"/>
    </row>
    <row r="57" spans="1:10" x14ac:dyDescent="0.25">
      <c r="A57" s="56"/>
      <c r="B57" s="24">
        <v>2</v>
      </c>
      <c r="C57" s="24"/>
      <c r="D57" s="24"/>
      <c r="E57" s="24"/>
      <c r="F57" s="24"/>
      <c r="G57" s="24"/>
      <c r="H57" s="91"/>
    </row>
    <row r="58" spans="1:10" x14ac:dyDescent="0.25">
      <c r="A58" s="56"/>
      <c r="B58" s="24">
        <v>3</v>
      </c>
      <c r="C58" s="24"/>
      <c r="D58" s="24"/>
      <c r="E58" s="24"/>
      <c r="F58" s="24"/>
      <c r="G58" s="24"/>
      <c r="H58" s="91"/>
    </row>
    <row r="59" spans="1:10" x14ac:dyDescent="0.25">
      <c r="A59" s="56"/>
      <c r="B59" s="24">
        <v>4</v>
      </c>
      <c r="C59" s="24"/>
      <c r="D59" s="24"/>
      <c r="E59" s="24"/>
      <c r="F59" s="24"/>
      <c r="G59" s="24"/>
      <c r="H59" s="91"/>
    </row>
    <row r="60" spans="1:10" x14ac:dyDescent="0.25">
      <c r="A60" s="56"/>
      <c r="B60" s="24">
        <v>5</v>
      </c>
      <c r="C60" s="24"/>
      <c r="D60" s="24"/>
      <c r="E60" s="24"/>
      <c r="F60" s="24"/>
      <c r="G60" s="24"/>
      <c r="H60" s="91"/>
    </row>
    <row r="61" spans="1:10" x14ac:dyDescent="0.25">
      <c r="A61" s="91"/>
      <c r="B61" s="24">
        <v>6</v>
      </c>
      <c r="C61" s="24"/>
      <c r="D61" s="24"/>
      <c r="E61" s="24"/>
      <c r="F61" s="24"/>
      <c r="G61" s="24"/>
      <c r="H61" s="91"/>
      <c r="J61">
        <v>4</v>
      </c>
    </row>
    <row r="62" spans="1:10" x14ac:dyDescent="0.25">
      <c r="A62" s="56"/>
      <c r="B62" s="24">
        <v>7</v>
      </c>
      <c r="C62" s="24"/>
      <c r="D62" s="24"/>
      <c r="E62" s="24"/>
      <c r="F62" s="24"/>
      <c r="G62" s="24"/>
      <c r="H62" s="91"/>
    </row>
    <row r="63" spans="1:10" x14ac:dyDescent="0.25">
      <c r="A63" s="56"/>
      <c r="B63" s="24">
        <v>8</v>
      </c>
      <c r="C63" s="24"/>
      <c r="D63" s="24"/>
      <c r="E63" s="24"/>
      <c r="F63" s="24"/>
      <c r="G63" s="24"/>
      <c r="H63" s="91"/>
    </row>
    <row r="64" spans="1:10" x14ac:dyDescent="0.25">
      <c r="A64" s="56"/>
      <c r="B64" s="24">
        <v>9</v>
      </c>
      <c r="C64" s="24"/>
      <c r="D64" s="24"/>
      <c r="E64" s="24"/>
      <c r="F64" s="24"/>
      <c r="G64" s="24"/>
      <c r="H64" s="91"/>
    </row>
    <row r="65" spans="1:10" x14ac:dyDescent="0.25">
      <c r="A65" s="56"/>
      <c r="B65" s="24">
        <v>10</v>
      </c>
      <c r="C65" s="24"/>
      <c r="D65" s="24"/>
      <c r="E65" s="24"/>
      <c r="F65" s="24"/>
      <c r="G65" s="24"/>
      <c r="H65" s="91"/>
    </row>
    <row r="66" spans="1:10" x14ac:dyDescent="0.25">
      <c r="A66" s="56"/>
      <c r="B66" s="24">
        <v>11</v>
      </c>
      <c r="C66" s="175"/>
      <c r="D66" s="24"/>
      <c r="E66" s="24"/>
      <c r="F66" s="24"/>
      <c r="G66" s="24"/>
      <c r="H66" s="91"/>
    </row>
    <row r="67" spans="1:10" x14ac:dyDescent="0.25">
      <c r="A67" s="56"/>
      <c r="B67" s="24">
        <v>12</v>
      </c>
      <c r="C67" s="175"/>
      <c r="D67" s="24"/>
      <c r="E67" s="24"/>
      <c r="F67" s="24"/>
      <c r="G67" s="24"/>
      <c r="H67" s="91"/>
    </row>
    <row r="68" spans="1:10" x14ac:dyDescent="0.25">
      <c r="A68" s="56"/>
      <c r="B68" s="24">
        <v>13</v>
      </c>
      <c r="C68" s="175"/>
      <c r="D68" s="24"/>
      <c r="E68" s="24"/>
      <c r="F68" s="24"/>
      <c r="G68" s="24"/>
      <c r="H68" s="91"/>
    </row>
    <row r="69" spans="1:10" x14ac:dyDescent="0.25">
      <c r="A69" s="56"/>
      <c r="B69" s="24">
        <v>14</v>
      </c>
      <c r="C69" s="25"/>
      <c r="D69" s="25"/>
      <c r="E69" s="25"/>
      <c r="F69" s="25"/>
      <c r="G69" s="25"/>
      <c r="H69" s="91"/>
    </row>
    <row r="70" spans="1:10" x14ac:dyDescent="0.25">
      <c r="A70" s="56"/>
      <c r="H70" s="56"/>
    </row>
    <row r="71" spans="1:10" x14ac:dyDescent="0.25">
      <c r="A71" s="56" t="s">
        <v>723</v>
      </c>
      <c r="B71" s="24" t="s">
        <v>42</v>
      </c>
      <c r="C71" s="24" t="s">
        <v>724</v>
      </c>
      <c r="D71" s="24" t="s">
        <v>680</v>
      </c>
      <c r="E71" s="24" t="s">
        <v>681</v>
      </c>
      <c r="F71" s="24" t="s">
        <v>725</v>
      </c>
      <c r="G71" s="24" t="s">
        <v>686</v>
      </c>
      <c r="H71" s="24" t="s">
        <v>93</v>
      </c>
    </row>
    <row r="72" spans="1:10" x14ac:dyDescent="0.25">
      <c r="A72" s="56"/>
      <c r="B72" s="24" t="s">
        <v>679</v>
      </c>
      <c r="C72" s="24"/>
      <c r="D72" s="24"/>
      <c r="E72" s="24"/>
      <c r="F72" s="24"/>
      <c r="G72" s="24"/>
      <c r="H72" s="91"/>
    </row>
    <row r="73" spans="1:10" x14ac:dyDescent="0.25">
      <c r="A73" s="56"/>
      <c r="B73" s="24">
        <v>2</v>
      </c>
      <c r="C73" s="24"/>
      <c r="D73" s="24"/>
      <c r="E73" s="24"/>
      <c r="F73" s="24"/>
      <c r="G73" s="24"/>
      <c r="H73" s="91"/>
    </row>
    <row r="74" spans="1:10" x14ac:dyDescent="0.25">
      <c r="A74" s="56"/>
      <c r="B74" s="24">
        <v>3</v>
      </c>
      <c r="C74" s="24"/>
      <c r="D74" s="24"/>
      <c r="E74" s="24"/>
      <c r="F74" s="24"/>
      <c r="G74" s="24"/>
      <c r="H74" s="91"/>
    </row>
    <row r="75" spans="1:10" x14ac:dyDescent="0.25">
      <c r="A75" s="56"/>
      <c r="B75" s="24">
        <v>4</v>
      </c>
      <c r="C75" s="24"/>
      <c r="D75" s="24"/>
      <c r="E75" s="24"/>
      <c r="F75" s="24"/>
      <c r="G75" s="24"/>
      <c r="H75" s="91"/>
    </row>
    <row r="76" spans="1:10" x14ac:dyDescent="0.25">
      <c r="A76" s="56"/>
      <c r="B76" s="24">
        <v>5</v>
      </c>
      <c r="C76" s="24"/>
      <c r="D76" s="24"/>
      <c r="E76" s="24"/>
      <c r="F76" s="24"/>
      <c r="G76" s="24"/>
      <c r="H76" s="91"/>
    </row>
    <row r="77" spans="1:10" x14ac:dyDescent="0.25">
      <c r="A77" s="91"/>
      <c r="B77" s="24">
        <v>6</v>
      </c>
      <c r="C77" s="24"/>
      <c r="D77" s="24"/>
      <c r="E77" s="24"/>
      <c r="F77" s="24"/>
      <c r="G77" s="24"/>
      <c r="H77" s="91"/>
      <c r="J77">
        <v>5</v>
      </c>
    </row>
    <row r="78" spans="1:10" x14ac:dyDescent="0.25">
      <c r="A78" s="56"/>
      <c r="B78" s="24">
        <v>7</v>
      </c>
      <c r="C78" s="24"/>
      <c r="D78" s="24"/>
      <c r="E78" s="24"/>
      <c r="F78" s="24"/>
      <c r="G78" s="24"/>
      <c r="H78" s="91"/>
    </row>
    <row r="79" spans="1:10" x14ac:dyDescent="0.25">
      <c r="A79" s="56"/>
      <c r="B79" s="24">
        <v>8</v>
      </c>
      <c r="C79" s="24"/>
      <c r="D79" s="24"/>
      <c r="E79" s="24"/>
      <c r="F79" s="24"/>
      <c r="G79" s="24"/>
      <c r="H79" s="91"/>
    </row>
    <row r="80" spans="1:10" x14ac:dyDescent="0.25">
      <c r="A80" s="56"/>
      <c r="B80" s="24">
        <v>9</v>
      </c>
      <c r="C80" s="24"/>
      <c r="D80" s="24"/>
      <c r="E80" s="24"/>
      <c r="F80" s="24"/>
      <c r="G80" s="24"/>
      <c r="H80" s="91"/>
    </row>
    <row r="81" spans="1:10" x14ac:dyDescent="0.25">
      <c r="A81" s="56"/>
      <c r="B81" s="24">
        <v>10</v>
      </c>
      <c r="C81" s="24"/>
      <c r="D81" s="24"/>
      <c r="E81" s="24"/>
      <c r="F81" s="24"/>
      <c r="G81" s="24"/>
      <c r="H81" s="91"/>
    </row>
    <row r="82" spans="1:10" x14ac:dyDescent="0.25">
      <c r="A82" s="56"/>
      <c r="B82" s="24">
        <v>11</v>
      </c>
      <c r="C82" s="175"/>
      <c r="D82" s="24"/>
      <c r="E82" s="24"/>
      <c r="F82" s="24"/>
      <c r="G82" s="24"/>
      <c r="H82" s="91"/>
    </row>
    <row r="83" spans="1:10" x14ac:dyDescent="0.25">
      <c r="A83" s="56"/>
      <c r="B83" s="24">
        <v>12</v>
      </c>
      <c r="C83" s="175"/>
      <c r="D83" s="24"/>
      <c r="E83" s="24"/>
      <c r="F83" s="24"/>
      <c r="G83" s="24"/>
      <c r="H83" s="91"/>
    </row>
    <row r="84" spans="1:10" x14ac:dyDescent="0.25">
      <c r="A84" s="56"/>
      <c r="B84" s="24">
        <v>13</v>
      </c>
      <c r="C84" s="175"/>
      <c r="D84" s="24"/>
      <c r="E84" s="24"/>
      <c r="F84" s="24"/>
      <c r="G84" s="24"/>
      <c r="H84" s="91"/>
    </row>
    <row r="85" spans="1:10" x14ac:dyDescent="0.25">
      <c r="A85" s="56"/>
      <c r="B85" s="24">
        <v>14</v>
      </c>
      <c r="C85" s="25"/>
      <c r="D85" s="25"/>
      <c r="E85" s="25"/>
      <c r="F85" s="25"/>
      <c r="G85" s="25"/>
      <c r="H85" s="91"/>
    </row>
    <row r="86" spans="1:10" x14ac:dyDescent="0.25">
      <c r="A86" s="56"/>
      <c r="H86" s="56"/>
    </row>
    <row r="87" spans="1:10" x14ac:dyDescent="0.25">
      <c r="A87" s="56" t="s">
        <v>723</v>
      </c>
      <c r="B87" s="24" t="s">
        <v>42</v>
      </c>
      <c r="C87" s="24" t="s">
        <v>724</v>
      </c>
      <c r="D87" s="24" t="s">
        <v>680</v>
      </c>
      <c r="E87" s="24" t="s">
        <v>681</v>
      </c>
      <c r="F87" s="24" t="s">
        <v>725</v>
      </c>
      <c r="G87" s="24" t="s">
        <v>686</v>
      </c>
      <c r="H87" s="24" t="s">
        <v>93</v>
      </c>
    </row>
    <row r="88" spans="1:10" x14ac:dyDescent="0.25">
      <c r="A88" s="56"/>
      <c r="B88" s="24" t="s">
        <v>679</v>
      </c>
      <c r="C88" s="24"/>
      <c r="D88" s="24"/>
      <c r="E88" s="24"/>
      <c r="F88" s="24"/>
      <c r="G88" s="24"/>
      <c r="H88" s="91"/>
    </row>
    <row r="89" spans="1:10" x14ac:dyDescent="0.25">
      <c r="A89" s="56"/>
      <c r="B89" s="24">
        <v>2</v>
      </c>
      <c r="C89" s="24"/>
      <c r="D89" s="24"/>
      <c r="E89" s="24"/>
      <c r="F89" s="24"/>
      <c r="G89" s="24"/>
      <c r="H89" s="91"/>
    </row>
    <row r="90" spans="1:10" x14ac:dyDescent="0.25">
      <c r="A90" s="56"/>
      <c r="B90" s="24">
        <v>3</v>
      </c>
      <c r="C90" s="24"/>
      <c r="D90" s="24"/>
      <c r="E90" s="24"/>
      <c r="F90" s="24"/>
      <c r="G90" s="24"/>
      <c r="H90" s="91"/>
    </row>
    <row r="91" spans="1:10" x14ac:dyDescent="0.25">
      <c r="A91" s="56"/>
      <c r="B91" s="24">
        <v>4</v>
      </c>
      <c r="C91" s="24"/>
      <c r="D91" s="24"/>
      <c r="E91" s="24"/>
      <c r="F91" s="24"/>
      <c r="G91" s="24"/>
      <c r="H91" s="91"/>
    </row>
    <row r="92" spans="1:10" x14ac:dyDescent="0.25">
      <c r="A92" s="56"/>
      <c r="B92" s="24">
        <v>5</v>
      </c>
      <c r="C92" s="24"/>
      <c r="D92" s="24"/>
      <c r="E92" s="24"/>
      <c r="F92" s="24"/>
      <c r="G92" s="24"/>
      <c r="H92" s="91"/>
    </row>
    <row r="93" spans="1:10" x14ac:dyDescent="0.25">
      <c r="A93" s="91"/>
      <c r="B93" s="24">
        <v>6</v>
      </c>
      <c r="C93" s="24"/>
      <c r="D93" s="24"/>
      <c r="E93" s="24"/>
      <c r="F93" s="24"/>
      <c r="G93" s="24"/>
      <c r="H93" s="91"/>
      <c r="J93">
        <v>6</v>
      </c>
    </row>
    <row r="94" spans="1:10" x14ac:dyDescent="0.25">
      <c r="A94" s="56"/>
      <c r="B94" s="24">
        <v>7</v>
      </c>
      <c r="C94" s="24"/>
      <c r="D94" s="24"/>
      <c r="E94" s="24"/>
      <c r="F94" s="24"/>
      <c r="G94" s="24"/>
      <c r="H94" s="91"/>
    </row>
    <row r="95" spans="1:10" x14ac:dyDescent="0.25">
      <c r="A95" s="56"/>
      <c r="B95" s="24">
        <v>8</v>
      </c>
      <c r="C95" s="24"/>
      <c r="D95" s="24"/>
      <c r="E95" s="24"/>
      <c r="F95" s="24"/>
      <c r="G95" s="24"/>
      <c r="H95" s="91"/>
    </row>
    <row r="96" spans="1:10" x14ac:dyDescent="0.25">
      <c r="A96" s="56"/>
      <c r="B96" s="24">
        <v>9</v>
      </c>
      <c r="C96" s="24"/>
      <c r="D96" s="24"/>
      <c r="E96" s="24"/>
      <c r="F96" s="24"/>
      <c r="G96" s="24"/>
      <c r="H96" s="91"/>
    </row>
    <row r="97" spans="1:10" x14ac:dyDescent="0.25">
      <c r="A97" s="56"/>
      <c r="B97" s="24">
        <v>10</v>
      </c>
      <c r="C97" s="24"/>
      <c r="D97" s="24"/>
      <c r="E97" s="24"/>
      <c r="F97" s="24"/>
      <c r="G97" s="24"/>
      <c r="H97" s="91"/>
    </row>
    <row r="98" spans="1:10" x14ac:dyDescent="0.25">
      <c r="A98" s="56"/>
      <c r="B98" s="24">
        <v>11</v>
      </c>
      <c r="C98" s="175"/>
      <c r="D98" s="24"/>
      <c r="E98" s="24"/>
      <c r="F98" s="24"/>
      <c r="G98" s="24"/>
      <c r="H98" s="91"/>
    </row>
    <row r="99" spans="1:10" x14ac:dyDescent="0.25">
      <c r="A99" s="56"/>
      <c r="B99" s="24">
        <v>12</v>
      </c>
      <c r="C99" s="175"/>
      <c r="D99" s="24"/>
      <c r="E99" s="24"/>
      <c r="F99" s="24"/>
      <c r="G99" s="24"/>
      <c r="H99" s="91"/>
    </row>
    <row r="100" spans="1:10" x14ac:dyDescent="0.25">
      <c r="A100" s="56"/>
      <c r="B100" s="24">
        <v>13</v>
      </c>
      <c r="C100" s="175"/>
      <c r="D100" s="24"/>
      <c r="E100" s="24"/>
      <c r="F100" s="24"/>
      <c r="G100" s="24"/>
      <c r="H100" s="91"/>
    </row>
    <row r="101" spans="1:10" x14ac:dyDescent="0.25">
      <c r="A101" s="56"/>
      <c r="B101" s="24">
        <v>14</v>
      </c>
      <c r="C101" s="25"/>
      <c r="D101" s="25"/>
      <c r="E101" s="25"/>
      <c r="F101" s="25"/>
      <c r="G101" s="25"/>
      <c r="H101" s="91"/>
    </row>
    <row r="102" spans="1:10" x14ac:dyDescent="0.25">
      <c r="A102" s="56"/>
      <c r="H102" s="56"/>
    </row>
    <row r="103" spans="1:10" x14ac:dyDescent="0.25">
      <c r="A103" s="56" t="s">
        <v>723</v>
      </c>
      <c r="B103" s="24" t="s">
        <v>42</v>
      </c>
      <c r="C103" s="24" t="s">
        <v>724</v>
      </c>
      <c r="D103" s="24" t="s">
        <v>680</v>
      </c>
      <c r="E103" s="24" t="s">
        <v>681</v>
      </c>
      <c r="F103" s="24" t="s">
        <v>725</v>
      </c>
      <c r="G103" s="24" t="s">
        <v>686</v>
      </c>
      <c r="H103" s="24" t="s">
        <v>93</v>
      </c>
    </row>
    <row r="104" spans="1:10" x14ac:dyDescent="0.25">
      <c r="A104" s="56"/>
      <c r="B104" s="24" t="s">
        <v>679</v>
      </c>
      <c r="C104" s="24"/>
      <c r="D104" s="24"/>
      <c r="E104" s="24"/>
      <c r="F104" s="24"/>
      <c r="G104" s="24"/>
      <c r="H104" s="91"/>
    </row>
    <row r="105" spans="1:10" x14ac:dyDescent="0.25">
      <c r="A105" s="56"/>
      <c r="B105" s="24">
        <v>2</v>
      </c>
      <c r="C105" s="24"/>
      <c r="D105" s="24"/>
      <c r="E105" s="24"/>
      <c r="F105" s="24"/>
      <c r="G105" s="24"/>
      <c r="H105" s="91"/>
    </row>
    <row r="106" spans="1:10" x14ac:dyDescent="0.25">
      <c r="A106" s="56"/>
      <c r="B106" s="24">
        <v>3</v>
      </c>
      <c r="C106" s="24"/>
      <c r="D106" s="24"/>
      <c r="E106" s="24"/>
      <c r="F106" s="24"/>
      <c r="G106" s="24"/>
      <c r="H106" s="91"/>
    </row>
    <row r="107" spans="1:10" x14ac:dyDescent="0.25">
      <c r="A107" s="56"/>
      <c r="B107" s="24">
        <v>4</v>
      </c>
      <c r="C107" s="24"/>
      <c r="D107" s="24"/>
      <c r="E107" s="24"/>
      <c r="F107" s="24"/>
      <c r="G107" s="24"/>
      <c r="H107" s="91"/>
    </row>
    <row r="108" spans="1:10" x14ac:dyDescent="0.25">
      <c r="A108" s="56"/>
      <c r="B108" s="24">
        <v>5</v>
      </c>
      <c r="C108" s="24"/>
      <c r="D108" s="24"/>
      <c r="E108" s="24"/>
      <c r="F108" s="24"/>
      <c r="G108" s="24"/>
      <c r="H108" s="91"/>
    </row>
    <row r="109" spans="1:10" x14ac:dyDescent="0.25">
      <c r="A109" s="91"/>
      <c r="B109" s="24">
        <v>6</v>
      </c>
      <c r="C109" s="24"/>
      <c r="D109" s="24"/>
      <c r="E109" s="24"/>
      <c r="F109" s="24"/>
      <c r="G109" s="24"/>
      <c r="H109" s="91"/>
      <c r="J109">
        <v>7</v>
      </c>
    </row>
    <row r="110" spans="1:10" x14ac:dyDescent="0.25">
      <c r="A110" s="56"/>
      <c r="B110" s="24">
        <v>7</v>
      </c>
      <c r="C110" s="24"/>
      <c r="D110" s="24"/>
      <c r="E110" s="24"/>
      <c r="F110" s="24"/>
      <c r="G110" s="24"/>
      <c r="H110" s="91"/>
    </row>
    <row r="111" spans="1:10" x14ac:dyDescent="0.25">
      <c r="A111" s="56"/>
      <c r="B111" s="24">
        <v>8</v>
      </c>
      <c r="C111" s="24"/>
      <c r="D111" s="24"/>
      <c r="E111" s="24"/>
      <c r="F111" s="24"/>
      <c r="G111" s="24"/>
      <c r="H111" s="91"/>
    </row>
    <row r="112" spans="1:10" x14ac:dyDescent="0.25">
      <c r="A112" s="56"/>
      <c r="B112" s="24">
        <v>9</v>
      </c>
      <c r="C112" s="24"/>
      <c r="D112" s="24"/>
      <c r="E112" s="24"/>
      <c r="F112" s="24"/>
      <c r="G112" s="24"/>
      <c r="H112" s="91"/>
    </row>
    <row r="113" spans="1:10" x14ac:dyDescent="0.25">
      <c r="A113" s="56"/>
      <c r="B113" s="24">
        <v>10</v>
      </c>
      <c r="C113" s="24"/>
      <c r="D113" s="24"/>
      <c r="E113" s="24"/>
      <c r="F113" s="24"/>
      <c r="G113" s="24"/>
      <c r="H113" s="91"/>
    </row>
    <row r="114" spans="1:10" x14ac:dyDescent="0.25">
      <c r="A114" s="56"/>
      <c r="B114" s="24">
        <v>11</v>
      </c>
      <c r="C114" s="175"/>
      <c r="D114" s="24"/>
      <c r="E114" s="24"/>
      <c r="F114" s="24"/>
      <c r="G114" s="24"/>
      <c r="H114" s="91"/>
    </row>
    <row r="115" spans="1:10" x14ac:dyDescent="0.25">
      <c r="A115" s="56"/>
      <c r="B115" s="24">
        <v>12</v>
      </c>
      <c r="C115" s="175"/>
      <c r="D115" s="24"/>
      <c r="E115" s="24"/>
      <c r="F115" s="24"/>
      <c r="G115" s="24"/>
      <c r="H115" s="91"/>
    </row>
    <row r="116" spans="1:10" x14ac:dyDescent="0.25">
      <c r="A116" s="56"/>
      <c r="B116" s="24">
        <v>13</v>
      </c>
      <c r="C116" s="175"/>
      <c r="D116" s="24"/>
      <c r="E116" s="24"/>
      <c r="F116" s="24"/>
      <c r="G116" s="24"/>
      <c r="H116" s="91"/>
    </row>
    <row r="117" spans="1:10" x14ac:dyDescent="0.25">
      <c r="A117" s="56"/>
      <c r="B117" s="24">
        <v>14</v>
      </c>
      <c r="C117" s="25"/>
      <c r="D117" s="25"/>
      <c r="E117" s="25"/>
      <c r="F117" s="25"/>
      <c r="G117" s="25"/>
      <c r="H117" s="91"/>
    </row>
    <row r="118" spans="1:10" x14ac:dyDescent="0.25">
      <c r="A118" s="56"/>
      <c r="H118" s="56"/>
    </row>
    <row r="119" spans="1:10" x14ac:dyDescent="0.25">
      <c r="A119" s="56" t="s">
        <v>723</v>
      </c>
      <c r="B119" s="24" t="s">
        <v>42</v>
      </c>
      <c r="C119" s="24" t="s">
        <v>724</v>
      </c>
      <c r="D119" s="24" t="s">
        <v>680</v>
      </c>
      <c r="E119" s="24" t="s">
        <v>681</v>
      </c>
      <c r="F119" s="24" t="s">
        <v>725</v>
      </c>
      <c r="G119" s="24" t="s">
        <v>686</v>
      </c>
      <c r="H119" s="24" t="s">
        <v>93</v>
      </c>
    </row>
    <row r="120" spans="1:10" x14ac:dyDescent="0.25">
      <c r="A120" s="56"/>
      <c r="B120" s="24" t="s">
        <v>679</v>
      </c>
      <c r="C120" s="24"/>
      <c r="D120" s="24"/>
      <c r="E120" s="24"/>
      <c r="F120" s="24"/>
      <c r="G120" s="24"/>
      <c r="H120" s="91"/>
    </row>
    <row r="121" spans="1:10" x14ac:dyDescent="0.25">
      <c r="A121" s="56"/>
      <c r="B121" s="24">
        <v>2</v>
      </c>
      <c r="C121" s="24"/>
      <c r="D121" s="24"/>
      <c r="E121" s="24"/>
      <c r="F121" s="24"/>
      <c r="G121" s="24"/>
      <c r="H121" s="91"/>
    </row>
    <row r="122" spans="1:10" x14ac:dyDescent="0.25">
      <c r="A122" s="56"/>
      <c r="B122" s="24">
        <v>3</v>
      </c>
      <c r="C122" s="24"/>
      <c r="D122" s="24"/>
      <c r="E122" s="24"/>
      <c r="F122" s="24"/>
      <c r="G122" s="24"/>
      <c r="H122" s="91"/>
    </row>
    <row r="123" spans="1:10" x14ac:dyDescent="0.25">
      <c r="A123" s="56"/>
      <c r="B123" s="24">
        <v>4</v>
      </c>
      <c r="C123" s="24"/>
      <c r="D123" s="24"/>
      <c r="E123" s="24"/>
      <c r="F123" s="24"/>
      <c r="G123" s="24"/>
      <c r="H123" s="91"/>
    </row>
    <row r="124" spans="1:10" x14ac:dyDescent="0.25">
      <c r="A124" s="56"/>
      <c r="B124" s="24">
        <v>5</v>
      </c>
      <c r="C124" s="24"/>
      <c r="D124" s="24"/>
      <c r="E124" s="24"/>
      <c r="F124" s="24"/>
      <c r="G124" s="24"/>
      <c r="H124" s="91"/>
    </row>
    <row r="125" spans="1:10" x14ac:dyDescent="0.25">
      <c r="A125" s="91"/>
      <c r="B125" s="24">
        <v>6</v>
      </c>
      <c r="C125" s="24"/>
      <c r="D125" s="24"/>
      <c r="E125" s="24"/>
      <c r="F125" s="24"/>
      <c r="G125" s="24"/>
      <c r="H125" s="91"/>
      <c r="J125">
        <v>8</v>
      </c>
    </row>
    <row r="126" spans="1:10" x14ac:dyDescent="0.25">
      <c r="A126" s="56"/>
      <c r="B126" s="24">
        <v>7</v>
      </c>
      <c r="C126" s="24"/>
      <c r="D126" s="24"/>
      <c r="E126" s="24"/>
      <c r="F126" s="24"/>
      <c r="G126" s="24"/>
      <c r="H126" s="91"/>
    </row>
    <row r="127" spans="1:10" x14ac:dyDescent="0.25">
      <c r="A127" s="56"/>
      <c r="B127" s="24">
        <v>8</v>
      </c>
      <c r="C127" s="24"/>
      <c r="D127" s="24"/>
      <c r="E127" s="24"/>
      <c r="F127" s="24"/>
      <c r="G127" s="24"/>
      <c r="H127" s="91"/>
    </row>
    <row r="128" spans="1:10" x14ac:dyDescent="0.25">
      <c r="A128" s="56"/>
      <c r="B128" s="24">
        <v>9</v>
      </c>
      <c r="C128" s="24"/>
      <c r="D128" s="24"/>
      <c r="E128" s="24"/>
      <c r="F128" s="24"/>
      <c r="G128" s="24"/>
      <c r="H128" s="91"/>
    </row>
    <row r="129" spans="1:10" x14ac:dyDescent="0.25">
      <c r="A129" s="56"/>
      <c r="B129" s="24">
        <v>10</v>
      </c>
      <c r="C129" s="24"/>
      <c r="D129" s="24"/>
      <c r="E129" s="24"/>
      <c r="F129" s="24"/>
      <c r="G129" s="24"/>
      <c r="H129" s="91"/>
    </row>
    <row r="130" spans="1:10" x14ac:dyDescent="0.25">
      <c r="A130" s="56"/>
      <c r="B130" s="24">
        <v>11</v>
      </c>
      <c r="C130" s="175"/>
      <c r="D130" s="24"/>
      <c r="E130" s="24"/>
      <c r="F130" s="24"/>
      <c r="G130" s="24"/>
      <c r="H130" s="91"/>
    </row>
    <row r="131" spans="1:10" x14ac:dyDescent="0.25">
      <c r="A131" s="56"/>
      <c r="B131" s="24">
        <v>12</v>
      </c>
      <c r="C131" s="175"/>
      <c r="D131" s="24"/>
      <c r="E131" s="24"/>
      <c r="F131" s="24"/>
      <c r="G131" s="24"/>
      <c r="H131" s="91"/>
    </row>
    <row r="132" spans="1:10" x14ac:dyDescent="0.25">
      <c r="A132" s="56"/>
      <c r="B132" s="24">
        <v>13</v>
      </c>
      <c r="C132" s="175"/>
      <c r="D132" s="24"/>
      <c r="E132" s="24"/>
      <c r="F132" s="24"/>
      <c r="G132" s="24"/>
      <c r="H132" s="91"/>
    </row>
    <row r="133" spans="1:10" x14ac:dyDescent="0.25">
      <c r="A133" s="56"/>
      <c r="B133" s="24">
        <v>14</v>
      </c>
      <c r="C133" s="25"/>
      <c r="D133" s="25"/>
      <c r="E133" s="25"/>
      <c r="F133" s="25"/>
      <c r="G133" s="25"/>
      <c r="H133" s="91"/>
    </row>
    <row r="134" spans="1:10" x14ac:dyDescent="0.25">
      <c r="A134" s="56"/>
      <c r="H134" s="56"/>
    </row>
    <row r="135" spans="1:10" x14ac:dyDescent="0.25">
      <c r="A135" s="56" t="s">
        <v>723</v>
      </c>
      <c r="B135" s="24" t="s">
        <v>42</v>
      </c>
      <c r="C135" s="24" t="s">
        <v>724</v>
      </c>
      <c r="D135" s="24" t="s">
        <v>680</v>
      </c>
      <c r="E135" s="24" t="s">
        <v>681</v>
      </c>
      <c r="F135" s="24" t="s">
        <v>725</v>
      </c>
      <c r="G135" s="24" t="s">
        <v>686</v>
      </c>
      <c r="H135" s="24" t="s">
        <v>93</v>
      </c>
    </row>
    <row r="136" spans="1:10" x14ac:dyDescent="0.25">
      <c r="A136" s="56"/>
      <c r="B136" s="24" t="s">
        <v>679</v>
      </c>
      <c r="C136" s="24"/>
      <c r="D136" s="24"/>
      <c r="E136" s="24"/>
      <c r="F136" s="24"/>
      <c r="G136" s="24"/>
      <c r="H136" s="91"/>
    </row>
    <row r="137" spans="1:10" x14ac:dyDescent="0.25">
      <c r="A137" s="56"/>
      <c r="B137" s="24">
        <v>2</v>
      </c>
      <c r="C137" s="24"/>
      <c r="D137" s="24"/>
      <c r="E137" s="24"/>
      <c r="F137" s="24"/>
      <c r="G137" s="24"/>
      <c r="H137" s="91"/>
    </row>
    <row r="138" spans="1:10" x14ac:dyDescent="0.25">
      <c r="A138" s="56"/>
      <c r="B138" s="24">
        <v>3</v>
      </c>
      <c r="C138" s="24"/>
      <c r="D138" s="24"/>
      <c r="E138" s="24"/>
      <c r="F138" s="24"/>
      <c r="G138" s="24"/>
      <c r="H138" s="91"/>
    </row>
    <row r="139" spans="1:10" x14ac:dyDescent="0.25">
      <c r="A139" s="56"/>
      <c r="B139" s="24">
        <v>4</v>
      </c>
      <c r="C139" s="24"/>
      <c r="D139" s="24"/>
      <c r="E139" s="24"/>
      <c r="F139" s="24"/>
      <c r="G139" s="24"/>
      <c r="H139" s="91"/>
    </row>
    <row r="140" spans="1:10" x14ac:dyDescent="0.25">
      <c r="A140" s="56"/>
      <c r="B140" s="24">
        <v>5</v>
      </c>
      <c r="C140" s="24"/>
      <c r="D140" s="24"/>
      <c r="E140" s="24"/>
      <c r="F140" s="24"/>
      <c r="G140" s="24"/>
      <c r="H140" s="91"/>
    </row>
    <row r="141" spans="1:10" x14ac:dyDescent="0.25">
      <c r="A141" s="91"/>
      <c r="B141" s="24">
        <v>6</v>
      </c>
      <c r="C141" s="24"/>
      <c r="D141" s="24"/>
      <c r="E141" s="24"/>
      <c r="F141" s="24"/>
      <c r="G141" s="24"/>
      <c r="H141" s="91"/>
      <c r="J141">
        <v>9</v>
      </c>
    </row>
    <row r="142" spans="1:10" x14ac:dyDescent="0.25">
      <c r="A142" s="56"/>
      <c r="B142" s="24">
        <v>7</v>
      </c>
      <c r="C142" s="24"/>
      <c r="D142" s="24"/>
      <c r="E142" s="24"/>
      <c r="F142" s="24"/>
      <c r="G142" s="24"/>
      <c r="H142" s="91"/>
    </row>
    <row r="143" spans="1:10" x14ac:dyDescent="0.25">
      <c r="A143" s="56"/>
      <c r="B143" s="24">
        <v>8</v>
      </c>
      <c r="C143" s="24"/>
      <c r="D143" s="24"/>
      <c r="E143" s="24"/>
      <c r="F143" s="24"/>
      <c r="G143" s="24"/>
      <c r="H143" s="91"/>
    </row>
    <row r="144" spans="1:10" x14ac:dyDescent="0.25">
      <c r="A144" s="56"/>
      <c r="B144" s="24">
        <v>9</v>
      </c>
      <c r="C144" s="24"/>
      <c r="D144" s="24"/>
      <c r="E144" s="24"/>
      <c r="F144" s="24"/>
      <c r="G144" s="24"/>
      <c r="H144" s="91"/>
    </row>
    <row r="145" spans="1:10" x14ac:dyDescent="0.25">
      <c r="A145" s="56"/>
      <c r="B145" s="24">
        <v>10</v>
      </c>
      <c r="C145" s="24"/>
      <c r="D145" s="24"/>
      <c r="E145" s="24"/>
      <c r="F145" s="24"/>
      <c r="G145" s="24"/>
      <c r="H145" s="91"/>
    </row>
    <row r="146" spans="1:10" x14ac:dyDescent="0.25">
      <c r="A146" s="56"/>
      <c r="B146" s="24">
        <v>11</v>
      </c>
      <c r="C146" s="175"/>
      <c r="D146" s="24"/>
      <c r="E146" s="24"/>
      <c r="F146" s="24"/>
      <c r="G146" s="24"/>
      <c r="H146" s="91"/>
    </row>
    <row r="147" spans="1:10" x14ac:dyDescent="0.25">
      <c r="A147" s="56"/>
      <c r="B147" s="24">
        <v>12</v>
      </c>
      <c r="C147" s="175"/>
      <c r="D147" s="24"/>
      <c r="E147" s="24"/>
      <c r="F147" s="24"/>
      <c r="G147" s="24"/>
      <c r="H147" s="91"/>
    </row>
    <row r="148" spans="1:10" x14ac:dyDescent="0.25">
      <c r="A148" s="56"/>
      <c r="B148" s="24">
        <v>13</v>
      </c>
      <c r="C148" s="175"/>
      <c r="D148" s="24"/>
      <c r="E148" s="24"/>
      <c r="F148" s="24"/>
      <c r="G148" s="24"/>
      <c r="H148" s="91"/>
    </row>
    <row r="149" spans="1:10" x14ac:dyDescent="0.25">
      <c r="A149" s="56"/>
      <c r="B149" s="24">
        <v>14</v>
      </c>
      <c r="C149" s="25"/>
      <c r="D149" s="25"/>
      <c r="E149" s="25"/>
      <c r="F149" s="25"/>
      <c r="G149" s="25"/>
      <c r="H149" s="91"/>
    </row>
    <row r="150" spans="1:10" x14ac:dyDescent="0.25">
      <c r="A150" s="56"/>
      <c r="H150" s="56"/>
    </row>
    <row r="151" spans="1:10" x14ac:dyDescent="0.25">
      <c r="A151" s="56" t="s">
        <v>723</v>
      </c>
      <c r="B151" s="24" t="s">
        <v>42</v>
      </c>
      <c r="C151" s="24" t="s">
        <v>724</v>
      </c>
      <c r="D151" s="24" t="s">
        <v>680</v>
      </c>
      <c r="E151" s="24" t="s">
        <v>681</v>
      </c>
      <c r="F151" s="24" t="s">
        <v>725</v>
      </c>
      <c r="G151" s="24" t="s">
        <v>686</v>
      </c>
      <c r="H151" s="24" t="s">
        <v>93</v>
      </c>
    </row>
    <row r="152" spans="1:10" x14ac:dyDescent="0.25">
      <c r="A152" s="56"/>
      <c r="B152" s="24" t="s">
        <v>679</v>
      </c>
      <c r="C152" s="24"/>
      <c r="D152" s="24"/>
      <c r="E152" s="24"/>
      <c r="F152" s="24"/>
      <c r="G152" s="24"/>
      <c r="H152" s="91"/>
    </row>
    <row r="153" spans="1:10" x14ac:dyDescent="0.25">
      <c r="A153" s="56"/>
      <c r="B153" s="24">
        <v>2</v>
      </c>
      <c r="C153" s="24"/>
      <c r="D153" s="24"/>
      <c r="E153" s="24"/>
      <c r="F153" s="24"/>
      <c r="G153" s="24"/>
      <c r="H153" s="91"/>
    </row>
    <row r="154" spans="1:10" x14ac:dyDescent="0.25">
      <c r="A154" s="56"/>
      <c r="B154" s="24">
        <v>3</v>
      </c>
      <c r="C154" s="24"/>
      <c r="D154" s="24"/>
      <c r="E154" s="24"/>
      <c r="F154" s="24"/>
      <c r="G154" s="24"/>
      <c r="H154" s="91"/>
    </row>
    <row r="155" spans="1:10" x14ac:dyDescent="0.25">
      <c r="A155" s="56"/>
      <c r="B155" s="24">
        <v>4</v>
      </c>
      <c r="C155" s="24"/>
      <c r="D155" s="24"/>
      <c r="E155" s="24"/>
      <c r="F155" s="24"/>
      <c r="G155" s="24"/>
      <c r="H155" s="91"/>
    </row>
    <row r="156" spans="1:10" x14ac:dyDescent="0.25">
      <c r="A156" s="56"/>
      <c r="B156" s="24">
        <v>5</v>
      </c>
      <c r="C156" s="24"/>
      <c r="D156" s="24"/>
      <c r="E156" s="24"/>
      <c r="F156" s="24"/>
      <c r="G156" s="24"/>
      <c r="H156" s="91"/>
    </row>
    <row r="157" spans="1:10" x14ac:dyDescent="0.25">
      <c r="A157" s="91"/>
      <c r="B157" s="24">
        <v>6</v>
      </c>
      <c r="C157" s="24"/>
      <c r="D157" s="24"/>
      <c r="E157" s="24"/>
      <c r="F157" s="24"/>
      <c r="G157" s="24"/>
      <c r="H157" s="91"/>
      <c r="J157">
        <v>10</v>
      </c>
    </row>
    <row r="158" spans="1:10" x14ac:dyDescent="0.25">
      <c r="A158" s="56"/>
      <c r="B158" s="24">
        <v>7</v>
      </c>
      <c r="C158" s="24"/>
      <c r="D158" s="24"/>
      <c r="E158" s="24"/>
      <c r="F158" s="24"/>
      <c r="G158" s="24"/>
      <c r="H158" s="91"/>
    </row>
    <row r="159" spans="1:10" x14ac:dyDescent="0.25">
      <c r="A159" s="56"/>
      <c r="B159" s="24">
        <v>8</v>
      </c>
      <c r="C159" s="24"/>
      <c r="D159" s="24"/>
      <c r="E159" s="24"/>
      <c r="F159" s="24"/>
      <c r="G159" s="24"/>
      <c r="H159" s="91"/>
    </row>
    <row r="160" spans="1:10" x14ac:dyDescent="0.25">
      <c r="A160" s="56"/>
      <c r="B160" s="24">
        <v>9</v>
      </c>
      <c r="C160" s="24"/>
      <c r="D160" s="24"/>
      <c r="E160" s="24"/>
      <c r="F160" s="24"/>
      <c r="G160" s="24"/>
      <c r="H160" s="91"/>
    </row>
    <row r="161" spans="1:10" x14ac:dyDescent="0.25">
      <c r="A161" s="56"/>
      <c r="B161" s="24">
        <v>10</v>
      </c>
      <c r="C161" s="24"/>
      <c r="D161" s="24"/>
      <c r="E161" s="24"/>
      <c r="F161" s="24"/>
      <c r="G161" s="24"/>
      <c r="H161" s="91"/>
    </row>
    <row r="162" spans="1:10" x14ac:dyDescent="0.25">
      <c r="A162" s="56"/>
      <c r="B162" s="24">
        <v>11</v>
      </c>
      <c r="C162" s="175"/>
      <c r="D162" s="24"/>
      <c r="E162" s="24"/>
      <c r="F162" s="24"/>
      <c r="G162" s="24"/>
      <c r="H162" s="91"/>
    </row>
    <row r="163" spans="1:10" x14ac:dyDescent="0.25">
      <c r="A163" s="56"/>
      <c r="B163" s="24">
        <v>12</v>
      </c>
      <c r="C163" s="175"/>
      <c r="D163" s="24"/>
      <c r="E163" s="24"/>
      <c r="F163" s="24"/>
      <c r="G163" s="24"/>
      <c r="H163" s="91"/>
    </row>
    <row r="164" spans="1:10" x14ac:dyDescent="0.25">
      <c r="A164" s="56"/>
      <c r="B164" s="24">
        <v>13</v>
      </c>
      <c r="C164" s="175"/>
      <c r="D164" s="24"/>
      <c r="E164" s="24"/>
      <c r="F164" s="24"/>
      <c r="G164" s="24"/>
      <c r="H164" s="91"/>
    </row>
    <row r="165" spans="1:10" x14ac:dyDescent="0.25">
      <c r="A165" s="56"/>
      <c r="B165" s="24">
        <v>14</v>
      </c>
      <c r="C165" s="25"/>
      <c r="D165" s="25"/>
      <c r="E165" s="25"/>
      <c r="F165" s="25"/>
      <c r="G165" s="25"/>
      <c r="H165" s="91"/>
    </row>
    <row r="166" spans="1:10" x14ac:dyDescent="0.25">
      <c r="A166" s="56"/>
      <c r="H166" s="56"/>
    </row>
    <row r="167" spans="1:10" x14ac:dyDescent="0.25">
      <c r="A167" s="56" t="s">
        <v>723</v>
      </c>
      <c r="B167" s="24" t="s">
        <v>42</v>
      </c>
      <c r="C167" s="24" t="s">
        <v>724</v>
      </c>
      <c r="D167" s="24" t="s">
        <v>680</v>
      </c>
      <c r="E167" s="24" t="s">
        <v>681</v>
      </c>
      <c r="F167" s="24" t="s">
        <v>725</v>
      </c>
      <c r="G167" s="24" t="s">
        <v>686</v>
      </c>
      <c r="H167" s="24" t="s">
        <v>93</v>
      </c>
    </row>
    <row r="168" spans="1:10" x14ac:dyDescent="0.25">
      <c r="A168" s="56"/>
      <c r="B168" s="24" t="s">
        <v>679</v>
      </c>
      <c r="C168" s="24"/>
      <c r="D168" s="24"/>
      <c r="E168" s="24"/>
      <c r="F168" s="24"/>
      <c r="G168" s="24"/>
      <c r="H168" s="91"/>
    </row>
    <row r="169" spans="1:10" x14ac:dyDescent="0.25">
      <c r="A169" s="56"/>
      <c r="B169" s="24">
        <v>2</v>
      </c>
      <c r="C169" s="24"/>
      <c r="D169" s="24"/>
      <c r="E169" s="24"/>
      <c r="F169" s="24"/>
      <c r="G169" s="24"/>
      <c r="H169" s="91"/>
    </row>
    <row r="170" spans="1:10" x14ac:dyDescent="0.25">
      <c r="A170" s="56"/>
      <c r="B170" s="24">
        <v>3</v>
      </c>
      <c r="C170" s="24"/>
      <c r="D170" s="24"/>
      <c r="E170" s="24"/>
      <c r="F170" s="24"/>
      <c r="G170" s="24"/>
      <c r="H170" s="91"/>
    </row>
    <row r="171" spans="1:10" x14ac:dyDescent="0.25">
      <c r="A171" s="56"/>
      <c r="B171" s="24">
        <v>4</v>
      </c>
      <c r="C171" s="24"/>
      <c r="D171" s="24"/>
      <c r="E171" s="24"/>
      <c r="F171" s="24"/>
      <c r="G171" s="24"/>
      <c r="H171" s="91"/>
    </row>
    <row r="172" spans="1:10" x14ac:dyDescent="0.25">
      <c r="A172" s="56"/>
      <c r="B172" s="24">
        <v>5</v>
      </c>
      <c r="C172" s="24"/>
      <c r="D172" s="24"/>
      <c r="E172" s="24"/>
      <c r="F172" s="24"/>
      <c r="G172" s="24"/>
      <c r="H172" s="91"/>
    </row>
    <row r="173" spans="1:10" x14ac:dyDescent="0.25">
      <c r="A173" s="91"/>
      <c r="B173" s="24">
        <v>6</v>
      </c>
      <c r="C173" s="24"/>
      <c r="D173" s="24"/>
      <c r="E173" s="24"/>
      <c r="F173" s="24"/>
      <c r="G173" s="24"/>
      <c r="H173" s="91"/>
      <c r="J173">
        <v>11</v>
      </c>
    </row>
    <row r="174" spans="1:10" x14ac:dyDescent="0.25">
      <c r="A174" s="56"/>
      <c r="B174" s="24">
        <v>7</v>
      </c>
      <c r="C174" s="24"/>
      <c r="D174" s="24"/>
      <c r="E174" s="24"/>
      <c r="F174" s="24"/>
      <c r="G174" s="24"/>
      <c r="H174" s="91"/>
    </row>
    <row r="175" spans="1:10" x14ac:dyDescent="0.25">
      <c r="A175" s="56"/>
      <c r="B175" s="24">
        <v>8</v>
      </c>
      <c r="C175" s="24"/>
      <c r="D175" s="24"/>
      <c r="E175" s="24"/>
      <c r="F175" s="24"/>
      <c r="G175" s="24"/>
      <c r="H175" s="91"/>
    </row>
    <row r="176" spans="1:10" x14ac:dyDescent="0.25">
      <c r="A176" s="56"/>
      <c r="B176" s="24">
        <v>9</v>
      </c>
      <c r="C176" s="24"/>
      <c r="D176" s="24"/>
      <c r="E176" s="24"/>
      <c r="F176" s="24"/>
      <c r="G176" s="24"/>
      <c r="H176" s="91"/>
    </row>
    <row r="177" spans="1:10" x14ac:dyDescent="0.25">
      <c r="A177" s="56"/>
      <c r="B177" s="24">
        <v>10</v>
      </c>
      <c r="C177" s="24"/>
      <c r="D177" s="24"/>
      <c r="E177" s="24"/>
      <c r="F177" s="24"/>
      <c r="G177" s="24"/>
      <c r="H177" s="91"/>
    </row>
    <row r="178" spans="1:10" x14ac:dyDescent="0.25">
      <c r="A178" s="56"/>
      <c r="B178" s="24">
        <v>11</v>
      </c>
      <c r="C178" s="175"/>
      <c r="D178" s="24"/>
      <c r="E178" s="24"/>
      <c r="F178" s="24"/>
      <c r="G178" s="24"/>
      <c r="H178" s="91"/>
    </row>
    <row r="179" spans="1:10" x14ac:dyDescent="0.25">
      <c r="A179" s="56"/>
      <c r="B179" s="24">
        <v>12</v>
      </c>
      <c r="C179" s="175"/>
      <c r="D179" s="24"/>
      <c r="E179" s="24"/>
      <c r="F179" s="24"/>
      <c r="G179" s="24"/>
      <c r="H179" s="91"/>
    </row>
    <row r="180" spans="1:10" x14ac:dyDescent="0.25">
      <c r="A180" s="56"/>
      <c r="B180" s="24">
        <v>13</v>
      </c>
      <c r="C180" s="175"/>
      <c r="D180" s="24"/>
      <c r="E180" s="24"/>
      <c r="F180" s="24"/>
      <c r="G180" s="24"/>
      <c r="H180" s="91"/>
    </row>
    <row r="181" spans="1:10" x14ac:dyDescent="0.25">
      <c r="A181" s="56"/>
      <c r="B181" s="24">
        <v>14</v>
      </c>
      <c r="C181" s="25"/>
      <c r="D181" s="25"/>
      <c r="E181" s="25"/>
      <c r="F181" s="25"/>
      <c r="G181" s="25"/>
      <c r="H181" s="91"/>
    </row>
    <row r="182" spans="1:10" x14ac:dyDescent="0.25">
      <c r="A182" s="56"/>
      <c r="H182" s="56"/>
    </row>
    <row r="183" spans="1:10" x14ac:dyDescent="0.25">
      <c r="A183" s="56" t="s">
        <v>723</v>
      </c>
      <c r="B183" s="24" t="s">
        <v>42</v>
      </c>
      <c r="C183" s="24" t="s">
        <v>724</v>
      </c>
      <c r="D183" s="24" t="s">
        <v>680</v>
      </c>
      <c r="E183" s="24" t="s">
        <v>681</v>
      </c>
      <c r="F183" s="24" t="s">
        <v>725</v>
      </c>
      <c r="G183" s="24" t="s">
        <v>686</v>
      </c>
      <c r="H183" s="24" t="s">
        <v>93</v>
      </c>
    </row>
    <row r="184" spans="1:10" x14ac:dyDescent="0.25">
      <c r="A184" s="56"/>
      <c r="B184" s="24" t="s">
        <v>679</v>
      </c>
      <c r="C184" s="24"/>
      <c r="D184" s="24"/>
      <c r="E184" s="24"/>
      <c r="F184" s="24"/>
      <c r="G184" s="24"/>
      <c r="H184" s="91"/>
    </row>
    <row r="185" spans="1:10" x14ac:dyDescent="0.25">
      <c r="A185" s="56"/>
      <c r="B185" s="24">
        <v>2</v>
      </c>
      <c r="C185" s="24"/>
      <c r="D185" s="24"/>
      <c r="E185" s="24"/>
      <c r="F185" s="24"/>
      <c r="G185" s="24"/>
      <c r="H185" s="91"/>
    </row>
    <row r="186" spans="1:10" x14ac:dyDescent="0.25">
      <c r="A186" s="56"/>
      <c r="B186" s="24">
        <v>3</v>
      </c>
      <c r="C186" s="24"/>
      <c r="D186" s="24"/>
      <c r="E186" s="24"/>
      <c r="F186" s="24"/>
      <c r="G186" s="24"/>
      <c r="H186" s="91"/>
    </row>
    <row r="187" spans="1:10" x14ac:dyDescent="0.25">
      <c r="A187" s="56"/>
      <c r="B187" s="24">
        <v>4</v>
      </c>
      <c r="C187" s="24"/>
      <c r="D187" s="24"/>
      <c r="E187" s="24"/>
      <c r="F187" s="24"/>
      <c r="G187" s="24"/>
      <c r="H187" s="91"/>
    </row>
    <row r="188" spans="1:10" x14ac:dyDescent="0.25">
      <c r="A188" s="56"/>
      <c r="B188" s="24">
        <v>5</v>
      </c>
      <c r="C188" s="24"/>
      <c r="D188" s="24"/>
      <c r="E188" s="24"/>
      <c r="F188" s="24"/>
      <c r="G188" s="24"/>
      <c r="H188" s="91"/>
    </row>
    <row r="189" spans="1:10" x14ac:dyDescent="0.25">
      <c r="A189" s="91"/>
      <c r="B189" s="24">
        <v>6</v>
      </c>
      <c r="C189" s="24"/>
      <c r="D189" s="24"/>
      <c r="E189" s="24"/>
      <c r="F189" s="24"/>
      <c r="G189" s="24"/>
      <c r="H189" s="91"/>
      <c r="J189">
        <v>12</v>
      </c>
    </row>
    <row r="190" spans="1:10" x14ac:dyDescent="0.25">
      <c r="A190" s="56"/>
      <c r="B190" s="24">
        <v>7</v>
      </c>
      <c r="C190" s="24"/>
      <c r="D190" s="24"/>
      <c r="E190" s="24"/>
      <c r="F190" s="24"/>
      <c r="G190" s="24"/>
      <c r="H190" s="91"/>
    </row>
    <row r="191" spans="1:10" x14ac:dyDescent="0.25">
      <c r="A191" s="56"/>
      <c r="B191" s="24">
        <v>8</v>
      </c>
      <c r="C191" s="24"/>
      <c r="D191" s="24"/>
      <c r="E191" s="24"/>
      <c r="F191" s="24"/>
      <c r="G191" s="24"/>
      <c r="H191" s="91"/>
    </row>
    <row r="192" spans="1:10" x14ac:dyDescent="0.25">
      <c r="A192" s="56"/>
      <c r="B192" s="24">
        <v>9</v>
      </c>
      <c r="C192" s="24"/>
      <c r="D192" s="24"/>
      <c r="E192" s="24"/>
      <c r="F192" s="24"/>
      <c r="G192" s="24"/>
      <c r="H192" s="91"/>
    </row>
    <row r="193" spans="1:8" x14ac:dyDescent="0.25">
      <c r="A193" s="56"/>
      <c r="B193" s="24">
        <v>10</v>
      </c>
      <c r="C193" s="24"/>
      <c r="D193" s="24"/>
      <c r="E193" s="24"/>
      <c r="F193" s="24"/>
      <c r="G193" s="24"/>
      <c r="H193" s="91"/>
    </row>
    <row r="194" spans="1:8" x14ac:dyDescent="0.25">
      <c r="A194" s="56"/>
      <c r="B194" s="24">
        <v>11</v>
      </c>
      <c r="C194" s="175"/>
      <c r="D194" s="24"/>
      <c r="E194" s="24"/>
      <c r="F194" s="24"/>
      <c r="G194" s="24"/>
      <c r="H194" s="91"/>
    </row>
    <row r="195" spans="1:8" x14ac:dyDescent="0.25">
      <c r="A195" s="56"/>
      <c r="B195" s="24">
        <v>12</v>
      </c>
      <c r="C195" s="175"/>
      <c r="D195" s="24"/>
      <c r="E195" s="24"/>
      <c r="F195" s="24"/>
      <c r="G195" s="24"/>
      <c r="H195" s="91"/>
    </row>
    <row r="196" spans="1:8" x14ac:dyDescent="0.25">
      <c r="A196" s="56"/>
      <c r="B196" s="24">
        <v>13</v>
      </c>
      <c r="C196" s="175"/>
      <c r="D196" s="24"/>
      <c r="E196" s="24"/>
      <c r="F196" s="24"/>
      <c r="G196" s="24"/>
      <c r="H196" s="91"/>
    </row>
    <row r="197" spans="1:8" x14ac:dyDescent="0.25">
      <c r="A197" s="56"/>
      <c r="B197" s="24">
        <v>14</v>
      </c>
      <c r="C197" s="25"/>
      <c r="D197" s="25"/>
      <c r="E197" s="25"/>
      <c r="F197" s="25"/>
      <c r="G197" s="25"/>
      <c r="H197" s="91"/>
    </row>
  </sheetData>
  <pageMargins left="0.25" right="0.25" top="0.75" bottom="0.75" header="0.3" footer="0.3"/>
  <pageSetup paperSize="17" orientation="landscape"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4:T84"/>
  <sheetViews>
    <sheetView windowProtection="1" topLeftCell="A37" workbookViewId="0">
      <selection activeCell="H22" sqref="H22"/>
    </sheetView>
  </sheetViews>
  <sheetFormatPr defaultRowHeight="15" x14ac:dyDescent="0.25"/>
  <cols>
    <col min="1" max="1" width="16.7109375" customWidth="1"/>
    <col min="2" max="2" width="12.7109375" customWidth="1"/>
    <col min="3" max="3" width="18.7109375" customWidth="1"/>
    <col min="4" max="5" width="24.7109375" style="1" customWidth="1"/>
    <col min="6" max="6" width="24.7109375" style="56" customWidth="1"/>
    <col min="7" max="7" width="24.7109375" customWidth="1"/>
    <col min="8" max="9" width="26.7109375" customWidth="1"/>
    <col min="13" max="13" width="16.7109375" customWidth="1"/>
    <col min="14" max="14" width="12.7109375" customWidth="1"/>
    <col min="15" max="15" width="18.7109375" customWidth="1"/>
    <col min="16" max="17" width="24.7109375" customWidth="1"/>
    <col min="18" max="19" width="24.7109375" style="56" customWidth="1"/>
    <col min="20" max="20" width="26.7109375" style="56" customWidth="1"/>
  </cols>
  <sheetData>
    <row r="4" spans="1:11" x14ac:dyDescent="0.25">
      <c r="B4" s="177" t="s">
        <v>733</v>
      </c>
      <c r="C4" s="177"/>
      <c r="D4" s="173"/>
      <c r="F4" s="173" t="s">
        <v>738</v>
      </c>
    </row>
    <row r="5" spans="1:11" x14ac:dyDescent="0.25">
      <c r="C5" s="56" t="s">
        <v>734</v>
      </c>
    </row>
    <row r="6" spans="1:11" x14ac:dyDescent="0.25">
      <c r="A6" s="56" t="s">
        <v>723</v>
      </c>
      <c r="B6" s="24" t="s">
        <v>42</v>
      </c>
      <c r="C6" s="24" t="s">
        <v>732</v>
      </c>
      <c r="D6" s="24" t="s">
        <v>728</v>
      </c>
      <c r="E6" s="24" t="s">
        <v>729</v>
      </c>
      <c r="F6" s="24" t="s">
        <v>725</v>
      </c>
      <c r="G6" s="24" t="s">
        <v>731</v>
      </c>
      <c r="H6" s="20"/>
      <c r="I6" s="20"/>
      <c r="J6" s="20"/>
      <c r="K6" s="20"/>
    </row>
    <row r="7" spans="1:11" x14ac:dyDescent="0.25">
      <c r="A7" s="56"/>
      <c r="B7" s="24" t="s">
        <v>679</v>
      </c>
      <c r="C7" s="24">
        <v>1.4800000000000001E-5</v>
      </c>
      <c r="D7" s="24">
        <v>0</v>
      </c>
      <c r="E7" s="24">
        <v>2066.4</v>
      </c>
      <c r="F7" s="24">
        <f>E7-D7</f>
        <v>2066.4</v>
      </c>
      <c r="G7" s="24">
        <f>F7/C7</f>
        <v>139621621.62162161</v>
      </c>
      <c r="H7" s="56"/>
      <c r="I7" s="56"/>
      <c r="J7" s="56"/>
      <c r="K7" s="56"/>
    </row>
    <row r="8" spans="1:11" x14ac:dyDescent="0.25">
      <c r="A8" s="56"/>
      <c r="B8" s="24">
        <v>2</v>
      </c>
      <c r="C8" s="24">
        <v>1.4800000000000001E-5</v>
      </c>
      <c r="D8" s="24">
        <v>2066.4</v>
      </c>
      <c r="E8" s="24">
        <v>3746.7</v>
      </c>
      <c r="F8" s="24">
        <f t="shared" ref="F8:F20" si="0">E8-D8</f>
        <v>1680.2999999999997</v>
      </c>
      <c r="G8" s="24">
        <f t="shared" ref="G8:G20" si="1">F8/C8</f>
        <v>113533783.78378376</v>
      </c>
      <c r="H8" s="56"/>
      <c r="I8" s="56"/>
      <c r="J8" s="56"/>
      <c r="K8" s="56"/>
    </row>
    <row r="9" spans="1:11" x14ac:dyDescent="0.25">
      <c r="A9" s="56"/>
      <c r="B9" s="24">
        <v>3</v>
      </c>
      <c r="C9" s="24">
        <v>1.4800000000000001E-5</v>
      </c>
      <c r="D9" s="24">
        <v>3746.7</v>
      </c>
      <c r="E9" s="24">
        <v>5313.5</v>
      </c>
      <c r="F9" s="24">
        <f t="shared" si="0"/>
        <v>1566.8000000000002</v>
      </c>
      <c r="G9" s="24">
        <f t="shared" si="1"/>
        <v>105864864.86486487</v>
      </c>
      <c r="H9" s="56"/>
      <c r="I9" s="56"/>
      <c r="J9" s="56"/>
      <c r="K9" s="56"/>
    </row>
    <row r="10" spans="1:11" x14ac:dyDescent="0.25">
      <c r="A10" s="56"/>
      <c r="B10" s="24">
        <v>4</v>
      </c>
      <c r="C10" s="24">
        <v>1.4800000000000001E-5</v>
      </c>
      <c r="D10" s="24">
        <v>5313.5</v>
      </c>
      <c r="E10" s="24">
        <v>7088.2</v>
      </c>
      <c r="F10" s="24">
        <f t="shared" si="0"/>
        <v>1774.6999999999998</v>
      </c>
      <c r="G10" s="24">
        <f t="shared" si="1"/>
        <v>119912162.16216214</v>
      </c>
      <c r="H10" s="56"/>
      <c r="I10" s="56"/>
      <c r="J10" s="56"/>
      <c r="K10" s="56"/>
    </row>
    <row r="11" spans="1:11" x14ac:dyDescent="0.25">
      <c r="A11" s="56" t="s">
        <v>739</v>
      </c>
      <c r="B11" s="24">
        <v>5</v>
      </c>
      <c r="C11" s="24">
        <v>1.4800000000000001E-5</v>
      </c>
      <c r="D11" s="24">
        <v>7088.2</v>
      </c>
      <c r="E11" s="24">
        <v>8245</v>
      </c>
      <c r="F11" s="24">
        <f t="shared" si="0"/>
        <v>1156.8000000000002</v>
      </c>
      <c r="G11" s="24">
        <f t="shared" si="1"/>
        <v>78162162.16216217</v>
      </c>
      <c r="H11" s="56"/>
      <c r="I11" s="56"/>
      <c r="J11" s="56"/>
      <c r="K11" s="56"/>
    </row>
    <row r="12" spans="1:11" x14ac:dyDescent="0.25">
      <c r="A12" s="91" t="s">
        <v>727</v>
      </c>
      <c r="B12" s="24">
        <v>6</v>
      </c>
      <c r="C12" s="24">
        <v>1.4800000000000001E-5</v>
      </c>
      <c r="D12" s="24">
        <v>8245</v>
      </c>
      <c r="E12" s="24">
        <v>9404</v>
      </c>
      <c r="F12" s="24">
        <f t="shared" si="0"/>
        <v>1159</v>
      </c>
      <c r="G12" s="24">
        <f t="shared" si="1"/>
        <v>78310810.810810804</v>
      </c>
      <c r="H12" s="56"/>
      <c r="I12" s="56"/>
      <c r="J12" s="56"/>
      <c r="K12" s="56"/>
    </row>
    <row r="13" spans="1:11" x14ac:dyDescent="0.25">
      <c r="A13" s="56"/>
      <c r="B13" s="24">
        <v>7</v>
      </c>
      <c r="C13" s="24">
        <v>1.4800000000000001E-5</v>
      </c>
      <c r="D13" s="24">
        <v>9404</v>
      </c>
      <c r="E13" s="24">
        <v>11184</v>
      </c>
      <c r="F13" s="24">
        <f t="shared" si="0"/>
        <v>1780</v>
      </c>
      <c r="G13" s="24">
        <f t="shared" si="1"/>
        <v>120270270.27027026</v>
      </c>
      <c r="H13" s="56"/>
      <c r="I13" s="56"/>
      <c r="J13" s="56"/>
      <c r="K13" s="56"/>
    </row>
    <row r="14" spans="1:11" x14ac:dyDescent="0.25">
      <c r="A14" s="56"/>
      <c r="B14" s="24">
        <v>8</v>
      </c>
      <c r="C14" s="24">
        <v>1.4800000000000001E-5</v>
      </c>
      <c r="D14" s="24">
        <v>11184</v>
      </c>
      <c r="E14" s="24">
        <v>13136</v>
      </c>
      <c r="F14" s="24">
        <f t="shared" si="0"/>
        <v>1952</v>
      </c>
      <c r="G14" s="24">
        <f t="shared" si="1"/>
        <v>131891891.89189188</v>
      </c>
      <c r="H14" s="56"/>
      <c r="I14" s="56"/>
      <c r="J14" s="56"/>
      <c r="K14" s="56"/>
    </row>
    <row r="15" spans="1:11" x14ac:dyDescent="0.25">
      <c r="A15" s="56"/>
      <c r="B15" s="24">
        <v>9</v>
      </c>
      <c r="C15" s="24">
        <v>1.4800000000000001E-5</v>
      </c>
      <c r="D15" s="24">
        <v>13136</v>
      </c>
      <c r="E15" s="24">
        <v>15164</v>
      </c>
      <c r="F15" s="24">
        <f t="shared" si="0"/>
        <v>2028</v>
      </c>
      <c r="G15" s="24">
        <f t="shared" si="1"/>
        <v>137027027.02702701</v>
      </c>
      <c r="H15" s="56"/>
      <c r="I15" s="56"/>
      <c r="J15" s="56"/>
      <c r="K15" s="56"/>
    </row>
    <row r="16" spans="1:11" x14ac:dyDescent="0.25">
      <c r="A16" s="56"/>
      <c r="B16" s="24">
        <v>10</v>
      </c>
      <c r="C16" s="24">
        <v>1.4800000000000001E-5</v>
      </c>
      <c r="D16" s="24">
        <v>15164</v>
      </c>
      <c r="E16" s="24">
        <v>17222</v>
      </c>
      <c r="F16" s="24">
        <f t="shared" si="0"/>
        <v>2058</v>
      </c>
      <c r="G16" s="24">
        <f t="shared" si="1"/>
        <v>139054054.05405405</v>
      </c>
      <c r="H16" s="56"/>
      <c r="I16" s="56"/>
      <c r="J16" s="56"/>
      <c r="K16" s="56"/>
    </row>
    <row r="17" spans="1:11" x14ac:dyDescent="0.25">
      <c r="A17" s="56"/>
      <c r="B17" s="24">
        <v>11</v>
      </c>
      <c r="C17" s="24">
        <v>1.4800000000000001E-5</v>
      </c>
      <c r="D17" s="24">
        <v>17222</v>
      </c>
      <c r="E17" s="24">
        <v>19255</v>
      </c>
      <c r="F17" s="24">
        <f t="shared" si="0"/>
        <v>2033</v>
      </c>
      <c r="G17" s="24">
        <f t="shared" si="1"/>
        <v>137364864.86486486</v>
      </c>
      <c r="H17" s="56"/>
      <c r="I17" s="56"/>
      <c r="J17" s="56"/>
      <c r="K17" s="56"/>
    </row>
    <row r="18" spans="1:11" x14ac:dyDescent="0.25">
      <c r="A18" s="56"/>
      <c r="B18" s="24">
        <v>12</v>
      </c>
      <c r="C18" s="24">
        <v>1.4800000000000001E-5</v>
      </c>
      <c r="D18" s="24">
        <v>19255</v>
      </c>
      <c r="E18" s="24">
        <v>21022</v>
      </c>
      <c r="F18" s="24">
        <f t="shared" si="0"/>
        <v>1767</v>
      </c>
      <c r="G18" s="24">
        <f t="shared" si="1"/>
        <v>119391891.89189188</v>
      </c>
      <c r="H18" s="56"/>
      <c r="I18" s="56"/>
      <c r="J18" s="56"/>
      <c r="K18" s="56"/>
    </row>
    <row r="19" spans="1:11" x14ac:dyDescent="0.25">
      <c r="A19" s="56"/>
      <c r="B19" s="24">
        <v>13</v>
      </c>
      <c r="C19" s="24">
        <v>1.4800000000000001E-5</v>
      </c>
      <c r="D19" s="24">
        <v>21022</v>
      </c>
      <c r="E19" s="24">
        <v>23129</v>
      </c>
      <c r="F19" s="24">
        <f t="shared" si="0"/>
        <v>2107</v>
      </c>
      <c r="G19" s="24">
        <f t="shared" si="1"/>
        <v>142364864.86486486</v>
      </c>
      <c r="H19" s="56"/>
      <c r="I19" s="56"/>
      <c r="J19" s="56"/>
      <c r="K19" s="56"/>
    </row>
    <row r="20" spans="1:11" x14ac:dyDescent="0.25">
      <c r="A20" s="56"/>
      <c r="B20" s="24">
        <v>14</v>
      </c>
      <c r="C20" s="24">
        <v>1.4800000000000001E-5</v>
      </c>
      <c r="D20" s="91">
        <v>23129</v>
      </c>
      <c r="E20" s="91">
        <v>25305</v>
      </c>
      <c r="F20" s="24">
        <f t="shared" si="0"/>
        <v>2176</v>
      </c>
      <c r="G20" s="24">
        <f t="shared" si="1"/>
        <v>147027027.02702701</v>
      </c>
      <c r="H20" s="56"/>
      <c r="I20" s="56"/>
      <c r="J20" s="56"/>
      <c r="K20" s="56"/>
    </row>
    <row r="23" spans="1:11" x14ac:dyDescent="0.25">
      <c r="B23" s="172" t="s">
        <v>678</v>
      </c>
      <c r="C23" s="173"/>
      <c r="D23" s="173"/>
      <c r="E23" s="173"/>
      <c r="F23" s="173" t="s">
        <v>737</v>
      </c>
      <c r="G23" s="20"/>
    </row>
    <row r="24" spans="1:11" x14ac:dyDescent="0.25">
      <c r="B24" s="56"/>
      <c r="C24" s="56" t="s">
        <v>735</v>
      </c>
      <c r="D24" s="56"/>
      <c r="E24" s="56"/>
      <c r="G24" s="20"/>
    </row>
    <row r="25" spans="1:11" x14ac:dyDescent="0.25">
      <c r="B25" s="24" t="s">
        <v>42</v>
      </c>
      <c r="C25" s="24" t="s">
        <v>732</v>
      </c>
      <c r="D25" s="24" t="s">
        <v>728</v>
      </c>
      <c r="E25" s="24" t="s">
        <v>729</v>
      </c>
      <c r="F25" s="24" t="s">
        <v>725</v>
      </c>
      <c r="G25" s="24" t="s">
        <v>686</v>
      </c>
    </row>
    <row r="26" spans="1:11" x14ac:dyDescent="0.25">
      <c r="B26" s="24" t="s">
        <v>679</v>
      </c>
      <c r="C26" s="24">
        <v>1.3651000000000001E-4</v>
      </c>
      <c r="D26" s="24">
        <v>24.91</v>
      </c>
      <c r="E26" s="24">
        <v>22.82</v>
      </c>
      <c r="F26" s="24" t="s">
        <v>685</v>
      </c>
      <c r="G26" s="24" t="s">
        <v>708</v>
      </c>
    </row>
    <row r="27" spans="1:11" x14ac:dyDescent="0.25">
      <c r="B27" s="24">
        <v>2</v>
      </c>
      <c r="C27" s="24">
        <v>1.3651000000000001E-4</v>
      </c>
      <c r="D27" s="24">
        <v>22.82</v>
      </c>
      <c r="E27" s="24">
        <v>20.87</v>
      </c>
      <c r="F27" s="24" t="s">
        <v>687</v>
      </c>
      <c r="G27" s="24" t="s">
        <v>709</v>
      </c>
    </row>
    <row r="28" spans="1:11" x14ac:dyDescent="0.25">
      <c r="B28" s="24">
        <v>3</v>
      </c>
      <c r="C28" s="24">
        <v>1.3651000000000001E-4</v>
      </c>
      <c r="D28" s="24">
        <v>20.87</v>
      </c>
      <c r="E28" s="24">
        <v>18.829999999999998</v>
      </c>
      <c r="F28" s="24" t="s">
        <v>689</v>
      </c>
      <c r="G28" s="24" t="s">
        <v>710</v>
      </c>
    </row>
    <row r="29" spans="1:11" x14ac:dyDescent="0.25">
      <c r="B29" s="24">
        <v>4</v>
      </c>
      <c r="C29" s="24">
        <v>1.3651000000000001E-4</v>
      </c>
      <c r="D29" s="24">
        <v>18.829999999999998</v>
      </c>
      <c r="E29" s="24">
        <v>16.899999999999999</v>
      </c>
      <c r="F29" s="24" t="s">
        <v>691</v>
      </c>
      <c r="G29" s="24" t="s">
        <v>711</v>
      </c>
    </row>
    <row r="30" spans="1:11" x14ac:dyDescent="0.25">
      <c r="B30" s="24">
        <v>5</v>
      </c>
      <c r="C30" s="24">
        <v>1.3651000000000001E-4</v>
      </c>
      <c r="D30" s="24">
        <v>16.899999999999999</v>
      </c>
      <c r="E30" s="24">
        <v>14.95</v>
      </c>
      <c r="F30" s="24" t="s">
        <v>687</v>
      </c>
      <c r="G30" s="24" t="s">
        <v>709</v>
      </c>
    </row>
    <row r="31" spans="1:11" x14ac:dyDescent="0.25">
      <c r="A31" s="56" t="s">
        <v>736</v>
      </c>
      <c r="B31" s="24">
        <v>6</v>
      </c>
      <c r="C31" s="24">
        <v>1.3651000000000001E-4</v>
      </c>
      <c r="D31" s="24">
        <v>14.95</v>
      </c>
      <c r="E31" s="24">
        <v>12.96</v>
      </c>
      <c r="F31" s="24" t="s">
        <v>693</v>
      </c>
      <c r="G31" s="24" t="s">
        <v>712</v>
      </c>
    </row>
    <row r="32" spans="1:11" x14ac:dyDescent="0.25">
      <c r="B32" s="24">
        <v>7</v>
      </c>
      <c r="C32" s="24">
        <v>1.3651000000000001E-4</v>
      </c>
      <c r="D32" s="24">
        <v>12.96</v>
      </c>
      <c r="E32" s="24">
        <v>11.12</v>
      </c>
      <c r="F32" s="24" t="s">
        <v>696</v>
      </c>
      <c r="G32" s="24" t="s">
        <v>713</v>
      </c>
    </row>
    <row r="33" spans="2:7" x14ac:dyDescent="0.25">
      <c r="B33" s="24">
        <v>8</v>
      </c>
      <c r="C33" s="24">
        <v>1.3651000000000001E-4</v>
      </c>
      <c r="D33" s="24">
        <v>11.12</v>
      </c>
      <c r="E33" s="24">
        <v>9.1199999999999992</v>
      </c>
      <c r="F33" s="24" t="s">
        <v>697</v>
      </c>
      <c r="G33" s="24" t="s">
        <v>714</v>
      </c>
    </row>
    <row r="34" spans="2:7" x14ac:dyDescent="0.25">
      <c r="B34" s="24">
        <v>9</v>
      </c>
      <c r="C34" s="24">
        <v>1.3651000000000001E-4</v>
      </c>
      <c r="D34" s="24">
        <v>9.1199999999999992</v>
      </c>
      <c r="E34" s="24">
        <v>7.13</v>
      </c>
      <c r="F34" s="24" t="s">
        <v>693</v>
      </c>
      <c r="G34" s="24" t="s">
        <v>712</v>
      </c>
    </row>
    <row r="35" spans="2:7" x14ac:dyDescent="0.25">
      <c r="B35" s="24">
        <v>10</v>
      </c>
      <c r="C35" s="24">
        <v>1.3651000000000001E-4</v>
      </c>
      <c r="D35" s="24">
        <v>7.13</v>
      </c>
      <c r="E35" s="24">
        <v>5.1989999999999998</v>
      </c>
      <c r="F35" s="24" t="s">
        <v>700</v>
      </c>
      <c r="G35" s="24" t="s">
        <v>711</v>
      </c>
    </row>
    <row r="36" spans="2:7" x14ac:dyDescent="0.25">
      <c r="B36" s="24">
        <v>11</v>
      </c>
      <c r="C36" s="24">
        <v>1.3651000000000001E-4</v>
      </c>
      <c r="D36" s="24">
        <v>5.1989999999999998</v>
      </c>
      <c r="E36" s="24">
        <v>3.2530000000000001</v>
      </c>
      <c r="F36" s="24" t="s">
        <v>701</v>
      </c>
      <c r="G36" s="24" t="s">
        <v>715</v>
      </c>
    </row>
    <row r="37" spans="2:7" x14ac:dyDescent="0.25">
      <c r="B37" s="24">
        <v>12</v>
      </c>
      <c r="C37" s="24">
        <v>1.3651000000000001E-4</v>
      </c>
      <c r="D37" s="24">
        <v>3.2530000000000001</v>
      </c>
      <c r="E37" s="24">
        <v>1.2729999999999999</v>
      </c>
      <c r="F37" s="24" t="s">
        <v>703</v>
      </c>
      <c r="G37" s="24" t="s">
        <v>716</v>
      </c>
    </row>
    <row r="38" spans="2:7" x14ac:dyDescent="0.25">
      <c r="B38" s="24">
        <v>13</v>
      </c>
      <c r="C38" s="24">
        <v>1.3651000000000001E-4</v>
      </c>
      <c r="D38" s="24">
        <v>1.2729999999999999</v>
      </c>
      <c r="E38" s="24">
        <v>0</v>
      </c>
      <c r="F38" s="24" t="s">
        <v>707</v>
      </c>
      <c r="G38" s="24" t="s">
        <v>717</v>
      </c>
    </row>
    <row r="50" spans="1:20" ht="20.100000000000001" customHeight="1" x14ac:dyDescent="0.3">
      <c r="C50" s="177" t="s">
        <v>740</v>
      </c>
      <c r="M50" s="177" t="s">
        <v>741</v>
      </c>
      <c r="N50" s="1"/>
      <c r="O50" s="1"/>
    </row>
    <row r="52" spans="1:20" x14ac:dyDescent="0.25">
      <c r="A52" s="56" t="s">
        <v>723</v>
      </c>
      <c r="B52" s="24" t="s">
        <v>42</v>
      </c>
      <c r="C52" s="24" t="s">
        <v>724</v>
      </c>
      <c r="D52" s="24" t="s">
        <v>680</v>
      </c>
      <c r="E52" s="24" t="s">
        <v>681</v>
      </c>
      <c r="F52" s="24" t="s">
        <v>725</v>
      </c>
      <c r="G52" s="24" t="s">
        <v>743</v>
      </c>
      <c r="H52" s="24" t="s">
        <v>742</v>
      </c>
      <c r="I52" s="20"/>
      <c r="J52" s="20"/>
      <c r="K52" s="20"/>
      <c r="M52" s="56" t="s">
        <v>723</v>
      </c>
      <c r="N52" s="24" t="s">
        <v>42</v>
      </c>
      <c r="O52" s="24" t="s">
        <v>724</v>
      </c>
      <c r="P52" s="24" t="s">
        <v>680</v>
      </c>
      <c r="Q52" s="24" t="s">
        <v>681</v>
      </c>
      <c r="R52" s="24" t="s">
        <v>725</v>
      </c>
      <c r="S52" s="24" t="s">
        <v>743</v>
      </c>
      <c r="T52" s="24" t="s">
        <v>742</v>
      </c>
    </row>
    <row r="53" spans="1:20" x14ac:dyDescent="0.25">
      <c r="A53" s="56"/>
      <c r="B53" s="24" t="s">
        <v>679</v>
      </c>
      <c r="C53" s="24">
        <v>2.26E-5</v>
      </c>
      <c r="D53" s="24">
        <v>0</v>
      </c>
      <c r="E53" s="24">
        <v>1899</v>
      </c>
      <c r="F53" s="24">
        <v>1899</v>
      </c>
      <c r="G53" s="24">
        <f t="shared" ref="G53:G66" si="2">F53/C53</f>
        <v>84026548.672566369</v>
      </c>
      <c r="H53" s="91">
        <v>84.027000000000001</v>
      </c>
      <c r="I53" s="56"/>
      <c r="J53" s="56"/>
      <c r="K53" s="56"/>
      <c r="M53" s="56"/>
      <c r="N53" s="24" t="s">
        <v>679</v>
      </c>
      <c r="O53" s="24">
        <v>9.2899999999999995E-5</v>
      </c>
      <c r="P53" s="24">
        <v>0</v>
      </c>
      <c r="Q53" s="24">
        <v>1958</v>
      </c>
      <c r="R53" s="24">
        <f t="shared" ref="R53:R66" si="3">Q53-P53</f>
        <v>1958</v>
      </c>
      <c r="S53" s="24">
        <f t="shared" ref="S53:S66" si="4">R53/O53</f>
        <v>21076426.264800861</v>
      </c>
      <c r="T53" s="91">
        <v>21.076000000000001</v>
      </c>
    </row>
    <row r="54" spans="1:20" x14ac:dyDescent="0.25">
      <c r="A54" s="56"/>
      <c r="B54" s="24">
        <v>2</v>
      </c>
      <c r="C54" s="24">
        <v>2.26E-5</v>
      </c>
      <c r="D54" s="24">
        <v>1899</v>
      </c>
      <c r="E54" s="24">
        <v>3471</v>
      </c>
      <c r="F54" s="24">
        <v>1572</v>
      </c>
      <c r="G54" s="24">
        <f t="shared" si="2"/>
        <v>69557522.123893797</v>
      </c>
      <c r="H54" s="91">
        <v>69.558000000000007</v>
      </c>
      <c r="I54" s="56"/>
      <c r="J54" s="56"/>
      <c r="K54" s="56"/>
      <c r="M54" s="56"/>
      <c r="N54" s="24">
        <v>2</v>
      </c>
      <c r="O54" s="24">
        <v>9.2899999999999995E-5</v>
      </c>
      <c r="P54" s="24">
        <v>1958</v>
      </c>
      <c r="Q54" s="24">
        <v>3819</v>
      </c>
      <c r="R54" s="24">
        <f t="shared" si="3"/>
        <v>1861</v>
      </c>
      <c r="S54" s="24">
        <f t="shared" si="4"/>
        <v>20032292.787944026</v>
      </c>
      <c r="T54" s="91">
        <v>20.032</v>
      </c>
    </row>
    <row r="55" spans="1:20" x14ac:dyDescent="0.25">
      <c r="A55" s="56"/>
      <c r="B55" s="24">
        <v>3</v>
      </c>
      <c r="C55" s="24">
        <v>2.26E-5</v>
      </c>
      <c r="D55" s="24">
        <v>3471</v>
      </c>
      <c r="E55" s="24">
        <v>5387</v>
      </c>
      <c r="F55" s="24">
        <v>1916</v>
      </c>
      <c r="G55" s="24">
        <f t="shared" si="2"/>
        <v>84778761.061946899</v>
      </c>
      <c r="H55" s="91">
        <v>84.778999999999996</v>
      </c>
      <c r="I55" s="56"/>
      <c r="J55" s="56"/>
      <c r="K55" s="56"/>
      <c r="M55" s="56"/>
      <c r="N55" s="24">
        <v>3</v>
      </c>
      <c r="O55" s="24">
        <v>9.2899999999999995E-5</v>
      </c>
      <c r="P55" s="24">
        <v>3819</v>
      </c>
      <c r="Q55" s="24">
        <v>5634</v>
      </c>
      <c r="R55" s="24">
        <f t="shared" si="3"/>
        <v>1815</v>
      </c>
      <c r="S55" s="24">
        <f t="shared" si="4"/>
        <v>19537136.706135631</v>
      </c>
      <c r="T55" s="91">
        <v>19.536999999999999</v>
      </c>
    </row>
    <row r="56" spans="1:20" x14ac:dyDescent="0.25">
      <c r="A56" s="56"/>
      <c r="B56" s="24">
        <v>4</v>
      </c>
      <c r="C56" s="24">
        <v>2.26E-5</v>
      </c>
      <c r="D56" s="24">
        <v>5387</v>
      </c>
      <c r="E56" s="24">
        <v>6465</v>
      </c>
      <c r="F56" s="24">
        <v>1078</v>
      </c>
      <c r="G56" s="24">
        <f t="shared" si="2"/>
        <v>47699115.044247784</v>
      </c>
      <c r="H56" s="91">
        <v>47.698999999999998</v>
      </c>
      <c r="I56" s="56"/>
      <c r="J56" s="56"/>
      <c r="K56" s="56"/>
      <c r="M56" s="56"/>
      <c r="N56" s="24">
        <v>4</v>
      </c>
      <c r="O56" s="24">
        <v>9.2899999999999995E-5</v>
      </c>
      <c r="P56" s="24">
        <v>5634</v>
      </c>
      <c r="Q56" s="24">
        <v>7557</v>
      </c>
      <c r="R56" s="24">
        <f t="shared" si="3"/>
        <v>1923</v>
      </c>
      <c r="S56" s="24">
        <f t="shared" si="4"/>
        <v>20699677.072120562</v>
      </c>
      <c r="T56" s="91">
        <v>20.7</v>
      </c>
    </row>
    <row r="57" spans="1:20" x14ac:dyDescent="0.25">
      <c r="A57" s="91" t="s">
        <v>739</v>
      </c>
      <c r="B57" s="24">
        <v>5</v>
      </c>
      <c r="C57" s="24">
        <v>2.26E-5</v>
      </c>
      <c r="D57" s="24">
        <v>6465</v>
      </c>
      <c r="E57" s="24">
        <v>8470</v>
      </c>
      <c r="F57" s="24">
        <v>2005</v>
      </c>
      <c r="G57" s="24">
        <f t="shared" si="2"/>
        <v>88716814.159292027</v>
      </c>
      <c r="H57" s="91">
        <v>88.716999999999999</v>
      </c>
      <c r="I57" s="56"/>
      <c r="J57" s="56"/>
      <c r="K57" s="56"/>
      <c r="M57" s="91" t="s">
        <v>739</v>
      </c>
      <c r="N57" s="24">
        <v>5</v>
      </c>
      <c r="O57" s="24">
        <v>9.2899999999999995E-5</v>
      </c>
      <c r="P57" s="24">
        <v>7557</v>
      </c>
      <c r="Q57" s="24">
        <v>9452</v>
      </c>
      <c r="R57" s="24">
        <f t="shared" si="3"/>
        <v>1895</v>
      </c>
      <c r="S57" s="24">
        <f t="shared" si="4"/>
        <v>20398277.717976321</v>
      </c>
      <c r="T57" s="91">
        <v>20.398</v>
      </c>
    </row>
    <row r="58" spans="1:20" x14ac:dyDescent="0.25">
      <c r="A58" s="91" t="s">
        <v>258</v>
      </c>
      <c r="B58" s="24">
        <v>6</v>
      </c>
      <c r="C58" s="24">
        <v>2.26E-5</v>
      </c>
      <c r="D58" s="24">
        <v>8470</v>
      </c>
      <c r="E58" s="24">
        <v>10597</v>
      </c>
      <c r="F58" s="24">
        <v>2127</v>
      </c>
      <c r="G58" s="24">
        <f t="shared" si="2"/>
        <v>94115044.24778761</v>
      </c>
      <c r="H58" s="91">
        <v>94.114999999999995</v>
      </c>
      <c r="I58" s="56"/>
      <c r="J58" s="56"/>
      <c r="K58" s="56"/>
      <c r="M58" s="91" t="s">
        <v>258</v>
      </c>
      <c r="N58" s="24">
        <v>6</v>
      </c>
      <c r="O58" s="24">
        <v>9.2899999999999995E-5</v>
      </c>
      <c r="P58" s="24">
        <v>9452</v>
      </c>
      <c r="Q58" s="24">
        <v>11432</v>
      </c>
      <c r="R58" s="24">
        <f t="shared" si="3"/>
        <v>1980</v>
      </c>
      <c r="S58" s="24">
        <f t="shared" si="4"/>
        <v>21313240.043057051</v>
      </c>
      <c r="T58" s="91">
        <v>21.312999999999999</v>
      </c>
    </row>
    <row r="59" spans="1:20" x14ac:dyDescent="0.25">
      <c r="A59" s="56"/>
      <c r="B59" s="24">
        <v>7</v>
      </c>
      <c r="C59" s="24">
        <v>2.26E-5</v>
      </c>
      <c r="D59" s="24">
        <v>10597</v>
      </c>
      <c r="E59" s="24">
        <v>12713</v>
      </c>
      <c r="F59" s="24">
        <v>2116</v>
      </c>
      <c r="G59" s="24">
        <f t="shared" si="2"/>
        <v>93628318.584070802</v>
      </c>
      <c r="H59" s="91">
        <v>93.628</v>
      </c>
      <c r="I59" s="56"/>
      <c r="J59" s="56"/>
      <c r="K59" s="56"/>
      <c r="M59" s="56"/>
      <c r="N59" s="24">
        <v>7</v>
      </c>
      <c r="O59" s="24">
        <v>9.2899999999999995E-5</v>
      </c>
      <c r="P59" s="24">
        <v>11432</v>
      </c>
      <c r="Q59" s="24">
        <v>13328</v>
      </c>
      <c r="R59" s="24">
        <f t="shared" si="3"/>
        <v>1896</v>
      </c>
      <c r="S59" s="24">
        <f t="shared" si="4"/>
        <v>20409041.980624329</v>
      </c>
      <c r="T59" s="91">
        <v>20.041</v>
      </c>
    </row>
    <row r="60" spans="1:20" x14ac:dyDescent="0.25">
      <c r="A60" s="56"/>
      <c r="B60" s="24">
        <v>8</v>
      </c>
      <c r="C60" s="24">
        <v>2.26E-5</v>
      </c>
      <c r="D60" s="24">
        <v>12713</v>
      </c>
      <c r="E60" s="24">
        <v>14566</v>
      </c>
      <c r="F60" s="24">
        <v>1853</v>
      </c>
      <c r="G60" s="24">
        <f t="shared" si="2"/>
        <v>81991150.442477867</v>
      </c>
      <c r="H60" s="91">
        <v>81.991</v>
      </c>
      <c r="I60" s="56"/>
      <c r="J60" s="56"/>
      <c r="K60" s="56"/>
      <c r="M60" s="56"/>
      <c r="N60" s="24">
        <v>8</v>
      </c>
      <c r="O60" s="24">
        <v>9.2899999999999995E-5</v>
      </c>
      <c r="P60" s="24">
        <v>13328</v>
      </c>
      <c r="Q60" s="24">
        <v>15136</v>
      </c>
      <c r="R60" s="24">
        <f t="shared" si="3"/>
        <v>1808</v>
      </c>
      <c r="S60" s="24">
        <f t="shared" si="4"/>
        <v>19461786.867599569</v>
      </c>
      <c r="T60" s="91">
        <v>19.462</v>
      </c>
    </row>
    <row r="61" spans="1:20" x14ac:dyDescent="0.25">
      <c r="A61" s="56"/>
      <c r="B61" s="24">
        <v>9</v>
      </c>
      <c r="C61" s="24">
        <v>2.26E-5</v>
      </c>
      <c r="D61" s="24">
        <v>14566</v>
      </c>
      <c r="E61" s="24">
        <v>16503</v>
      </c>
      <c r="F61" s="24">
        <v>1937</v>
      </c>
      <c r="G61" s="24">
        <f t="shared" si="2"/>
        <v>85707964.601769909</v>
      </c>
      <c r="H61" s="91">
        <v>85.707999999999998</v>
      </c>
      <c r="I61" s="56"/>
      <c r="J61" s="56"/>
      <c r="K61" s="56"/>
      <c r="M61" s="56"/>
      <c r="N61" s="24">
        <v>9</v>
      </c>
      <c r="O61" s="24">
        <v>9.2899999999999995E-5</v>
      </c>
      <c r="P61" s="24">
        <v>15136</v>
      </c>
      <c r="Q61" s="24">
        <v>16861</v>
      </c>
      <c r="R61" s="24">
        <f t="shared" si="3"/>
        <v>1725</v>
      </c>
      <c r="S61" s="24">
        <f t="shared" si="4"/>
        <v>18568353.067814857</v>
      </c>
      <c r="T61" s="91">
        <v>18.568000000000001</v>
      </c>
    </row>
    <row r="62" spans="1:20" x14ac:dyDescent="0.25">
      <c r="A62" s="56"/>
      <c r="B62" s="24">
        <v>10</v>
      </c>
      <c r="C62" s="24">
        <v>2.26E-5</v>
      </c>
      <c r="D62" s="24">
        <v>16503</v>
      </c>
      <c r="E62" s="24">
        <v>18687</v>
      </c>
      <c r="F62" s="24">
        <v>2184</v>
      </c>
      <c r="G62" s="24">
        <f t="shared" si="2"/>
        <v>96637168.14159292</v>
      </c>
      <c r="H62" s="91">
        <v>96.637</v>
      </c>
      <c r="I62" s="56"/>
      <c r="J62" s="56"/>
      <c r="K62" s="56"/>
      <c r="M62" s="56"/>
      <c r="N62" s="24">
        <v>10</v>
      </c>
      <c r="O62" s="24">
        <v>9.2899999999999995E-5</v>
      </c>
      <c r="P62" s="24">
        <v>16861</v>
      </c>
      <c r="Q62" s="24">
        <v>18854</v>
      </c>
      <c r="R62" s="24">
        <f t="shared" si="3"/>
        <v>1993</v>
      </c>
      <c r="S62" s="24">
        <f t="shared" si="4"/>
        <v>21453175.457481164</v>
      </c>
      <c r="T62" s="91">
        <v>21.452999999999999</v>
      </c>
    </row>
    <row r="63" spans="1:20" x14ac:dyDescent="0.25">
      <c r="A63" s="56"/>
      <c r="B63" s="24">
        <v>11</v>
      </c>
      <c r="C63" s="24">
        <v>2.26E-5</v>
      </c>
      <c r="D63" s="24">
        <v>18687</v>
      </c>
      <c r="E63" s="24">
        <v>20419</v>
      </c>
      <c r="F63" s="24">
        <v>1732</v>
      </c>
      <c r="G63" s="24">
        <f t="shared" si="2"/>
        <v>76637168.14159292</v>
      </c>
      <c r="H63" s="91">
        <v>76.637</v>
      </c>
      <c r="I63" s="56"/>
      <c r="J63" s="56"/>
      <c r="K63" s="56"/>
      <c r="M63" s="56"/>
      <c r="N63" s="24">
        <v>11</v>
      </c>
      <c r="O63" s="24">
        <v>9.2899999999999995E-5</v>
      </c>
      <c r="P63" s="24">
        <v>18854</v>
      </c>
      <c r="Q63" s="24">
        <v>20522</v>
      </c>
      <c r="R63" s="24">
        <f t="shared" si="3"/>
        <v>1668</v>
      </c>
      <c r="S63" s="24">
        <f t="shared" si="4"/>
        <v>17954790.096878365</v>
      </c>
      <c r="T63" s="91">
        <v>17.948</v>
      </c>
    </row>
    <row r="64" spans="1:20" x14ac:dyDescent="0.25">
      <c r="A64" s="56"/>
      <c r="B64" s="24">
        <v>12</v>
      </c>
      <c r="C64" s="24">
        <v>2.26E-5</v>
      </c>
      <c r="D64" s="24">
        <v>20419</v>
      </c>
      <c r="E64" s="24">
        <v>22136</v>
      </c>
      <c r="F64" s="24">
        <v>1717</v>
      </c>
      <c r="G64" s="24">
        <f t="shared" si="2"/>
        <v>75973451.327433631</v>
      </c>
      <c r="H64" s="91">
        <v>75.972999999999999</v>
      </c>
      <c r="I64" s="56"/>
      <c r="J64" s="56"/>
      <c r="K64" s="56"/>
      <c r="M64" s="56"/>
      <c r="N64" s="24">
        <v>12</v>
      </c>
      <c r="O64" s="24">
        <v>9.2899999999999995E-5</v>
      </c>
      <c r="P64" s="24">
        <v>20522</v>
      </c>
      <c r="Q64" s="24">
        <v>22252</v>
      </c>
      <c r="R64" s="24">
        <f t="shared" si="3"/>
        <v>1730</v>
      </c>
      <c r="S64" s="24">
        <f t="shared" si="4"/>
        <v>18622174.381054901</v>
      </c>
      <c r="T64" s="91">
        <v>18.622</v>
      </c>
    </row>
    <row r="65" spans="1:20" x14ac:dyDescent="0.25">
      <c r="A65" s="56"/>
      <c r="B65" s="24">
        <v>13</v>
      </c>
      <c r="C65" s="24">
        <v>2.26E-5</v>
      </c>
      <c r="D65" s="24">
        <v>22136</v>
      </c>
      <c r="E65" s="24">
        <v>23576</v>
      </c>
      <c r="F65" s="24">
        <v>1440</v>
      </c>
      <c r="G65" s="24">
        <f t="shared" si="2"/>
        <v>63716814.159292035</v>
      </c>
      <c r="H65" s="91">
        <v>63.716999999999999</v>
      </c>
      <c r="I65" s="56"/>
      <c r="J65" s="56"/>
      <c r="K65" s="56"/>
      <c r="M65" s="56"/>
      <c r="N65" s="24">
        <v>13</v>
      </c>
      <c r="O65" s="24">
        <v>9.2899999999999995E-5</v>
      </c>
      <c r="P65" s="24">
        <v>22252</v>
      </c>
      <c r="Q65" s="24">
        <v>23709</v>
      </c>
      <c r="R65" s="24">
        <f t="shared" si="3"/>
        <v>1457</v>
      </c>
      <c r="S65" s="24">
        <f t="shared" si="4"/>
        <v>15683530.678148547</v>
      </c>
      <c r="T65" s="91">
        <v>15.683999999999999</v>
      </c>
    </row>
    <row r="66" spans="1:20" x14ac:dyDescent="0.25">
      <c r="A66" s="56"/>
      <c r="B66" s="24">
        <v>14</v>
      </c>
      <c r="C66" s="24">
        <v>2.26E-5</v>
      </c>
      <c r="D66" s="91">
        <v>23576</v>
      </c>
      <c r="E66" s="91">
        <v>25145</v>
      </c>
      <c r="F66" s="91">
        <v>1569</v>
      </c>
      <c r="G66" s="91">
        <f t="shared" si="2"/>
        <v>69424778.761061952</v>
      </c>
      <c r="H66" s="91">
        <v>69.424999999999997</v>
      </c>
      <c r="I66" s="56"/>
      <c r="J66" s="56"/>
      <c r="K66" s="56"/>
      <c r="M66" s="56"/>
      <c r="N66" s="24">
        <v>14</v>
      </c>
      <c r="O66" s="24">
        <v>9.2899999999999995E-5</v>
      </c>
      <c r="P66" s="91">
        <v>23709</v>
      </c>
      <c r="Q66" s="91">
        <v>25298</v>
      </c>
      <c r="R66" s="91">
        <f t="shared" si="3"/>
        <v>1589</v>
      </c>
      <c r="S66" s="91">
        <f t="shared" si="4"/>
        <v>17104413.347685684</v>
      </c>
      <c r="T66" s="91">
        <v>17.103999999999999</v>
      </c>
    </row>
    <row r="69" spans="1:20" x14ac:dyDescent="0.25">
      <c r="H69" s="19" t="s">
        <v>744</v>
      </c>
      <c r="I69" s="19" t="s">
        <v>745</v>
      </c>
    </row>
    <row r="70" spans="1:20" x14ac:dyDescent="0.25">
      <c r="H70" s="24" t="s">
        <v>742</v>
      </c>
      <c r="I70" s="24" t="s">
        <v>742</v>
      </c>
    </row>
    <row r="71" spans="1:20" x14ac:dyDescent="0.25">
      <c r="H71" s="91">
        <v>84.027000000000001</v>
      </c>
      <c r="I71" s="91">
        <v>21.076000000000001</v>
      </c>
    </row>
    <row r="72" spans="1:20" x14ac:dyDescent="0.25">
      <c r="H72" s="91">
        <v>69.558000000000007</v>
      </c>
      <c r="I72" s="91">
        <v>20.032</v>
      </c>
    </row>
    <row r="73" spans="1:20" x14ac:dyDescent="0.25">
      <c r="H73" s="91">
        <v>84.778999999999996</v>
      </c>
      <c r="I73" s="91">
        <v>19.536999999999999</v>
      </c>
    </row>
    <row r="74" spans="1:20" x14ac:dyDescent="0.25">
      <c r="H74" s="91">
        <v>47.698999999999998</v>
      </c>
      <c r="I74" s="91">
        <v>20.7</v>
      </c>
    </row>
    <row r="75" spans="1:20" x14ac:dyDescent="0.25">
      <c r="H75" s="91">
        <v>88.716999999999999</v>
      </c>
      <c r="I75" s="91">
        <v>20.398</v>
      </c>
    </row>
    <row r="76" spans="1:20" x14ac:dyDescent="0.25">
      <c r="H76" s="91">
        <v>94.114999999999995</v>
      </c>
      <c r="I76" s="91">
        <v>21.312999999999999</v>
      </c>
    </row>
    <row r="77" spans="1:20" x14ac:dyDescent="0.25">
      <c r="H77" s="91">
        <v>93.628</v>
      </c>
      <c r="I77" s="91">
        <v>20.041</v>
      </c>
    </row>
    <row r="78" spans="1:20" x14ac:dyDescent="0.25">
      <c r="H78" s="91">
        <v>81.991</v>
      </c>
      <c r="I78" s="91">
        <v>19.462</v>
      </c>
    </row>
    <row r="79" spans="1:20" x14ac:dyDescent="0.25">
      <c r="H79" s="91">
        <v>85.707999999999998</v>
      </c>
      <c r="I79" s="91">
        <v>18.568000000000001</v>
      </c>
    </row>
    <row r="80" spans="1:20" x14ac:dyDescent="0.25">
      <c r="H80" s="91">
        <v>96.637</v>
      </c>
      <c r="I80" s="91">
        <v>21.452999999999999</v>
      </c>
    </row>
    <row r="81" spans="8:9" x14ac:dyDescent="0.25">
      <c r="H81" s="91">
        <v>76.637</v>
      </c>
      <c r="I81" s="91">
        <v>17.948</v>
      </c>
    </row>
    <row r="82" spans="8:9" x14ac:dyDescent="0.25">
      <c r="H82" s="91">
        <v>75.972999999999999</v>
      </c>
      <c r="I82" s="91">
        <v>18.622</v>
      </c>
    </row>
    <row r="83" spans="8:9" x14ac:dyDescent="0.25">
      <c r="H83" s="91">
        <v>63.716999999999999</v>
      </c>
      <c r="I83" s="91">
        <v>15.683999999999999</v>
      </c>
    </row>
    <row r="84" spans="8:9" x14ac:dyDescent="0.25">
      <c r="H84" s="91">
        <v>69.424999999999997</v>
      </c>
      <c r="I84" s="91">
        <v>17.103999999999999</v>
      </c>
    </row>
  </sheetData>
  <pageMargins left="0.7" right="0.7" top="0.75" bottom="0.75" header="0.3" footer="0.3"/>
  <pageSetup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U37"/>
  <sheetViews>
    <sheetView windowProtection="1" workbookViewId="0">
      <selection activeCell="D6" sqref="D6:I19"/>
    </sheetView>
  </sheetViews>
  <sheetFormatPr defaultRowHeight="15" x14ac:dyDescent="0.25"/>
  <cols>
    <col min="2" max="2" width="16.7109375" customWidth="1"/>
    <col min="3" max="3" width="12.7109375" customWidth="1"/>
    <col min="4" max="8" width="20.7109375" customWidth="1"/>
    <col min="9" max="10" width="24.7109375" customWidth="1"/>
    <col min="14" max="14" width="16.7109375" customWidth="1"/>
    <col min="15" max="15" width="12.7109375" customWidth="1"/>
    <col min="16" max="20" width="20.7109375" customWidth="1"/>
    <col min="21" max="21" width="24.7109375" customWidth="1"/>
  </cols>
  <sheetData>
    <row r="3" spans="2:21" ht="18.75" x14ac:dyDescent="0.3">
      <c r="D3" s="177" t="s">
        <v>740</v>
      </c>
      <c r="E3" s="1"/>
      <c r="F3" s="1"/>
      <c r="G3" s="56"/>
      <c r="N3" s="177" t="s">
        <v>741</v>
      </c>
      <c r="O3" s="1"/>
      <c r="P3" s="1"/>
      <c r="S3" s="56"/>
      <c r="T3" s="56"/>
      <c r="U3" s="56"/>
    </row>
    <row r="4" spans="2:21" x14ac:dyDescent="0.25">
      <c r="E4" s="1"/>
      <c r="F4" s="1"/>
      <c r="G4" s="56"/>
      <c r="S4" s="56"/>
      <c r="T4" s="56"/>
      <c r="U4" s="56"/>
    </row>
    <row r="5" spans="2:21" x14ac:dyDescent="0.25">
      <c r="B5" s="56" t="s">
        <v>723</v>
      </c>
      <c r="C5" s="24" t="s">
        <v>42</v>
      </c>
      <c r="D5" s="24" t="s">
        <v>746</v>
      </c>
      <c r="E5" s="24" t="s">
        <v>680</v>
      </c>
      <c r="F5" s="24" t="s">
        <v>681</v>
      </c>
      <c r="G5" s="24" t="s">
        <v>725</v>
      </c>
      <c r="H5" s="24" t="s">
        <v>743</v>
      </c>
      <c r="I5" s="24" t="s">
        <v>742</v>
      </c>
      <c r="J5" s="20"/>
      <c r="K5" s="20"/>
      <c r="L5" s="20"/>
      <c r="N5" s="56" t="s">
        <v>723</v>
      </c>
      <c r="O5" s="24" t="s">
        <v>42</v>
      </c>
      <c r="P5" s="24" t="s">
        <v>746</v>
      </c>
      <c r="Q5" s="24" t="s">
        <v>680</v>
      </c>
      <c r="R5" s="24" t="s">
        <v>681</v>
      </c>
      <c r="S5" s="24" t="s">
        <v>725</v>
      </c>
      <c r="T5" s="24" t="s">
        <v>743</v>
      </c>
      <c r="U5" s="24" t="s">
        <v>742</v>
      </c>
    </row>
    <row r="6" spans="2:21" x14ac:dyDescent="0.25">
      <c r="B6" s="56"/>
      <c r="C6" s="24" t="s">
        <v>679</v>
      </c>
      <c r="D6" s="24">
        <v>2.26E-5</v>
      </c>
      <c r="E6" s="24">
        <v>0</v>
      </c>
      <c r="F6" s="24">
        <v>1899</v>
      </c>
      <c r="G6" s="24">
        <v>1899</v>
      </c>
      <c r="H6" s="24">
        <f t="shared" ref="H6:H19" si="0">G6/D6</f>
        <v>84026548.672566369</v>
      </c>
      <c r="I6" s="91">
        <v>84.027000000000001</v>
      </c>
      <c r="J6" s="56"/>
      <c r="K6" s="56"/>
      <c r="L6" s="56"/>
      <c r="N6" s="56"/>
      <c r="O6" s="24" t="s">
        <v>679</v>
      </c>
      <c r="P6" s="24">
        <v>9.2899999999999995E-5</v>
      </c>
      <c r="Q6" s="24">
        <v>0</v>
      </c>
      <c r="R6" s="24">
        <v>1958</v>
      </c>
      <c r="S6" s="24">
        <f t="shared" ref="S6:S19" si="1">R6-Q6</f>
        <v>1958</v>
      </c>
      <c r="T6" s="24">
        <f t="shared" ref="T6:T19" si="2">S6/P6</f>
        <v>21076426.264800861</v>
      </c>
      <c r="U6" s="91">
        <v>21.076000000000001</v>
      </c>
    </row>
    <row r="7" spans="2:21" x14ac:dyDescent="0.25">
      <c r="B7" s="56"/>
      <c r="C7" s="24">
        <v>2</v>
      </c>
      <c r="D7" s="24">
        <v>2.26E-5</v>
      </c>
      <c r="E7" s="24">
        <v>1899</v>
      </c>
      <c r="F7" s="24">
        <v>3471</v>
      </c>
      <c r="G7" s="24">
        <v>1572</v>
      </c>
      <c r="H7" s="24">
        <f t="shared" si="0"/>
        <v>69557522.123893797</v>
      </c>
      <c r="I7" s="91">
        <v>69.558000000000007</v>
      </c>
      <c r="J7" s="56"/>
      <c r="K7" s="56"/>
      <c r="L7" s="56"/>
      <c r="N7" s="56"/>
      <c r="O7" s="24">
        <v>2</v>
      </c>
      <c r="P7" s="24">
        <v>9.2899999999999995E-5</v>
      </c>
      <c r="Q7" s="24">
        <v>1958</v>
      </c>
      <c r="R7" s="24">
        <v>3819</v>
      </c>
      <c r="S7" s="24">
        <f t="shared" si="1"/>
        <v>1861</v>
      </c>
      <c r="T7" s="24">
        <f t="shared" si="2"/>
        <v>20032292.787944026</v>
      </c>
      <c r="U7" s="91">
        <v>20.032</v>
      </c>
    </row>
    <row r="8" spans="2:21" x14ac:dyDescent="0.25">
      <c r="B8" s="56"/>
      <c r="C8" s="24">
        <v>3</v>
      </c>
      <c r="D8" s="24">
        <v>2.26E-5</v>
      </c>
      <c r="E8" s="24">
        <v>3471</v>
      </c>
      <c r="F8" s="24">
        <v>5387</v>
      </c>
      <c r="G8" s="24">
        <v>1916</v>
      </c>
      <c r="H8" s="24">
        <f t="shared" si="0"/>
        <v>84778761.061946899</v>
      </c>
      <c r="I8" s="91">
        <v>84.778999999999996</v>
      </c>
      <c r="J8" s="56"/>
      <c r="K8" s="56"/>
      <c r="L8" s="56"/>
      <c r="N8" s="56"/>
      <c r="O8" s="24">
        <v>3</v>
      </c>
      <c r="P8" s="24">
        <v>9.2899999999999995E-5</v>
      </c>
      <c r="Q8" s="24">
        <v>3819</v>
      </c>
      <c r="R8" s="24">
        <v>5634</v>
      </c>
      <c r="S8" s="24">
        <f t="shared" si="1"/>
        <v>1815</v>
      </c>
      <c r="T8" s="24">
        <f t="shared" si="2"/>
        <v>19537136.706135631</v>
      </c>
      <c r="U8" s="91">
        <v>19.536999999999999</v>
      </c>
    </row>
    <row r="9" spans="2:21" x14ac:dyDescent="0.25">
      <c r="B9" s="56"/>
      <c r="C9" s="24">
        <v>4</v>
      </c>
      <c r="D9" s="24">
        <v>2.26E-5</v>
      </c>
      <c r="E9" s="24">
        <v>5387</v>
      </c>
      <c r="F9" s="24">
        <v>6465</v>
      </c>
      <c r="G9" s="24">
        <v>1078</v>
      </c>
      <c r="H9" s="24">
        <f t="shared" si="0"/>
        <v>47699115.044247784</v>
      </c>
      <c r="I9" s="91">
        <v>47.698999999999998</v>
      </c>
      <c r="J9" s="56"/>
      <c r="K9" s="56"/>
      <c r="L9" s="56"/>
      <c r="N9" s="56"/>
      <c r="O9" s="24">
        <v>4</v>
      </c>
      <c r="P9" s="24">
        <v>9.2899999999999995E-5</v>
      </c>
      <c r="Q9" s="24">
        <v>5634</v>
      </c>
      <c r="R9" s="24">
        <v>7557</v>
      </c>
      <c r="S9" s="24">
        <f t="shared" si="1"/>
        <v>1923</v>
      </c>
      <c r="T9" s="24">
        <f t="shared" si="2"/>
        <v>20699677.072120562</v>
      </c>
      <c r="U9" s="91">
        <v>20.7</v>
      </c>
    </row>
    <row r="10" spans="2:21" x14ac:dyDescent="0.25">
      <c r="B10" s="91" t="s">
        <v>739</v>
      </c>
      <c r="C10" s="24">
        <v>5</v>
      </c>
      <c r="D10" s="24">
        <v>2.26E-5</v>
      </c>
      <c r="E10" s="24">
        <v>6465</v>
      </c>
      <c r="F10" s="24">
        <v>8470</v>
      </c>
      <c r="G10" s="24">
        <v>2005</v>
      </c>
      <c r="H10" s="24">
        <f t="shared" si="0"/>
        <v>88716814.159292027</v>
      </c>
      <c r="I10" s="91">
        <v>88.716999999999999</v>
      </c>
      <c r="J10" s="56"/>
      <c r="K10" s="56"/>
      <c r="L10" s="56"/>
      <c r="N10" s="91" t="s">
        <v>739</v>
      </c>
      <c r="O10" s="24">
        <v>5</v>
      </c>
      <c r="P10" s="24">
        <v>9.2899999999999995E-5</v>
      </c>
      <c r="Q10" s="24">
        <v>7557</v>
      </c>
      <c r="R10" s="24">
        <v>9452</v>
      </c>
      <c r="S10" s="24">
        <f t="shared" si="1"/>
        <v>1895</v>
      </c>
      <c r="T10" s="24">
        <f t="shared" si="2"/>
        <v>20398277.717976321</v>
      </c>
      <c r="U10" s="91">
        <v>20.398</v>
      </c>
    </row>
    <row r="11" spans="2:21" x14ac:dyDescent="0.25">
      <c r="B11" s="91" t="s">
        <v>258</v>
      </c>
      <c r="C11" s="24">
        <v>6</v>
      </c>
      <c r="D11" s="24">
        <v>2.26E-5</v>
      </c>
      <c r="E11" s="24">
        <v>8470</v>
      </c>
      <c r="F11" s="24">
        <v>10597</v>
      </c>
      <c r="G11" s="24">
        <v>2127</v>
      </c>
      <c r="H11" s="24">
        <f t="shared" si="0"/>
        <v>94115044.24778761</v>
      </c>
      <c r="I11" s="91">
        <v>94.114999999999995</v>
      </c>
      <c r="J11" s="56"/>
      <c r="K11" s="56"/>
      <c r="L11" s="56"/>
      <c r="N11" s="91" t="s">
        <v>258</v>
      </c>
      <c r="O11" s="24">
        <v>6</v>
      </c>
      <c r="P11" s="24">
        <v>9.2899999999999995E-5</v>
      </c>
      <c r="Q11" s="24">
        <v>9452</v>
      </c>
      <c r="R11" s="24">
        <v>11432</v>
      </c>
      <c r="S11" s="24">
        <f t="shared" si="1"/>
        <v>1980</v>
      </c>
      <c r="T11" s="24">
        <f t="shared" si="2"/>
        <v>21313240.043057051</v>
      </c>
      <c r="U11" s="91">
        <v>21.312999999999999</v>
      </c>
    </row>
    <row r="12" spans="2:21" x14ac:dyDescent="0.25">
      <c r="B12" s="56"/>
      <c r="C12" s="24">
        <v>7</v>
      </c>
      <c r="D12" s="24">
        <v>2.26E-5</v>
      </c>
      <c r="E12" s="24">
        <v>10597</v>
      </c>
      <c r="F12" s="24">
        <v>12713</v>
      </c>
      <c r="G12" s="24">
        <v>2116</v>
      </c>
      <c r="H12" s="24">
        <f t="shared" si="0"/>
        <v>93628318.584070802</v>
      </c>
      <c r="I12" s="91">
        <v>93.628</v>
      </c>
      <c r="J12" s="56"/>
      <c r="K12" s="56"/>
      <c r="L12" s="56"/>
      <c r="N12" s="56"/>
      <c r="O12" s="24">
        <v>7</v>
      </c>
      <c r="P12" s="24">
        <v>9.2899999999999995E-5</v>
      </c>
      <c r="Q12" s="24">
        <v>11432</v>
      </c>
      <c r="R12" s="24">
        <v>13328</v>
      </c>
      <c r="S12" s="24">
        <f t="shared" si="1"/>
        <v>1896</v>
      </c>
      <c r="T12" s="24">
        <f t="shared" si="2"/>
        <v>20409041.980624329</v>
      </c>
      <c r="U12" s="91">
        <v>20.041</v>
      </c>
    </row>
    <row r="13" spans="2:21" x14ac:dyDescent="0.25">
      <c r="B13" s="56"/>
      <c r="C13" s="24">
        <v>8</v>
      </c>
      <c r="D13" s="24">
        <v>2.26E-5</v>
      </c>
      <c r="E13" s="24">
        <v>12713</v>
      </c>
      <c r="F13" s="24">
        <v>14566</v>
      </c>
      <c r="G13" s="24">
        <v>1853</v>
      </c>
      <c r="H13" s="24">
        <f t="shared" si="0"/>
        <v>81991150.442477867</v>
      </c>
      <c r="I13" s="91">
        <v>81.991</v>
      </c>
      <c r="J13" s="56"/>
      <c r="K13" s="56"/>
      <c r="L13" s="56"/>
      <c r="N13" s="56"/>
      <c r="O13" s="24">
        <v>8</v>
      </c>
      <c r="P13" s="24">
        <v>9.2899999999999995E-5</v>
      </c>
      <c r="Q13" s="24">
        <v>13328</v>
      </c>
      <c r="R13" s="24">
        <v>15136</v>
      </c>
      <c r="S13" s="24">
        <f t="shared" si="1"/>
        <v>1808</v>
      </c>
      <c r="T13" s="24">
        <f t="shared" si="2"/>
        <v>19461786.867599569</v>
      </c>
      <c r="U13" s="91">
        <v>19.462</v>
      </c>
    </row>
    <row r="14" spans="2:21" x14ac:dyDescent="0.25">
      <c r="B14" s="56"/>
      <c r="C14" s="24">
        <v>9</v>
      </c>
      <c r="D14" s="24">
        <v>2.26E-5</v>
      </c>
      <c r="E14" s="24">
        <v>14566</v>
      </c>
      <c r="F14" s="24">
        <v>16503</v>
      </c>
      <c r="G14" s="24">
        <v>1937</v>
      </c>
      <c r="H14" s="24">
        <f t="shared" si="0"/>
        <v>85707964.601769909</v>
      </c>
      <c r="I14" s="91">
        <v>85.707999999999998</v>
      </c>
      <c r="J14" s="56"/>
      <c r="K14" s="56"/>
      <c r="L14" s="56"/>
      <c r="N14" s="56"/>
      <c r="O14" s="24">
        <v>9</v>
      </c>
      <c r="P14" s="24">
        <v>9.2899999999999995E-5</v>
      </c>
      <c r="Q14" s="24">
        <v>15136</v>
      </c>
      <c r="R14" s="24">
        <v>16861</v>
      </c>
      <c r="S14" s="24">
        <f t="shared" si="1"/>
        <v>1725</v>
      </c>
      <c r="T14" s="24">
        <f t="shared" si="2"/>
        <v>18568353.067814857</v>
      </c>
      <c r="U14" s="91">
        <v>18.568000000000001</v>
      </c>
    </row>
    <row r="15" spans="2:21" x14ac:dyDescent="0.25">
      <c r="B15" s="56"/>
      <c r="C15" s="24">
        <v>10</v>
      </c>
      <c r="D15" s="24">
        <v>2.26E-5</v>
      </c>
      <c r="E15" s="24">
        <v>16503</v>
      </c>
      <c r="F15" s="24">
        <v>18687</v>
      </c>
      <c r="G15" s="24">
        <v>2184</v>
      </c>
      <c r="H15" s="24">
        <f t="shared" si="0"/>
        <v>96637168.14159292</v>
      </c>
      <c r="I15" s="91">
        <v>96.637</v>
      </c>
      <c r="J15" s="56"/>
      <c r="K15" s="56"/>
      <c r="L15" s="56"/>
      <c r="N15" s="56"/>
      <c r="O15" s="24">
        <v>10</v>
      </c>
      <c r="P15" s="24">
        <v>9.2899999999999995E-5</v>
      </c>
      <c r="Q15" s="24">
        <v>16861</v>
      </c>
      <c r="R15" s="24">
        <v>18854</v>
      </c>
      <c r="S15" s="24">
        <f t="shared" si="1"/>
        <v>1993</v>
      </c>
      <c r="T15" s="24">
        <f t="shared" si="2"/>
        <v>21453175.457481164</v>
      </c>
      <c r="U15" s="91">
        <v>21.452999999999999</v>
      </c>
    </row>
    <row r="16" spans="2:21" x14ac:dyDescent="0.25">
      <c r="B16" s="56"/>
      <c r="C16" s="24">
        <v>11</v>
      </c>
      <c r="D16" s="24">
        <v>2.26E-5</v>
      </c>
      <c r="E16" s="24">
        <v>18687</v>
      </c>
      <c r="F16" s="24">
        <v>20419</v>
      </c>
      <c r="G16" s="24">
        <v>1732</v>
      </c>
      <c r="H16" s="24">
        <f t="shared" si="0"/>
        <v>76637168.14159292</v>
      </c>
      <c r="I16" s="91">
        <v>76.637</v>
      </c>
      <c r="J16" s="56"/>
      <c r="K16" s="56"/>
      <c r="L16" s="56"/>
      <c r="N16" s="56"/>
      <c r="O16" s="24">
        <v>11</v>
      </c>
      <c r="P16" s="24">
        <v>9.2899999999999995E-5</v>
      </c>
      <c r="Q16" s="24">
        <v>18854</v>
      </c>
      <c r="R16" s="24">
        <v>20522</v>
      </c>
      <c r="S16" s="24">
        <f t="shared" si="1"/>
        <v>1668</v>
      </c>
      <c r="T16" s="24">
        <f t="shared" si="2"/>
        <v>17954790.096878365</v>
      </c>
      <c r="U16" s="91">
        <v>17.948</v>
      </c>
    </row>
    <row r="17" spans="2:21" x14ac:dyDescent="0.25">
      <c r="B17" s="56"/>
      <c r="C17" s="24">
        <v>12</v>
      </c>
      <c r="D17" s="24">
        <v>2.26E-5</v>
      </c>
      <c r="E17" s="24">
        <v>20419</v>
      </c>
      <c r="F17" s="24">
        <v>22136</v>
      </c>
      <c r="G17" s="24">
        <v>1717</v>
      </c>
      <c r="H17" s="24">
        <f t="shared" si="0"/>
        <v>75973451.327433631</v>
      </c>
      <c r="I17" s="91">
        <v>75.972999999999999</v>
      </c>
      <c r="J17" s="56"/>
      <c r="K17" s="56"/>
      <c r="L17" s="56"/>
      <c r="N17" s="56"/>
      <c r="O17" s="24">
        <v>12</v>
      </c>
      <c r="P17" s="24">
        <v>9.2899999999999995E-5</v>
      </c>
      <c r="Q17" s="24">
        <v>20522</v>
      </c>
      <c r="R17" s="24">
        <v>22252</v>
      </c>
      <c r="S17" s="24">
        <f t="shared" si="1"/>
        <v>1730</v>
      </c>
      <c r="T17" s="24">
        <f t="shared" si="2"/>
        <v>18622174.381054901</v>
      </c>
      <c r="U17" s="91">
        <v>18.622</v>
      </c>
    </row>
    <row r="18" spans="2:21" x14ac:dyDescent="0.25">
      <c r="B18" s="56"/>
      <c r="C18" s="24">
        <v>13</v>
      </c>
      <c r="D18" s="24">
        <v>2.26E-5</v>
      </c>
      <c r="E18" s="24">
        <v>22136</v>
      </c>
      <c r="F18" s="24">
        <v>23576</v>
      </c>
      <c r="G18" s="24">
        <v>1440</v>
      </c>
      <c r="H18" s="24">
        <f t="shared" si="0"/>
        <v>63716814.159292035</v>
      </c>
      <c r="I18" s="91">
        <v>63.716999999999999</v>
      </c>
      <c r="J18" s="56"/>
      <c r="K18" s="56"/>
      <c r="L18" s="56"/>
      <c r="N18" s="56"/>
      <c r="O18" s="24">
        <v>13</v>
      </c>
      <c r="P18" s="24">
        <v>9.2899999999999995E-5</v>
      </c>
      <c r="Q18" s="24">
        <v>22252</v>
      </c>
      <c r="R18" s="24">
        <v>23709</v>
      </c>
      <c r="S18" s="24">
        <f t="shared" si="1"/>
        <v>1457</v>
      </c>
      <c r="T18" s="24">
        <f t="shared" si="2"/>
        <v>15683530.678148547</v>
      </c>
      <c r="U18" s="91">
        <v>15.683999999999999</v>
      </c>
    </row>
    <row r="19" spans="2:21" x14ac:dyDescent="0.25">
      <c r="B19" s="56"/>
      <c r="C19" s="24">
        <v>14</v>
      </c>
      <c r="D19" s="24">
        <v>2.26E-5</v>
      </c>
      <c r="E19" s="91">
        <v>23576</v>
      </c>
      <c r="F19" s="91">
        <v>25145</v>
      </c>
      <c r="G19" s="91">
        <v>1569</v>
      </c>
      <c r="H19" s="91">
        <f t="shared" si="0"/>
        <v>69424778.761061952</v>
      </c>
      <c r="I19" s="91">
        <v>69.424999999999997</v>
      </c>
      <c r="J19" s="56"/>
      <c r="K19" s="56"/>
      <c r="L19" s="56"/>
      <c r="N19" s="56"/>
      <c r="O19" s="24">
        <v>14</v>
      </c>
      <c r="P19" s="24">
        <v>9.2899999999999995E-5</v>
      </c>
      <c r="Q19" s="91">
        <v>23709</v>
      </c>
      <c r="R19" s="91">
        <v>25298</v>
      </c>
      <c r="S19" s="91">
        <f t="shared" si="1"/>
        <v>1589</v>
      </c>
      <c r="T19" s="91">
        <f t="shared" si="2"/>
        <v>17104413.347685684</v>
      </c>
      <c r="U19" s="91">
        <v>17.103999999999999</v>
      </c>
    </row>
    <row r="20" spans="2:21" x14ac:dyDescent="0.25">
      <c r="E20" s="1"/>
      <c r="F20" s="1"/>
      <c r="G20" s="56"/>
      <c r="S20" s="56"/>
      <c r="T20" s="56"/>
      <c r="U20" s="56"/>
    </row>
    <row r="21" spans="2:21" x14ac:dyDescent="0.25">
      <c r="E21" s="1"/>
      <c r="F21" s="1"/>
      <c r="G21" s="56"/>
      <c r="S21" s="56"/>
      <c r="T21" s="56"/>
      <c r="U21" s="56"/>
    </row>
    <row r="22" spans="2:21" x14ac:dyDescent="0.25">
      <c r="E22" s="1"/>
      <c r="F22" s="1"/>
      <c r="G22" s="56"/>
      <c r="I22" s="19" t="s">
        <v>744</v>
      </c>
      <c r="J22" s="19" t="s">
        <v>745</v>
      </c>
      <c r="S22" s="56"/>
      <c r="T22" s="56"/>
      <c r="U22" s="56"/>
    </row>
    <row r="23" spans="2:21" x14ac:dyDescent="0.25">
      <c r="E23" s="1"/>
      <c r="F23" s="1"/>
      <c r="G23" s="56" t="s">
        <v>723</v>
      </c>
      <c r="H23" s="24" t="s">
        <v>42</v>
      </c>
      <c r="I23" s="24" t="s">
        <v>742</v>
      </c>
      <c r="J23" s="24" t="s">
        <v>742</v>
      </c>
      <c r="S23" s="56"/>
      <c r="T23" s="56"/>
      <c r="U23" s="56"/>
    </row>
    <row r="24" spans="2:21" x14ac:dyDescent="0.25">
      <c r="E24" s="1"/>
      <c r="F24" s="1"/>
      <c r="G24" s="56"/>
      <c r="H24" s="24" t="s">
        <v>679</v>
      </c>
      <c r="I24" s="91">
        <v>84.027000000000001</v>
      </c>
      <c r="J24" s="91">
        <v>21.076000000000001</v>
      </c>
      <c r="S24" s="56"/>
      <c r="T24" s="56"/>
      <c r="U24" s="56"/>
    </row>
    <row r="25" spans="2:21" x14ac:dyDescent="0.25">
      <c r="E25" s="1"/>
      <c r="F25" s="1"/>
      <c r="G25" s="56"/>
      <c r="H25" s="24">
        <v>2</v>
      </c>
      <c r="I25" s="91">
        <v>69.558000000000007</v>
      </c>
      <c r="J25" s="91">
        <v>20.032</v>
      </c>
      <c r="S25" s="56"/>
      <c r="T25" s="56"/>
      <c r="U25" s="56"/>
    </row>
    <row r="26" spans="2:21" x14ac:dyDescent="0.25">
      <c r="E26" s="1"/>
      <c r="F26" s="1"/>
      <c r="G26" s="56"/>
      <c r="H26" s="24">
        <v>3</v>
      </c>
      <c r="I26" s="91">
        <v>84.778999999999996</v>
      </c>
      <c r="J26" s="91">
        <v>19.536999999999999</v>
      </c>
      <c r="S26" s="56"/>
      <c r="T26" s="56"/>
      <c r="U26" s="56"/>
    </row>
    <row r="27" spans="2:21" x14ac:dyDescent="0.25">
      <c r="E27" s="1"/>
      <c r="F27" s="1"/>
      <c r="G27" s="56"/>
      <c r="H27" s="24">
        <v>4</v>
      </c>
      <c r="I27" s="91">
        <v>47.698999999999998</v>
      </c>
      <c r="J27" s="91">
        <v>20.7</v>
      </c>
      <c r="S27" s="56"/>
      <c r="T27" s="56"/>
      <c r="U27" s="56"/>
    </row>
    <row r="28" spans="2:21" x14ac:dyDescent="0.25">
      <c r="E28" s="1"/>
      <c r="F28" s="1"/>
      <c r="G28" s="91" t="s">
        <v>739</v>
      </c>
      <c r="H28" s="24">
        <v>5</v>
      </c>
      <c r="I28" s="91">
        <v>88.716999999999999</v>
      </c>
      <c r="J28" s="91">
        <v>20.398</v>
      </c>
      <c r="S28" s="56"/>
      <c r="T28" s="56"/>
      <c r="U28" s="56"/>
    </row>
    <row r="29" spans="2:21" x14ac:dyDescent="0.25">
      <c r="E29" s="1"/>
      <c r="F29" s="1"/>
      <c r="G29" s="91" t="s">
        <v>258</v>
      </c>
      <c r="H29" s="24">
        <v>6</v>
      </c>
      <c r="I29" s="91">
        <v>94.114999999999995</v>
      </c>
      <c r="J29" s="91">
        <v>21.312999999999999</v>
      </c>
      <c r="S29" s="56"/>
      <c r="T29" s="56"/>
      <c r="U29" s="56"/>
    </row>
    <row r="30" spans="2:21" x14ac:dyDescent="0.25">
      <c r="E30" s="1"/>
      <c r="F30" s="1"/>
      <c r="G30" s="56"/>
      <c r="H30" s="24">
        <v>7</v>
      </c>
      <c r="I30" s="91">
        <v>93.628</v>
      </c>
      <c r="J30" s="91">
        <v>20.041</v>
      </c>
      <c r="S30" s="56"/>
      <c r="T30" s="56"/>
      <c r="U30" s="56"/>
    </row>
    <row r="31" spans="2:21" x14ac:dyDescent="0.25">
      <c r="E31" s="1"/>
      <c r="F31" s="1"/>
      <c r="G31" s="56"/>
      <c r="H31" s="24">
        <v>8</v>
      </c>
      <c r="I31" s="91">
        <v>81.991</v>
      </c>
      <c r="J31" s="91">
        <v>19.462</v>
      </c>
      <c r="S31" s="56"/>
      <c r="T31" s="56"/>
      <c r="U31" s="56"/>
    </row>
    <row r="32" spans="2:21" x14ac:dyDescent="0.25">
      <c r="E32" s="1"/>
      <c r="F32" s="1"/>
      <c r="G32" s="56"/>
      <c r="H32" s="24">
        <v>9</v>
      </c>
      <c r="I32" s="91">
        <v>85.707999999999998</v>
      </c>
      <c r="J32" s="91">
        <v>18.568000000000001</v>
      </c>
      <c r="S32" s="56"/>
      <c r="T32" s="56"/>
      <c r="U32" s="56"/>
    </row>
    <row r="33" spans="5:21" x14ac:dyDescent="0.25">
      <c r="E33" s="1"/>
      <c r="F33" s="1"/>
      <c r="G33" s="56"/>
      <c r="H33" s="24">
        <v>10</v>
      </c>
      <c r="I33" s="91">
        <v>96.637</v>
      </c>
      <c r="J33" s="91">
        <v>21.452999999999999</v>
      </c>
      <c r="S33" s="56"/>
      <c r="T33" s="56"/>
      <c r="U33" s="56"/>
    </row>
    <row r="34" spans="5:21" x14ac:dyDescent="0.25">
      <c r="E34" s="1"/>
      <c r="F34" s="1"/>
      <c r="G34" s="56"/>
      <c r="H34" s="24">
        <v>11</v>
      </c>
      <c r="I34" s="91">
        <v>76.637</v>
      </c>
      <c r="J34" s="91">
        <v>17.948</v>
      </c>
      <c r="S34" s="56"/>
      <c r="T34" s="56"/>
      <c r="U34" s="56"/>
    </row>
    <row r="35" spans="5:21" x14ac:dyDescent="0.25">
      <c r="E35" s="1"/>
      <c r="F35" s="1"/>
      <c r="G35" s="56"/>
      <c r="H35" s="24">
        <v>12</v>
      </c>
      <c r="I35" s="91">
        <v>75.972999999999999</v>
      </c>
      <c r="J35" s="91">
        <v>18.622</v>
      </c>
      <c r="S35" s="56"/>
      <c r="T35" s="56"/>
      <c r="U35" s="56"/>
    </row>
    <row r="36" spans="5:21" x14ac:dyDescent="0.25">
      <c r="E36" s="1"/>
      <c r="F36" s="1"/>
      <c r="G36" s="56"/>
      <c r="H36" s="24">
        <v>13</v>
      </c>
      <c r="I36" s="91">
        <v>63.716999999999999</v>
      </c>
      <c r="J36" s="91">
        <v>15.683999999999999</v>
      </c>
      <c r="S36" s="56"/>
      <c r="T36" s="56"/>
      <c r="U36" s="56"/>
    </row>
    <row r="37" spans="5:21" x14ac:dyDescent="0.25">
      <c r="G37" s="56"/>
      <c r="H37" s="24">
        <v>14</v>
      </c>
      <c r="I37" s="91">
        <v>69.424999999999997</v>
      </c>
      <c r="J37" s="91">
        <v>17.103999999999999</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3:L317"/>
  <sheetViews>
    <sheetView windowProtection="1" workbookViewId="0">
      <selection activeCell="H32" sqref="H32"/>
    </sheetView>
  </sheetViews>
  <sheetFormatPr defaultRowHeight="15" x14ac:dyDescent="0.25"/>
  <cols>
    <col min="4" max="4" width="16.7109375" customWidth="1"/>
    <col min="5" max="7" width="24.7109375" customWidth="1"/>
    <col min="8" max="8" width="25.7109375" style="18" customWidth="1"/>
    <col min="9" max="9" width="20.7109375" style="56" customWidth="1"/>
    <col min="10" max="10" width="20.7109375" style="20" customWidth="1"/>
  </cols>
  <sheetData>
    <row r="3" spans="2:12" x14ac:dyDescent="0.25">
      <c r="B3" s="19" t="s">
        <v>785</v>
      </c>
      <c r="C3" s="19"/>
      <c r="D3" s="19"/>
      <c r="E3" s="19"/>
      <c r="F3" s="47" t="s">
        <v>786</v>
      </c>
      <c r="G3" s="47"/>
      <c r="H3" s="20"/>
      <c r="I3" s="182"/>
    </row>
    <row r="7" spans="2:12" ht="15.75" x14ac:dyDescent="0.25">
      <c r="B7" s="38" t="s">
        <v>775</v>
      </c>
      <c r="C7" s="38"/>
      <c r="D7" s="38" t="s">
        <v>777</v>
      </c>
      <c r="E7" s="38" t="s">
        <v>778</v>
      </c>
      <c r="F7" s="38" t="s">
        <v>779</v>
      </c>
      <c r="G7" s="38" t="s">
        <v>791</v>
      </c>
      <c r="H7" s="38" t="s">
        <v>789</v>
      </c>
      <c r="I7" s="91" t="s">
        <v>776</v>
      </c>
      <c r="J7" s="24" t="s">
        <v>780</v>
      </c>
    </row>
    <row r="8" spans="2:12" x14ac:dyDescent="0.25">
      <c r="B8" s="26"/>
      <c r="C8" s="26"/>
      <c r="D8" s="26"/>
      <c r="E8" s="26"/>
      <c r="F8" s="26"/>
      <c r="G8" s="24" t="s">
        <v>792</v>
      </c>
      <c r="H8" s="26"/>
      <c r="I8" s="91"/>
      <c r="J8" s="24"/>
    </row>
    <row r="9" spans="2:12" x14ac:dyDescent="0.25">
      <c r="B9" s="24" t="s">
        <v>258</v>
      </c>
      <c r="C9" s="24"/>
      <c r="D9" s="24">
        <v>25800</v>
      </c>
      <c r="E9" s="24">
        <v>3.6199999999999999E-5</v>
      </c>
      <c r="F9" s="24">
        <f>D9/E9</f>
        <v>712707182.32044196</v>
      </c>
      <c r="G9" s="24">
        <v>712.70699999999999</v>
      </c>
      <c r="H9" s="24" t="s">
        <v>783</v>
      </c>
      <c r="I9" s="91" t="s">
        <v>52</v>
      </c>
      <c r="J9" s="24">
        <v>35.9</v>
      </c>
      <c r="K9" s="19"/>
      <c r="L9" s="19"/>
    </row>
    <row r="10" spans="2:12" x14ac:dyDescent="0.25">
      <c r="B10" s="24"/>
      <c r="C10" s="24"/>
      <c r="D10" s="24"/>
      <c r="E10" s="24"/>
      <c r="F10" s="24"/>
      <c r="G10" s="24"/>
      <c r="H10" s="24"/>
      <c r="I10" s="91"/>
      <c r="J10" s="24"/>
      <c r="K10" s="19"/>
      <c r="L10" s="19"/>
    </row>
    <row r="11" spans="2:12" x14ac:dyDescent="0.25">
      <c r="B11" s="24" t="s">
        <v>259</v>
      </c>
      <c r="C11" s="24"/>
      <c r="D11" s="24">
        <v>25320</v>
      </c>
      <c r="E11" s="24">
        <v>2.7099999999999997E-4</v>
      </c>
      <c r="F11" s="24">
        <f>D11/E11</f>
        <v>93431734.317343175</v>
      </c>
      <c r="G11" s="24">
        <v>93.432000000000002</v>
      </c>
      <c r="H11" s="24" t="s">
        <v>781</v>
      </c>
      <c r="I11" s="91" t="s">
        <v>52</v>
      </c>
      <c r="J11" s="24">
        <v>30.4</v>
      </c>
      <c r="K11" s="19"/>
      <c r="L11" s="19"/>
    </row>
    <row r="12" spans="2:12" x14ac:dyDescent="0.25">
      <c r="B12" s="24"/>
      <c r="C12" s="24"/>
      <c r="D12" s="24"/>
      <c r="E12" s="24"/>
      <c r="F12" s="24"/>
      <c r="G12" s="24"/>
      <c r="H12" s="24"/>
      <c r="I12" s="91"/>
      <c r="J12" s="24"/>
      <c r="K12" s="19"/>
      <c r="L12" s="19"/>
    </row>
    <row r="13" spans="2:12" x14ac:dyDescent="0.25">
      <c r="B13" s="24" t="s">
        <v>254</v>
      </c>
      <c r="C13" s="24"/>
      <c r="D13" s="24">
        <v>25430</v>
      </c>
      <c r="E13" s="24">
        <v>1.862E-4</v>
      </c>
      <c r="F13" s="24">
        <f t="shared" ref="F13:F19" si="0">D13/E13</f>
        <v>136573576.79914072</v>
      </c>
      <c r="G13" s="24">
        <v>136.57400000000001</v>
      </c>
      <c r="H13" s="24" t="s">
        <v>788</v>
      </c>
      <c r="I13" s="91" t="s">
        <v>52</v>
      </c>
      <c r="J13" s="24">
        <v>33.299999999999997</v>
      </c>
      <c r="K13" s="19"/>
      <c r="L13" s="19"/>
    </row>
    <row r="14" spans="2:12" x14ac:dyDescent="0.25">
      <c r="B14" s="24"/>
      <c r="C14" s="24"/>
      <c r="D14" s="24"/>
      <c r="E14" s="24"/>
      <c r="F14" s="24"/>
      <c r="G14" s="24"/>
      <c r="H14" s="24"/>
      <c r="I14" s="91"/>
      <c r="J14" s="24"/>
      <c r="K14" s="19"/>
      <c r="L14" s="19"/>
    </row>
    <row r="15" spans="2:12" x14ac:dyDescent="0.25">
      <c r="B15" s="24" t="s">
        <v>255</v>
      </c>
      <c r="C15" s="24"/>
      <c r="D15" s="24">
        <v>25400</v>
      </c>
      <c r="E15" s="24">
        <v>6.5900000000000003E-5</v>
      </c>
      <c r="F15" s="24">
        <f t="shared" si="0"/>
        <v>385432473.44461304</v>
      </c>
      <c r="G15" s="24">
        <v>385.43200000000002</v>
      </c>
      <c r="H15" s="24" t="s">
        <v>784</v>
      </c>
      <c r="I15" s="91" t="s">
        <v>52</v>
      </c>
      <c r="J15" s="24">
        <v>33.9</v>
      </c>
      <c r="K15" s="19"/>
      <c r="L15" s="19"/>
    </row>
    <row r="16" spans="2:12" x14ac:dyDescent="0.25">
      <c r="B16" s="24"/>
      <c r="C16" s="24"/>
      <c r="D16" s="24"/>
      <c r="E16" s="24"/>
      <c r="F16" s="24"/>
      <c r="G16" s="24"/>
      <c r="H16" s="24"/>
      <c r="I16" s="91"/>
      <c r="J16" s="24"/>
      <c r="K16" s="19"/>
      <c r="L16" s="19"/>
    </row>
    <row r="17" spans="2:12" x14ac:dyDescent="0.25">
      <c r="B17" s="24" t="s">
        <v>257</v>
      </c>
      <c r="C17" s="24"/>
      <c r="D17" s="24">
        <v>25640</v>
      </c>
      <c r="E17" s="24">
        <v>1.44E-4</v>
      </c>
      <c r="F17" s="24">
        <f t="shared" si="0"/>
        <v>178055555.55555555</v>
      </c>
      <c r="G17" s="24">
        <v>178.05600000000001</v>
      </c>
      <c r="H17" s="24" t="s">
        <v>788</v>
      </c>
      <c r="I17" s="91" t="s">
        <v>52</v>
      </c>
      <c r="J17" s="24">
        <v>32.9</v>
      </c>
      <c r="K17" s="19"/>
      <c r="L17" s="19"/>
    </row>
    <row r="18" spans="2:12" x14ac:dyDescent="0.25">
      <c r="B18" s="24"/>
      <c r="C18" s="24"/>
      <c r="D18" s="24"/>
      <c r="E18" s="24"/>
      <c r="F18" s="24"/>
      <c r="G18" s="24"/>
      <c r="H18" s="24"/>
      <c r="I18" s="91"/>
      <c r="J18" s="24"/>
      <c r="K18" s="19"/>
      <c r="L18" s="19"/>
    </row>
    <row r="19" spans="2:12" x14ac:dyDescent="0.25">
      <c r="B19" s="24" t="s">
        <v>256</v>
      </c>
      <c r="C19" s="24"/>
      <c r="D19" s="24">
        <v>25290</v>
      </c>
      <c r="E19" s="24">
        <v>2.0919999999999999E-4</v>
      </c>
      <c r="F19" s="24">
        <f t="shared" si="0"/>
        <v>120889101.33843213</v>
      </c>
      <c r="G19" s="24">
        <v>120.889</v>
      </c>
      <c r="H19" s="24" t="s">
        <v>782</v>
      </c>
      <c r="I19" s="91" t="s">
        <v>52</v>
      </c>
      <c r="J19" s="24">
        <v>30.6</v>
      </c>
      <c r="K19" s="19"/>
      <c r="L19" s="19"/>
    </row>
    <row r="20" spans="2:12" x14ac:dyDescent="0.25">
      <c r="B20" s="24"/>
      <c r="C20" s="24"/>
      <c r="D20" s="24"/>
      <c r="E20" s="24"/>
      <c r="F20" s="24"/>
      <c r="G20" s="24"/>
      <c r="H20" s="24"/>
      <c r="I20" s="91"/>
      <c r="J20" s="24"/>
      <c r="K20" s="19"/>
      <c r="L20" s="19"/>
    </row>
    <row r="21" spans="2:12" x14ac:dyDescent="0.25">
      <c r="B21" s="24" t="s">
        <v>250</v>
      </c>
      <c r="C21" s="24"/>
      <c r="D21" s="24">
        <v>25290</v>
      </c>
      <c r="E21" s="24">
        <v>6.41E-5</v>
      </c>
      <c r="F21" s="24">
        <f>D21/E21</f>
        <v>394539781.59126365</v>
      </c>
      <c r="G21" s="24">
        <v>394.54</v>
      </c>
      <c r="H21" s="24" t="s">
        <v>787</v>
      </c>
      <c r="I21" s="91" t="s">
        <v>52</v>
      </c>
      <c r="J21" s="24">
        <v>35.9</v>
      </c>
      <c r="K21" s="19"/>
      <c r="L21" s="19"/>
    </row>
    <row r="22" spans="2:12" x14ac:dyDescent="0.25">
      <c r="B22" s="24"/>
      <c r="C22" s="24"/>
      <c r="D22" s="24"/>
      <c r="E22" s="24"/>
      <c r="F22" s="24"/>
      <c r="G22" s="24"/>
      <c r="H22" s="24"/>
      <c r="I22" s="91"/>
      <c r="J22" s="24"/>
      <c r="K22" s="19"/>
      <c r="L22" s="19"/>
    </row>
    <row r="23" spans="2:12" x14ac:dyDescent="0.25">
      <c r="B23" s="24" t="s">
        <v>253</v>
      </c>
      <c r="C23" s="24"/>
      <c r="D23" s="24">
        <v>25620</v>
      </c>
      <c r="E23" s="24">
        <v>1.64E-4</v>
      </c>
      <c r="F23" s="24">
        <f>D23/E23</f>
        <v>156219512.19512194</v>
      </c>
      <c r="G23" s="24">
        <v>156.22</v>
      </c>
      <c r="H23" s="24" t="s">
        <v>788</v>
      </c>
      <c r="I23" s="91" t="s">
        <v>52</v>
      </c>
      <c r="J23" s="24">
        <v>32.9</v>
      </c>
      <c r="K23" s="19"/>
      <c r="L23" s="19"/>
    </row>
    <row r="24" spans="2:12" x14ac:dyDescent="0.25">
      <c r="B24" s="24"/>
      <c r="C24" s="24"/>
      <c r="D24" s="24"/>
      <c r="E24" s="24"/>
      <c r="F24" s="24"/>
      <c r="G24" s="24"/>
      <c r="H24" s="24"/>
      <c r="I24" s="91"/>
      <c r="J24" s="24"/>
      <c r="K24" s="19"/>
      <c r="L24" s="19"/>
    </row>
    <row r="25" spans="2:12" x14ac:dyDescent="0.25">
      <c r="B25" s="24" t="s">
        <v>252</v>
      </c>
      <c r="C25" s="24"/>
      <c r="D25" s="24">
        <v>25610</v>
      </c>
      <c r="E25" s="24">
        <v>1.158E-4</v>
      </c>
      <c r="F25" s="24">
        <f>D25/E25</f>
        <v>221157167.53022453</v>
      </c>
      <c r="G25" s="24">
        <v>221.15700000000001</v>
      </c>
      <c r="H25" s="24" t="s">
        <v>788</v>
      </c>
      <c r="I25" s="91" t="s">
        <v>52</v>
      </c>
      <c r="J25" s="24">
        <v>32.5</v>
      </c>
      <c r="K25" s="19"/>
      <c r="L25" s="19"/>
    </row>
    <row r="26" spans="2:12" x14ac:dyDescent="0.25">
      <c r="B26" s="24"/>
      <c r="C26" s="24"/>
      <c r="D26" s="24"/>
      <c r="E26" s="24"/>
      <c r="F26" s="24"/>
      <c r="G26" s="24"/>
      <c r="H26" s="24"/>
      <c r="I26" s="91"/>
      <c r="J26" s="24"/>
      <c r="K26" s="19"/>
      <c r="L26" s="19"/>
    </row>
    <row r="27" spans="2:12" x14ac:dyDescent="0.25">
      <c r="B27" s="24" t="s">
        <v>249</v>
      </c>
      <c r="C27" s="24"/>
      <c r="D27" s="24">
        <v>25530</v>
      </c>
      <c r="E27" s="24">
        <v>1.4229999999999999E-4</v>
      </c>
      <c r="F27" s="24">
        <f>D27/E27</f>
        <v>179409697.82150388</v>
      </c>
      <c r="G27" s="24">
        <v>179.41</v>
      </c>
      <c r="H27" s="24" t="s">
        <v>788</v>
      </c>
      <c r="I27" s="91" t="s">
        <v>52</v>
      </c>
      <c r="J27" s="24">
        <v>35.6</v>
      </c>
      <c r="K27" s="19"/>
      <c r="L27" s="19"/>
    </row>
    <row r="28" spans="2:12" x14ac:dyDescent="0.25">
      <c r="B28" s="24"/>
      <c r="C28" s="24"/>
      <c r="D28" s="24"/>
      <c r="E28" s="24"/>
      <c r="F28" s="24"/>
      <c r="G28" s="24"/>
      <c r="H28" s="24"/>
      <c r="I28" s="91"/>
      <c r="J28" s="24"/>
      <c r="K28" s="19"/>
      <c r="L28" s="19"/>
    </row>
    <row r="29" spans="2:12" x14ac:dyDescent="0.25">
      <c r="B29" s="24" t="s">
        <v>251</v>
      </c>
      <c r="C29" s="24"/>
      <c r="D29" s="24">
        <v>25580</v>
      </c>
      <c r="E29" s="24">
        <v>1.3970000000000001E-4</v>
      </c>
      <c r="F29" s="24">
        <f>D29/E29</f>
        <v>183106657.12240514</v>
      </c>
      <c r="G29" s="24">
        <v>183.107</v>
      </c>
      <c r="H29" s="24" t="s">
        <v>788</v>
      </c>
      <c r="I29" s="91" t="s">
        <v>52</v>
      </c>
      <c r="J29" s="24">
        <v>32.9</v>
      </c>
      <c r="K29" s="19"/>
      <c r="L29" s="19"/>
    </row>
    <row r="30" spans="2:12" x14ac:dyDescent="0.25">
      <c r="B30" s="24"/>
      <c r="C30" s="24"/>
      <c r="D30" s="24"/>
      <c r="E30" s="24"/>
      <c r="F30" s="24"/>
      <c r="G30" s="24"/>
      <c r="H30" s="24"/>
      <c r="I30" s="91"/>
      <c r="J30" s="24"/>
      <c r="K30" s="19"/>
      <c r="L30" s="19"/>
    </row>
    <row r="31" spans="2:12" x14ac:dyDescent="0.25">
      <c r="B31" s="24" t="s">
        <v>589</v>
      </c>
      <c r="C31" s="24"/>
      <c r="D31" s="24">
        <v>25400</v>
      </c>
      <c r="E31" s="24">
        <v>1.507E-4</v>
      </c>
      <c r="F31" s="24">
        <f>D31/E31</f>
        <v>168546781.68546781</v>
      </c>
      <c r="G31" s="24">
        <v>168.547</v>
      </c>
      <c r="H31" s="24" t="s">
        <v>788</v>
      </c>
      <c r="I31" s="91" t="s">
        <v>52</v>
      </c>
      <c r="J31" s="24">
        <v>32.1</v>
      </c>
      <c r="K31" s="19"/>
      <c r="L31" s="19"/>
    </row>
    <row r="32" spans="2:12" x14ac:dyDescent="0.25">
      <c r="B32" s="24"/>
      <c r="C32" s="24"/>
      <c r="D32" s="24"/>
      <c r="E32" s="24"/>
      <c r="F32" s="24"/>
      <c r="G32" s="24"/>
      <c r="H32" s="24"/>
      <c r="I32" s="91"/>
      <c r="J32" s="24"/>
      <c r="K32" s="19"/>
      <c r="L32" s="19"/>
    </row>
    <row r="33" spans="2:12" x14ac:dyDescent="0.25">
      <c r="B33" s="20"/>
      <c r="C33" s="20"/>
      <c r="D33" s="20"/>
      <c r="E33" s="20"/>
      <c r="F33" s="20"/>
      <c r="G33" s="20"/>
      <c r="H33" s="20"/>
      <c r="K33" s="19"/>
      <c r="L33" s="19"/>
    </row>
    <row r="34" spans="2:12" x14ac:dyDescent="0.25">
      <c r="B34" s="20"/>
      <c r="C34" s="20"/>
      <c r="D34" s="20"/>
      <c r="E34" s="20"/>
      <c r="F34" s="20"/>
      <c r="G34" s="20"/>
      <c r="H34" s="20"/>
      <c r="K34" s="19"/>
      <c r="L34" s="19"/>
    </row>
    <row r="35" spans="2:12" x14ac:dyDescent="0.25">
      <c r="B35" s="20"/>
      <c r="C35" s="183" t="s">
        <v>790</v>
      </c>
      <c r="D35" s="20"/>
      <c r="E35" s="20"/>
      <c r="F35" s="20"/>
      <c r="G35" s="20"/>
      <c r="H35" s="20"/>
      <c r="K35" s="19"/>
      <c r="L35" s="19"/>
    </row>
    <row r="36" spans="2:12" x14ac:dyDescent="0.25">
      <c r="B36" s="20"/>
      <c r="C36" s="20"/>
      <c r="D36" s="20"/>
      <c r="E36" s="20"/>
      <c r="F36" s="20"/>
      <c r="G36" s="20"/>
      <c r="H36" s="20"/>
      <c r="K36" s="19"/>
      <c r="L36" s="19"/>
    </row>
    <row r="37" spans="2:12" x14ac:dyDescent="0.25">
      <c r="B37" s="20"/>
      <c r="C37" s="20"/>
      <c r="D37" s="20"/>
      <c r="E37" s="20"/>
      <c r="F37" s="20"/>
      <c r="G37" s="20"/>
      <c r="H37" s="20"/>
      <c r="K37" s="19"/>
      <c r="L37" s="19"/>
    </row>
    <row r="38" spans="2:12" x14ac:dyDescent="0.25">
      <c r="B38" s="20"/>
      <c r="C38" s="20"/>
      <c r="D38" s="20"/>
      <c r="E38" s="20"/>
      <c r="F38" s="20"/>
      <c r="G38" s="20"/>
      <c r="H38" s="20"/>
      <c r="K38" s="19"/>
      <c r="L38" s="19"/>
    </row>
    <row r="39" spans="2:12" x14ac:dyDescent="0.25">
      <c r="B39" s="20"/>
      <c r="C39" s="20"/>
      <c r="D39" s="20"/>
      <c r="E39" s="20"/>
      <c r="F39" s="20"/>
      <c r="G39" s="20"/>
      <c r="H39" s="20"/>
      <c r="K39" s="19"/>
      <c r="L39" s="19"/>
    </row>
    <row r="40" spans="2:12" x14ac:dyDescent="0.25">
      <c r="B40" s="20"/>
      <c r="C40" s="20"/>
      <c r="D40" s="20"/>
      <c r="E40" s="20"/>
      <c r="F40" s="20"/>
      <c r="G40" s="20"/>
      <c r="H40" s="20"/>
      <c r="K40" s="19"/>
      <c r="L40" s="19"/>
    </row>
    <row r="41" spans="2:12" x14ac:dyDescent="0.25">
      <c r="B41" s="20"/>
      <c r="C41" s="20"/>
      <c r="D41" s="20"/>
      <c r="E41" s="20"/>
      <c r="F41" s="20"/>
      <c r="G41" s="20"/>
      <c r="H41" s="20"/>
      <c r="K41" s="19"/>
      <c r="L41" s="19"/>
    </row>
    <row r="42" spans="2:12" x14ac:dyDescent="0.25">
      <c r="B42" s="20"/>
      <c r="C42" s="20"/>
      <c r="D42" s="20"/>
      <c r="E42" s="20"/>
      <c r="F42" s="20"/>
      <c r="G42" s="20"/>
      <c r="H42" s="20"/>
      <c r="K42" s="19"/>
      <c r="L42" s="19"/>
    </row>
    <row r="43" spans="2:12" x14ac:dyDescent="0.25">
      <c r="B43" s="20"/>
      <c r="C43" s="20"/>
      <c r="D43" s="20"/>
      <c r="E43" s="20"/>
      <c r="F43" s="20"/>
      <c r="G43" s="20"/>
      <c r="H43" s="20"/>
      <c r="K43" s="19"/>
      <c r="L43" s="19"/>
    </row>
    <row r="44" spans="2:12" x14ac:dyDescent="0.25">
      <c r="B44" s="20"/>
      <c r="C44" s="20"/>
      <c r="D44" s="20"/>
      <c r="E44" s="20"/>
      <c r="F44" s="20"/>
      <c r="G44" s="20"/>
      <c r="H44" s="20"/>
      <c r="K44" s="19"/>
      <c r="L44" s="19"/>
    </row>
    <row r="45" spans="2:12" x14ac:dyDescent="0.25">
      <c r="B45" s="20"/>
      <c r="C45" s="20"/>
      <c r="D45" s="20"/>
      <c r="E45" s="20"/>
      <c r="F45" s="20"/>
      <c r="G45" s="20"/>
      <c r="H45" s="20"/>
      <c r="K45" s="19"/>
      <c r="L45" s="19"/>
    </row>
    <row r="46" spans="2:12" x14ac:dyDescent="0.25">
      <c r="B46" s="20"/>
      <c r="C46" s="20"/>
      <c r="D46" s="20"/>
      <c r="E46" s="20"/>
      <c r="F46" s="20"/>
      <c r="G46" s="20"/>
      <c r="H46" s="20"/>
      <c r="K46" s="19"/>
      <c r="L46" s="19"/>
    </row>
    <row r="47" spans="2:12" x14ac:dyDescent="0.25">
      <c r="B47" s="20"/>
      <c r="C47" s="20"/>
      <c r="D47" s="20"/>
      <c r="E47" s="20"/>
      <c r="F47" s="20"/>
      <c r="G47" s="20"/>
      <c r="H47" s="20"/>
      <c r="K47" s="19"/>
      <c r="L47" s="19"/>
    </row>
    <row r="48" spans="2:12" x14ac:dyDescent="0.25">
      <c r="B48" s="20"/>
      <c r="C48" s="20"/>
      <c r="D48" s="20"/>
      <c r="E48" s="20"/>
      <c r="F48" s="20"/>
      <c r="G48" s="20"/>
      <c r="H48" s="20"/>
      <c r="K48" s="19"/>
      <c r="L48" s="19"/>
    </row>
    <row r="49" spans="2:12" x14ac:dyDescent="0.25">
      <c r="B49" s="20"/>
      <c r="C49" s="20"/>
      <c r="D49" s="20"/>
      <c r="E49" s="20"/>
      <c r="F49" s="20"/>
      <c r="G49" s="20"/>
      <c r="H49" s="20"/>
      <c r="K49" s="19"/>
      <c r="L49" s="19"/>
    </row>
    <row r="50" spans="2:12" x14ac:dyDescent="0.25">
      <c r="B50" s="20"/>
      <c r="C50" s="20"/>
      <c r="D50" s="20"/>
      <c r="E50" s="20"/>
      <c r="F50" s="20"/>
      <c r="G50" s="20"/>
      <c r="H50" s="20"/>
      <c r="K50" s="19"/>
      <c r="L50" s="19"/>
    </row>
    <row r="51" spans="2:12" x14ac:dyDescent="0.25">
      <c r="B51" s="20"/>
      <c r="C51" s="20"/>
      <c r="D51" s="20"/>
      <c r="E51" s="20"/>
      <c r="F51" s="20"/>
      <c r="G51" s="20"/>
      <c r="H51" s="20"/>
      <c r="K51" s="19"/>
      <c r="L51" s="19"/>
    </row>
    <row r="52" spans="2:12" x14ac:dyDescent="0.25">
      <c r="B52" s="20"/>
      <c r="C52" s="20"/>
      <c r="D52" s="20"/>
      <c r="E52" s="20"/>
      <c r="F52" s="20"/>
      <c r="G52" s="20"/>
      <c r="H52" s="20"/>
      <c r="K52" s="19"/>
      <c r="L52" s="19"/>
    </row>
    <row r="53" spans="2:12" x14ac:dyDescent="0.25">
      <c r="B53" s="20"/>
      <c r="C53" s="20"/>
      <c r="D53" s="20"/>
      <c r="E53" s="20"/>
      <c r="F53" s="20"/>
      <c r="G53" s="20"/>
      <c r="H53" s="20"/>
      <c r="K53" s="19"/>
      <c r="L53" s="19"/>
    </row>
    <row r="54" spans="2:12" x14ac:dyDescent="0.25">
      <c r="B54" s="20"/>
      <c r="C54" s="20"/>
      <c r="D54" s="20"/>
      <c r="E54" s="20"/>
      <c r="F54" s="20"/>
      <c r="G54" s="20"/>
      <c r="H54" s="20"/>
      <c r="K54" s="19"/>
      <c r="L54" s="19"/>
    </row>
    <row r="55" spans="2:12" x14ac:dyDescent="0.25">
      <c r="B55" s="20"/>
      <c r="C55" s="20"/>
      <c r="D55" s="20"/>
      <c r="E55" s="20"/>
      <c r="F55" s="20"/>
      <c r="G55" s="20"/>
      <c r="H55" s="20"/>
      <c r="K55" s="19"/>
      <c r="L55" s="19"/>
    </row>
    <row r="56" spans="2:12" x14ac:dyDescent="0.25">
      <c r="B56" s="20"/>
      <c r="C56" s="20"/>
      <c r="D56" s="20"/>
      <c r="E56" s="20"/>
      <c r="F56" s="20"/>
      <c r="G56" s="20"/>
      <c r="H56" s="20"/>
      <c r="K56" s="19"/>
      <c r="L56" s="19"/>
    </row>
    <row r="57" spans="2:12" x14ac:dyDescent="0.25">
      <c r="B57" s="20"/>
      <c r="C57" s="20"/>
      <c r="D57" s="20"/>
      <c r="E57" s="20"/>
      <c r="F57" s="20"/>
      <c r="G57" s="20"/>
      <c r="H57" s="20"/>
      <c r="K57" s="19"/>
      <c r="L57" s="19"/>
    </row>
    <row r="58" spans="2:12" x14ac:dyDescent="0.25">
      <c r="B58" s="20"/>
      <c r="C58" s="20"/>
      <c r="D58" s="20"/>
      <c r="E58" s="20"/>
      <c r="F58" s="20"/>
      <c r="G58" s="20"/>
      <c r="H58" s="20"/>
      <c r="K58" s="19"/>
      <c r="L58" s="19"/>
    </row>
    <row r="59" spans="2:12" x14ac:dyDescent="0.25">
      <c r="B59" s="20"/>
      <c r="C59" s="20"/>
      <c r="D59" s="20"/>
      <c r="E59" s="20"/>
      <c r="F59" s="20"/>
      <c r="G59" s="20"/>
      <c r="H59" s="20"/>
      <c r="K59" s="19"/>
      <c r="L59" s="19"/>
    </row>
    <row r="60" spans="2:12" x14ac:dyDescent="0.25">
      <c r="B60" s="20"/>
      <c r="C60" s="20"/>
      <c r="D60" s="20"/>
      <c r="E60" s="20"/>
      <c r="F60" s="20"/>
      <c r="G60" s="20"/>
      <c r="H60" s="20"/>
      <c r="K60" s="19"/>
      <c r="L60" s="19"/>
    </row>
    <row r="61" spans="2:12" x14ac:dyDescent="0.25">
      <c r="B61" s="20"/>
      <c r="C61" s="20"/>
      <c r="D61" s="20"/>
      <c r="E61" s="20"/>
      <c r="F61" s="20"/>
      <c r="G61" s="20"/>
      <c r="H61" s="20"/>
      <c r="K61" s="19"/>
      <c r="L61" s="19"/>
    </row>
    <row r="62" spans="2:12" x14ac:dyDescent="0.25">
      <c r="B62" s="20"/>
      <c r="C62" s="20"/>
      <c r="D62" s="19"/>
      <c r="E62" s="20"/>
      <c r="F62" s="20"/>
      <c r="G62" s="20"/>
      <c r="H62" s="20"/>
      <c r="K62" s="19"/>
      <c r="L62" s="19"/>
    </row>
    <row r="63" spans="2:12" x14ac:dyDescent="0.25">
      <c r="B63" s="20"/>
      <c r="C63" s="20"/>
      <c r="D63" s="19"/>
      <c r="E63" s="20"/>
      <c r="F63" s="20"/>
      <c r="G63" s="20"/>
      <c r="H63" s="20"/>
      <c r="K63" s="19"/>
      <c r="L63" s="19"/>
    </row>
    <row r="64" spans="2:12" x14ac:dyDescent="0.25">
      <c r="B64" s="19"/>
      <c r="C64" s="19"/>
      <c r="D64" s="19"/>
      <c r="E64" s="19"/>
      <c r="F64" s="19"/>
      <c r="G64" s="19"/>
      <c r="H64" s="20"/>
      <c r="K64" s="19"/>
      <c r="L64" s="19"/>
    </row>
    <row r="65" spans="2:12" x14ac:dyDescent="0.25">
      <c r="B65" s="19"/>
      <c r="C65" s="19"/>
      <c r="D65" s="19"/>
      <c r="E65" s="19"/>
      <c r="F65" s="19"/>
      <c r="G65" s="19"/>
      <c r="H65" s="20"/>
      <c r="K65" s="19"/>
      <c r="L65" s="19"/>
    </row>
    <row r="66" spans="2:12" x14ac:dyDescent="0.25">
      <c r="B66" s="19"/>
      <c r="C66" s="19"/>
      <c r="D66" s="19"/>
      <c r="E66" s="19"/>
      <c r="F66" s="19"/>
      <c r="G66" s="19"/>
      <c r="H66" s="20"/>
      <c r="K66" s="19"/>
      <c r="L66" s="19"/>
    </row>
    <row r="67" spans="2:12" x14ac:dyDescent="0.25">
      <c r="B67" s="19"/>
      <c r="C67" s="19"/>
      <c r="D67" s="19"/>
      <c r="E67" s="19"/>
      <c r="F67" s="19"/>
      <c r="G67" s="19"/>
      <c r="H67" s="20"/>
      <c r="K67" s="19"/>
      <c r="L67" s="19"/>
    </row>
    <row r="68" spans="2:12" x14ac:dyDescent="0.25">
      <c r="B68" s="19"/>
      <c r="C68" s="19"/>
      <c r="D68" s="19"/>
      <c r="E68" s="19"/>
      <c r="F68" s="19"/>
      <c r="G68" s="19"/>
      <c r="H68" s="20"/>
      <c r="K68" s="19"/>
      <c r="L68" s="19"/>
    </row>
    <row r="69" spans="2:12" x14ac:dyDescent="0.25">
      <c r="B69" s="19"/>
      <c r="C69" s="19"/>
      <c r="D69" s="19"/>
      <c r="E69" s="19"/>
      <c r="F69" s="19"/>
      <c r="G69" s="19"/>
      <c r="H69" s="20"/>
      <c r="K69" s="19"/>
      <c r="L69" s="19"/>
    </row>
    <row r="70" spans="2:12" x14ac:dyDescent="0.25">
      <c r="B70" s="19"/>
      <c r="C70" s="19"/>
      <c r="D70" s="19"/>
      <c r="E70" s="19"/>
      <c r="F70" s="19"/>
      <c r="G70" s="19"/>
      <c r="H70" s="20"/>
      <c r="K70" s="19"/>
      <c r="L70" s="19"/>
    </row>
    <row r="71" spans="2:12" x14ac:dyDescent="0.25">
      <c r="B71" s="19"/>
      <c r="C71" s="19"/>
      <c r="D71" s="19"/>
      <c r="E71" s="19"/>
      <c r="F71" s="19"/>
      <c r="G71" s="19"/>
      <c r="H71" s="20"/>
      <c r="K71" s="19"/>
      <c r="L71" s="19"/>
    </row>
    <row r="72" spans="2:12" x14ac:dyDescent="0.25">
      <c r="B72" s="19"/>
      <c r="C72" s="19"/>
      <c r="D72" s="19"/>
      <c r="E72" s="19"/>
      <c r="F72" s="19"/>
      <c r="G72" s="19"/>
      <c r="H72" s="20"/>
      <c r="K72" s="19"/>
      <c r="L72" s="19"/>
    </row>
    <row r="73" spans="2:12" x14ac:dyDescent="0.25">
      <c r="B73" s="19"/>
      <c r="C73" s="19"/>
      <c r="D73" s="19"/>
      <c r="E73" s="19"/>
      <c r="F73" s="19"/>
      <c r="G73" s="19"/>
      <c r="H73" s="20"/>
      <c r="K73" s="19"/>
      <c r="L73" s="19"/>
    </row>
    <row r="74" spans="2:12" x14ac:dyDescent="0.25">
      <c r="B74" s="19"/>
      <c r="C74" s="19"/>
      <c r="D74" s="19"/>
      <c r="E74" s="19"/>
      <c r="F74" s="19"/>
      <c r="G74" s="19"/>
      <c r="H74" s="20"/>
      <c r="K74" s="19"/>
      <c r="L74" s="19"/>
    </row>
    <row r="75" spans="2:12" x14ac:dyDescent="0.25">
      <c r="B75" s="19"/>
      <c r="C75" s="19"/>
      <c r="D75" s="19"/>
      <c r="E75" s="19"/>
      <c r="F75" s="19"/>
      <c r="G75" s="19"/>
      <c r="H75" s="20"/>
      <c r="K75" s="19"/>
      <c r="L75" s="19"/>
    </row>
    <row r="76" spans="2:12" x14ac:dyDescent="0.25">
      <c r="B76" s="19"/>
      <c r="C76" s="19"/>
      <c r="D76" s="19"/>
      <c r="E76" s="19"/>
      <c r="F76" s="19"/>
      <c r="G76" s="19"/>
      <c r="H76" s="20"/>
      <c r="K76" s="19"/>
      <c r="L76" s="19"/>
    </row>
    <row r="77" spans="2:12" x14ac:dyDescent="0.25">
      <c r="B77" s="19"/>
      <c r="C77" s="19"/>
      <c r="D77" s="19"/>
      <c r="E77" s="19"/>
      <c r="F77" s="19"/>
      <c r="G77" s="19"/>
      <c r="H77" s="20"/>
      <c r="K77" s="19"/>
      <c r="L77" s="19"/>
    </row>
    <row r="78" spans="2:12" x14ac:dyDescent="0.25">
      <c r="B78" s="19"/>
      <c r="C78" s="19"/>
      <c r="D78" s="19"/>
      <c r="E78" s="19"/>
      <c r="F78" s="19"/>
      <c r="G78" s="19"/>
      <c r="H78" s="20"/>
      <c r="K78" s="19"/>
      <c r="L78" s="19"/>
    </row>
    <row r="79" spans="2:12" x14ac:dyDescent="0.25">
      <c r="B79" s="19"/>
      <c r="C79" s="19"/>
      <c r="D79" s="19"/>
      <c r="E79" s="19"/>
      <c r="F79" s="19"/>
      <c r="G79" s="19"/>
      <c r="H79" s="20"/>
      <c r="K79" s="19"/>
      <c r="L79" s="19"/>
    </row>
    <row r="80" spans="2:12" x14ac:dyDescent="0.25">
      <c r="B80" s="19"/>
      <c r="C80" s="19"/>
      <c r="D80" s="19"/>
      <c r="E80" s="19"/>
      <c r="F80" s="19"/>
      <c r="G80" s="19"/>
      <c r="H80" s="20"/>
      <c r="K80" s="19"/>
      <c r="L80" s="19"/>
    </row>
    <row r="81" spans="2:12" x14ac:dyDescent="0.25">
      <c r="B81" s="19"/>
      <c r="C81" s="19"/>
      <c r="D81" s="19"/>
      <c r="E81" s="19"/>
      <c r="F81" s="19"/>
      <c r="G81" s="19"/>
      <c r="H81" s="20"/>
      <c r="K81" s="19"/>
      <c r="L81" s="19"/>
    </row>
    <row r="82" spans="2:12" x14ac:dyDescent="0.25">
      <c r="B82" s="19"/>
      <c r="C82" s="19"/>
      <c r="D82" s="19"/>
      <c r="E82" s="19"/>
      <c r="F82" s="19"/>
      <c r="G82" s="19"/>
      <c r="H82" s="20"/>
      <c r="K82" s="19"/>
      <c r="L82" s="19"/>
    </row>
    <row r="83" spans="2:12" x14ac:dyDescent="0.25">
      <c r="B83" s="19"/>
      <c r="C83" s="19"/>
      <c r="D83" s="19"/>
      <c r="E83" s="19"/>
      <c r="F83" s="19"/>
      <c r="G83" s="19"/>
      <c r="H83" s="20"/>
      <c r="K83" s="19"/>
      <c r="L83" s="19"/>
    </row>
    <row r="84" spans="2:12" x14ac:dyDescent="0.25">
      <c r="B84" s="19"/>
      <c r="C84" s="19"/>
      <c r="D84" s="19"/>
      <c r="E84" s="19"/>
      <c r="F84" s="19"/>
      <c r="G84" s="19"/>
      <c r="H84" s="20"/>
      <c r="K84" s="19"/>
      <c r="L84" s="19"/>
    </row>
    <row r="85" spans="2:12" x14ac:dyDescent="0.25">
      <c r="B85" s="19"/>
      <c r="C85" s="19"/>
      <c r="D85" s="19"/>
      <c r="E85" s="19"/>
      <c r="F85" s="19"/>
      <c r="G85" s="19"/>
      <c r="H85" s="20"/>
      <c r="K85" s="19"/>
      <c r="L85" s="19"/>
    </row>
    <row r="86" spans="2:12" x14ac:dyDescent="0.25">
      <c r="B86" s="19"/>
      <c r="C86" s="19"/>
      <c r="D86" s="19"/>
      <c r="E86" s="19"/>
      <c r="F86" s="19"/>
      <c r="G86" s="19"/>
      <c r="H86" s="20"/>
      <c r="K86" s="19"/>
      <c r="L86" s="19"/>
    </row>
    <row r="87" spans="2:12" x14ac:dyDescent="0.25">
      <c r="B87" s="19"/>
      <c r="C87" s="19"/>
      <c r="D87" s="19"/>
      <c r="E87" s="19"/>
      <c r="F87" s="19"/>
      <c r="G87" s="19"/>
      <c r="H87" s="20"/>
      <c r="K87" s="19"/>
      <c r="L87" s="19"/>
    </row>
    <row r="88" spans="2:12" x14ac:dyDescent="0.25">
      <c r="B88" s="19"/>
      <c r="C88" s="19"/>
      <c r="D88" s="19"/>
      <c r="E88" s="19"/>
      <c r="F88" s="19"/>
      <c r="G88" s="19"/>
      <c r="H88" s="20"/>
      <c r="K88" s="19"/>
      <c r="L88" s="19"/>
    </row>
    <row r="89" spans="2:12" x14ac:dyDescent="0.25">
      <c r="B89" s="19"/>
      <c r="C89" s="19"/>
      <c r="D89" s="19"/>
      <c r="E89" s="19"/>
      <c r="F89" s="19"/>
      <c r="G89" s="19"/>
      <c r="H89" s="20"/>
      <c r="K89" s="19"/>
      <c r="L89" s="19"/>
    </row>
    <row r="90" spans="2:12" x14ac:dyDescent="0.25">
      <c r="B90" s="19"/>
      <c r="C90" s="19"/>
      <c r="D90" s="19"/>
      <c r="E90" s="19"/>
      <c r="F90" s="19"/>
      <c r="G90" s="19"/>
      <c r="H90" s="20"/>
      <c r="K90" s="19"/>
      <c r="L90" s="19"/>
    </row>
    <row r="91" spans="2:12" x14ac:dyDescent="0.25">
      <c r="B91" s="19"/>
      <c r="C91" s="19"/>
      <c r="D91" s="19"/>
      <c r="E91" s="19"/>
      <c r="F91" s="19"/>
      <c r="G91" s="19"/>
      <c r="H91" s="20"/>
      <c r="K91" s="19"/>
      <c r="L91" s="19"/>
    </row>
    <row r="92" spans="2:12" x14ac:dyDescent="0.25">
      <c r="B92" s="19"/>
      <c r="C92" s="19"/>
      <c r="D92" s="19"/>
      <c r="E92" s="19"/>
      <c r="F92" s="19"/>
      <c r="G92" s="19"/>
      <c r="H92" s="20"/>
      <c r="K92" s="19"/>
      <c r="L92" s="19"/>
    </row>
    <row r="93" spans="2:12" x14ac:dyDescent="0.25">
      <c r="B93" s="19"/>
      <c r="C93" s="19"/>
      <c r="D93" s="19"/>
      <c r="E93" s="19"/>
      <c r="F93" s="19"/>
      <c r="G93" s="19"/>
      <c r="H93" s="20"/>
      <c r="K93" s="19"/>
      <c r="L93" s="19"/>
    </row>
    <row r="94" spans="2:12" x14ac:dyDescent="0.25">
      <c r="B94" s="19"/>
      <c r="C94" s="19"/>
      <c r="D94" s="19"/>
      <c r="E94" s="19"/>
      <c r="F94" s="19"/>
      <c r="G94" s="19"/>
      <c r="H94" s="20"/>
      <c r="K94" s="19"/>
      <c r="L94" s="19"/>
    </row>
    <row r="95" spans="2:12" x14ac:dyDescent="0.25">
      <c r="B95" s="19"/>
      <c r="C95" s="19"/>
      <c r="D95" s="19"/>
      <c r="E95" s="19"/>
      <c r="F95" s="19"/>
      <c r="G95" s="19"/>
      <c r="H95" s="20"/>
      <c r="K95" s="19"/>
      <c r="L95" s="19"/>
    </row>
    <row r="96" spans="2:12" x14ac:dyDescent="0.25">
      <c r="B96" s="19"/>
      <c r="C96" s="19"/>
      <c r="D96" s="19"/>
      <c r="E96" s="19"/>
      <c r="F96" s="19"/>
      <c r="G96" s="19"/>
      <c r="H96" s="20"/>
      <c r="K96" s="19"/>
      <c r="L96" s="19"/>
    </row>
    <row r="97" spans="2:12" x14ac:dyDescent="0.25">
      <c r="B97" s="19"/>
      <c r="C97" s="19"/>
      <c r="D97" s="19"/>
      <c r="E97" s="19"/>
      <c r="F97" s="19"/>
      <c r="G97" s="19"/>
      <c r="H97" s="20"/>
      <c r="K97" s="19"/>
      <c r="L97" s="19"/>
    </row>
    <row r="98" spans="2:12" x14ac:dyDescent="0.25">
      <c r="B98" s="19"/>
      <c r="C98" s="19"/>
      <c r="D98" s="19"/>
      <c r="E98" s="19"/>
      <c r="F98" s="19"/>
      <c r="G98" s="19"/>
      <c r="H98" s="20"/>
      <c r="K98" s="19"/>
      <c r="L98" s="19"/>
    </row>
    <row r="99" spans="2:12" x14ac:dyDescent="0.25">
      <c r="B99" s="19"/>
      <c r="C99" s="19"/>
      <c r="D99" s="19"/>
      <c r="E99" s="19"/>
      <c r="F99" s="19"/>
      <c r="G99" s="19"/>
      <c r="H99" s="20"/>
      <c r="K99" s="19"/>
      <c r="L99" s="19"/>
    </row>
    <row r="100" spans="2:12" x14ac:dyDescent="0.25">
      <c r="B100" s="19"/>
      <c r="C100" s="19"/>
      <c r="D100" s="19"/>
      <c r="E100" s="19"/>
      <c r="F100" s="19"/>
      <c r="G100" s="19"/>
      <c r="H100" s="20"/>
      <c r="K100" s="19"/>
      <c r="L100" s="19"/>
    </row>
    <row r="101" spans="2:12" x14ac:dyDescent="0.25">
      <c r="B101" s="19"/>
      <c r="C101" s="19"/>
      <c r="D101" s="19"/>
      <c r="E101" s="19"/>
      <c r="F101" s="19"/>
      <c r="G101" s="19"/>
      <c r="H101" s="20"/>
      <c r="K101" s="19"/>
      <c r="L101" s="19"/>
    </row>
    <row r="102" spans="2:12" x14ac:dyDescent="0.25">
      <c r="B102" s="19"/>
      <c r="C102" s="19"/>
      <c r="D102" s="19"/>
      <c r="E102" s="19"/>
      <c r="F102" s="19"/>
      <c r="G102" s="19"/>
      <c r="H102" s="20"/>
      <c r="K102" s="19"/>
      <c r="L102" s="19"/>
    </row>
    <row r="103" spans="2:12" x14ac:dyDescent="0.25">
      <c r="B103" s="19"/>
      <c r="C103" s="19"/>
      <c r="D103" s="19"/>
      <c r="E103" s="19"/>
      <c r="F103" s="19"/>
      <c r="G103" s="19"/>
      <c r="H103" s="20"/>
      <c r="K103" s="19"/>
      <c r="L103" s="19"/>
    </row>
    <row r="104" spans="2:12" x14ac:dyDescent="0.25">
      <c r="B104" s="19"/>
      <c r="C104" s="19"/>
      <c r="D104" s="19"/>
      <c r="E104" s="19"/>
      <c r="F104" s="19"/>
      <c r="G104" s="19"/>
      <c r="H104" s="20"/>
      <c r="K104" s="19"/>
      <c r="L104" s="19"/>
    </row>
    <row r="105" spans="2:12" x14ac:dyDescent="0.25">
      <c r="B105" s="19"/>
      <c r="C105" s="19"/>
      <c r="D105" s="19"/>
      <c r="E105" s="19"/>
      <c r="F105" s="19"/>
      <c r="G105" s="19"/>
      <c r="H105" s="20"/>
      <c r="K105" s="19"/>
      <c r="L105" s="19"/>
    </row>
    <row r="106" spans="2:12" x14ac:dyDescent="0.25">
      <c r="B106" s="19"/>
      <c r="C106" s="19"/>
      <c r="D106" s="19"/>
      <c r="E106" s="19"/>
      <c r="F106" s="19"/>
      <c r="G106" s="19"/>
      <c r="H106" s="20"/>
      <c r="K106" s="19"/>
      <c r="L106" s="19"/>
    </row>
    <row r="107" spans="2:12" x14ac:dyDescent="0.25">
      <c r="B107" s="19"/>
      <c r="C107" s="19"/>
      <c r="D107" s="19"/>
      <c r="E107" s="19"/>
      <c r="F107" s="19"/>
      <c r="G107" s="19"/>
      <c r="H107" s="20"/>
      <c r="K107" s="19"/>
      <c r="L107" s="19"/>
    </row>
    <row r="108" spans="2:12" x14ac:dyDescent="0.25">
      <c r="B108" s="19"/>
      <c r="C108" s="19"/>
      <c r="D108" s="19"/>
      <c r="E108" s="19"/>
      <c r="F108" s="19"/>
      <c r="G108" s="19"/>
      <c r="H108" s="20"/>
      <c r="K108" s="19"/>
      <c r="L108" s="19"/>
    </row>
    <row r="109" spans="2:12" x14ac:dyDescent="0.25">
      <c r="B109" s="19"/>
      <c r="C109" s="19"/>
      <c r="D109" s="19"/>
      <c r="E109" s="19"/>
      <c r="F109" s="19"/>
      <c r="G109" s="19"/>
      <c r="H109" s="20"/>
      <c r="K109" s="19"/>
      <c r="L109" s="19"/>
    </row>
    <row r="110" spans="2:12" x14ac:dyDescent="0.25">
      <c r="B110" s="19"/>
      <c r="C110" s="19"/>
      <c r="D110" s="19"/>
      <c r="E110" s="19"/>
      <c r="F110" s="19"/>
      <c r="G110" s="19"/>
      <c r="H110" s="20"/>
      <c r="K110" s="19"/>
      <c r="L110" s="19"/>
    </row>
    <row r="111" spans="2:12" x14ac:dyDescent="0.25">
      <c r="B111" s="19"/>
      <c r="C111" s="19"/>
      <c r="D111" s="19"/>
      <c r="E111" s="19"/>
      <c r="F111" s="19"/>
      <c r="G111" s="19"/>
      <c r="H111" s="20"/>
      <c r="K111" s="19"/>
      <c r="L111" s="19"/>
    </row>
    <row r="112" spans="2:12" x14ac:dyDescent="0.25">
      <c r="B112" s="19"/>
      <c r="C112" s="19"/>
      <c r="D112" s="19"/>
      <c r="E112" s="19"/>
      <c r="F112" s="19"/>
      <c r="G112" s="19"/>
      <c r="H112" s="20"/>
      <c r="K112" s="19"/>
      <c r="L112" s="19"/>
    </row>
    <row r="113" spans="2:12" x14ac:dyDescent="0.25">
      <c r="B113" s="19"/>
      <c r="C113" s="19"/>
      <c r="D113" s="19"/>
      <c r="E113" s="19"/>
      <c r="F113" s="19"/>
      <c r="G113" s="19"/>
      <c r="H113" s="20"/>
      <c r="K113" s="19"/>
      <c r="L113" s="19"/>
    </row>
    <row r="114" spans="2:12" x14ac:dyDescent="0.25">
      <c r="B114" s="19"/>
      <c r="C114" s="19"/>
      <c r="D114" s="19"/>
      <c r="E114" s="19"/>
      <c r="F114" s="19"/>
      <c r="G114" s="19"/>
      <c r="H114" s="20"/>
      <c r="K114" s="19"/>
      <c r="L114" s="19"/>
    </row>
    <row r="115" spans="2:12" x14ac:dyDescent="0.25">
      <c r="B115" s="19"/>
      <c r="C115" s="19"/>
      <c r="D115" s="19"/>
      <c r="E115" s="19"/>
      <c r="F115" s="19"/>
      <c r="G115" s="19"/>
      <c r="H115" s="20"/>
      <c r="K115" s="19"/>
      <c r="L115" s="19"/>
    </row>
    <row r="116" spans="2:12" x14ac:dyDescent="0.25">
      <c r="B116" s="19"/>
      <c r="C116" s="19"/>
      <c r="D116" s="19"/>
      <c r="E116" s="19"/>
      <c r="F116" s="19"/>
      <c r="G116" s="19"/>
      <c r="H116" s="20"/>
      <c r="K116" s="19"/>
      <c r="L116" s="19"/>
    </row>
    <row r="117" spans="2:12" x14ac:dyDescent="0.25">
      <c r="B117" s="19"/>
      <c r="C117" s="19"/>
      <c r="D117" s="19"/>
      <c r="E117" s="19"/>
      <c r="F117" s="19"/>
      <c r="G117" s="19"/>
      <c r="H117" s="20"/>
      <c r="K117" s="19"/>
      <c r="L117" s="19"/>
    </row>
    <row r="118" spans="2:12" x14ac:dyDescent="0.25">
      <c r="B118" s="19"/>
      <c r="C118" s="19"/>
      <c r="D118" s="19"/>
      <c r="E118" s="19"/>
      <c r="F118" s="19"/>
      <c r="G118" s="19"/>
      <c r="H118" s="20"/>
      <c r="K118" s="19"/>
      <c r="L118" s="19"/>
    </row>
    <row r="119" spans="2:12" x14ac:dyDescent="0.25">
      <c r="B119" s="19"/>
      <c r="C119" s="19"/>
      <c r="D119" s="19"/>
      <c r="E119" s="19"/>
      <c r="F119" s="19"/>
      <c r="G119" s="19"/>
      <c r="H119" s="20"/>
      <c r="K119" s="19"/>
      <c r="L119" s="19"/>
    </row>
    <row r="120" spans="2:12" x14ac:dyDescent="0.25">
      <c r="B120" s="19"/>
      <c r="C120" s="19"/>
      <c r="D120" s="19"/>
      <c r="E120" s="19"/>
      <c r="F120" s="19"/>
      <c r="G120" s="19"/>
      <c r="H120" s="20"/>
      <c r="K120" s="19"/>
      <c r="L120" s="19"/>
    </row>
    <row r="121" spans="2:12" x14ac:dyDescent="0.25">
      <c r="B121" s="19"/>
      <c r="C121" s="19"/>
      <c r="D121" s="19"/>
      <c r="E121" s="19"/>
      <c r="F121" s="19"/>
      <c r="G121" s="19"/>
      <c r="H121" s="20"/>
      <c r="K121" s="19"/>
      <c r="L121" s="19"/>
    </row>
    <row r="122" spans="2:12" x14ac:dyDescent="0.25">
      <c r="B122" s="19"/>
      <c r="C122" s="19"/>
      <c r="D122" s="19"/>
      <c r="E122" s="19"/>
      <c r="F122" s="19"/>
      <c r="G122" s="19"/>
      <c r="H122" s="20"/>
      <c r="K122" s="19"/>
      <c r="L122" s="19"/>
    </row>
    <row r="123" spans="2:12" x14ac:dyDescent="0.25">
      <c r="B123" s="19"/>
      <c r="C123" s="19"/>
      <c r="D123" s="19"/>
      <c r="E123" s="19"/>
      <c r="F123" s="19"/>
      <c r="G123" s="19"/>
      <c r="H123" s="20"/>
      <c r="K123" s="19"/>
      <c r="L123" s="19"/>
    </row>
    <row r="124" spans="2:12" x14ac:dyDescent="0.25">
      <c r="B124" s="19"/>
      <c r="C124" s="19"/>
      <c r="D124" s="19"/>
      <c r="E124" s="19"/>
      <c r="F124" s="19"/>
      <c r="G124" s="19"/>
      <c r="H124" s="20"/>
      <c r="K124" s="19"/>
      <c r="L124" s="19"/>
    </row>
    <row r="125" spans="2:12" x14ac:dyDescent="0.25">
      <c r="B125" s="19"/>
      <c r="C125" s="19"/>
      <c r="D125" s="19"/>
      <c r="E125" s="19"/>
      <c r="F125" s="19"/>
      <c r="G125" s="19"/>
      <c r="H125" s="20"/>
      <c r="K125" s="19"/>
      <c r="L125" s="19"/>
    </row>
    <row r="126" spans="2:12" x14ac:dyDescent="0.25">
      <c r="B126" s="19"/>
      <c r="C126" s="19"/>
      <c r="D126" s="19"/>
      <c r="E126" s="19"/>
      <c r="F126" s="19"/>
      <c r="G126" s="19"/>
      <c r="H126" s="20"/>
      <c r="K126" s="19"/>
      <c r="L126" s="19"/>
    </row>
    <row r="127" spans="2:12" x14ac:dyDescent="0.25">
      <c r="B127" s="19"/>
      <c r="C127" s="19"/>
      <c r="D127" s="19"/>
      <c r="E127" s="19"/>
      <c r="F127" s="19"/>
      <c r="G127" s="19"/>
      <c r="H127" s="20"/>
      <c r="K127" s="19"/>
      <c r="L127" s="19"/>
    </row>
    <row r="128" spans="2:12" x14ac:dyDescent="0.25">
      <c r="B128" s="19"/>
      <c r="C128" s="19"/>
      <c r="D128" s="19"/>
      <c r="E128" s="19"/>
      <c r="F128" s="19"/>
      <c r="G128" s="19"/>
      <c r="H128" s="20"/>
      <c r="K128" s="19"/>
      <c r="L128" s="19"/>
    </row>
    <row r="129" spans="2:12" x14ac:dyDescent="0.25">
      <c r="B129" s="19"/>
      <c r="C129" s="19"/>
      <c r="D129" s="19"/>
      <c r="E129" s="19"/>
      <c r="F129" s="19"/>
      <c r="G129" s="19"/>
      <c r="H129" s="20"/>
      <c r="K129" s="19"/>
      <c r="L129" s="19"/>
    </row>
    <row r="130" spans="2:12" x14ac:dyDescent="0.25">
      <c r="B130" s="19"/>
      <c r="C130" s="19"/>
      <c r="D130" s="19"/>
      <c r="E130" s="19"/>
      <c r="F130" s="19"/>
      <c r="G130" s="19"/>
      <c r="H130" s="20"/>
      <c r="K130" s="19"/>
      <c r="L130" s="19"/>
    </row>
    <row r="131" spans="2:12" x14ac:dyDescent="0.25">
      <c r="B131" s="19"/>
      <c r="C131" s="19"/>
      <c r="D131" s="19"/>
      <c r="E131" s="19"/>
      <c r="F131" s="19"/>
      <c r="G131" s="19"/>
      <c r="H131" s="20"/>
      <c r="K131" s="19"/>
      <c r="L131" s="19"/>
    </row>
    <row r="132" spans="2:12" x14ac:dyDescent="0.25">
      <c r="B132" s="19"/>
      <c r="C132" s="19"/>
      <c r="D132" s="19"/>
      <c r="E132" s="19"/>
      <c r="F132" s="19"/>
      <c r="G132" s="19"/>
      <c r="H132" s="20"/>
      <c r="K132" s="19"/>
      <c r="L132" s="19"/>
    </row>
    <row r="133" spans="2:12" x14ac:dyDescent="0.25">
      <c r="B133" s="19"/>
      <c r="C133" s="19"/>
      <c r="D133" s="19"/>
      <c r="E133" s="19"/>
      <c r="F133" s="19"/>
      <c r="G133" s="19"/>
      <c r="H133" s="20"/>
      <c r="K133" s="19"/>
      <c r="L133" s="19"/>
    </row>
    <row r="134" spans="2:12" x14ac:dyDescent="0.25">
      <c r="B134" s="19"/>
      <c r="C134" s="19"/>
      <c r="D134" s="19"/>
      <c r="E134" s="19"/>
      <c r="F134" s="19"/>
      <c r="G134" s="19"/>
      <c r="H134" s="20"/>
      <c r="K134" s="19"/>
      <c r="L134" s="19"/>
    </row>
    <row r="135" spans="2:12" x14ac:dyDescent="0.25">
      <c r="B135" s="19"/>
      <c r="C135" s="19"/>
      <c r="D135" s="19"/>
      <c r="E135" s="19"/>
      <c r="F135" s="19"/>
      <c r="G135" s="19"/>
      <c r="H135" s="20"/>
      <c r="K135" s="19"/>
      <c r="L135" s="19"/>
    </row>
    <row r="136" spans="2:12" x14ac:dyDescent="0.25">
      <c r="B136" s="19"/>
      <c r="C136" s="19"/>
      <c r="D136" s="19"/>
      <c r="E136" s="19"/>
      <c r="F136" s="19"/>
      <c r="G136" s="19"/>
      <c r="H136" s="20"/>
      <c r="K136" s="19"/>
      <c r="L136" s="19"/>
    </row>
    <row r="137" spans="2:12" x14ac:dyDescent="0.25">
      <c r="B137" s="19"/>
      <c r="C137" s="19"/>
      <c r="D137" s="19"/>
      <c r="E137" s="19"/>
      <c r="F137" s="19"/>
      <c r="G137" s="19"/>
      <c r="H137" s="20"/>
      <c r="K137" s="19"/>
      <c r="L137" s="19"/>
    </row>
    <row r="138" spans="2:12" x14ac:dyDescent="0.25">
      <c r="B138" s="19"/>
      <c r="C138" s="19"/>
      <c r="D138" s="19"/>
      <c r="E138" s="19"/>
      <c r="F138" s="19"/>
      <c r="G138" s="19"/>
      <c r="H138" s="20"/>
      <c r="K138" s="19"/>
      <c r="L138" s="19"/>
    </row>
    <row r="139" spans="2:12" x14ac:dyDescent="0.25">
      <c r="B139" s="19"/>
      <c r="C139" s="19"/>
      <c r="D139" s="19"/>
      <c r="E139" s="19"/>
      <c r="F139" s="19"/>
      <c r="G139" s="19"/>
      <c r="H139" s="20"/>
      <c r="K139" s="19"/>
      <c r="L139" s="19"/>
    </row>
    <row r="140" spans="2:12" x14ac:dyDescent="0.25">
      <c r="B140" s="19"/>
      <c r="C140" s="19"/>
      <c r="D140" s="19"/>
      <c r="E140" s="19"/>
      <c r="F140" s="19"/>
      <c r="G140" s="19"/>
      <c r="H140" s="20"/>
      <c r="K140" s="19"/>
      <c r="L140" s="19"/>
    </row>
    <row r="141" spans="2:12" x14ac:dyDescent="0.25">
      <c r="B141" s="19"/>
      <c r="C141" s="19"/>
      <c r="D141" s="19"/>
      <c r="E141" s="19"/>
      <c r="F141" s="19"/>
      <c r="G141" s="19"/>
      <c r="H141" s="20"/>
      <c r="K141" s="19"/>
      <c r="L141" s="19"/>
    </row>
    <row r="142" spans="2:12" x14ac:dyDescent="0.25">
      <c r="B142" s="19"/>
      <c r="C142" s="19"/>
      <c r="D142" s="19"/>
      <c r="E142" s="19"/>
      <c r="F142" s="19"/>
      <c r="G142" s="19"/>
      <c r="H142" s="20"/>
      <c r="K142" s="19"/>
      <c r="L142" s="19"/>
    </row>
    <row r="143" spans="2:12" x14ac:dyDescent="0.25">
      <c r="B143" s="19"/>
      <c r="C143" s="19"/>
      <c r="D143" s="19"/>
      <c r="E143" s="19"/>
      <c r="F143" s="19"/>
      <c r="G143" s="19"/>
      <c r="H143" s="20"/>
      <c r="K143" s="19"/>
      <c r="L143" s="19"/>
    </row>
    <row r="144" spans="2:12" x14ac:dyDescent="0.25">
      <c r="B144" s="19"/>
      <c r="C144" s="19"/>
      <c r="D144" s="19"/>
      <c r="E144" s="19"/>
      <c r="F144" s="19"/>
      <c r="G144" s="19"/>
      <c r="H144" s="20"/>
      <c r="K144" s="19"/>
      <c r="L144" s="19"/>
    </row>
    <row r="145" spans="2:12" x14ac:dyDescent="0.25">
      <c r="B145" s="19"/>
      <c r="C145" s="19"/>
      <c r="D145" s="19"/>
      <c r="E145" s="19"/>
      <c r="F145" s="19"/>
      <c r="G145" s="19"/>
      <c r="H145" s="20"/>
      <c r="K145" s="19"/>
      <c r="L145" s="19"/>
    </row>
    <row r="146" spans="2:12" x14ac:dyDescent="0.25">
      <c r="B146" s="19"/>
      <c r="C146" s="19"/>
      <c r="D146" s="19"/>
      <c r="E146" s="19"/>
      <c r="F146" s="19"/>
      <c r="G146" s="19"/>
      <c r="H146" s="20"/>
      <c r="K146" s="19"/>
      <c r="L146" s="19"/>
    </row>
    <row r="147" spans="2:12" x14ac:dyDescent="0.25">
      <c r="B147" s="19"/>
      <c r="C147" s="19"/>
      <c r="D147" s="19"/>
      <c r="E147" s="19"/>
      <c r="F147" s="19"/>
      <c r="G147" s="19"/>
      <c r="H147" s="20"/>
      <c r="K147" s="19"/>
      <c r="L147" s="19"/>
    </row>
    <row r="148" spans="2:12" x14ac:dyDescent="0.25">
      <c r="B148" s="19"/>
      <c r="C148" s="19"/>
      <c r="D148" s="19"/>
      <c r="E148" s="19"/>
      <c r="F148" s="19"/>
      <c r="G148" s="19"/>
      <c r="H148" s="20"/>
      <c r="K148" s="19"/>
      <c r="L148" s="19"/>
    </row>
    <row r="149" spans="2:12" x14ac:dyDescent="0.25">
      <c r="B149" s="19"/>
      <c r="C149" s="19"/>
      <c r="D149" s="19"/>
      <c r="E149" s="19"/>
      <c r="F149" s="19"/>
      <c r="G149" s="19"/>
      <c r="H149" s="20"/>
      <c r="K149" s="19"/>
      <c r="L149" s="19"/>
    </row>
    <row r="150" spans="2:12" x14ac:dyDescent="0.25">
      <c r="B150" s="19"/>
      <c r="C150" s="19"/>
      <c r="D150" s="19"/>
      <c r="E150" s="19"/>
      <c r="F150" s="19"/>
      <c r="G150" s="19"/>
      <c r="H150" s="20"/>
      <c r="K150" s="19"/>
      <c r="L150" s="19"/>
    </row>
    <row r="151" spans="2:12" x14ac:dyDescent="0.25">
      <c r="B151" s="19"/>
      <c r="C151" s="19"/>
      <c r="D151" s="19"/>
      <c r="E151" s="19"/>
      <c r="F151" s="19"/>
      <c r="G151" s="19"/>
      <c r="H151" s="20"/>
      <c r="K151" s="19"/>
      <c r="L151" s="19"/>
    </row>
    <row r="152" spans="2:12" x14ac:dyDescent="0.25">
      <c r="B152" s="19"/>
      <c r="C152" s="19"/>
      <c r="D152" s="19"/>
      <c r="E152" s="19"/>
      <c r="F152" s="19"/>
      <c r="G152" s="19"/>
      <c r="H152" s="20"/>
      <c r="K152" s="19"/>
      <c r="L152" s="19"/>
    </row>
    <row r="153" spans="2:12" x14ac:dyDescent="0.25">
      <c r="B153" s="19"/>
      <c r="C153" s="19"/>
      <c r="D153" s="19"/>
      <c r="E153" s="19"/>
      <c r="F153" s="19"/>
      <c r="G153" s="19"/>
      <c r="H153" s="20"/>
      <c r="K153" s="19"/>
      <c r="L153" s="19"/>
    </row>
    <row r="154" spans="2:12" x14ac:dyDescent="0.25">
      <c r="B154" s="19"/>
      <c r="C154" s="19"/>
      <c r="D154" s="19"/>
      <c r="E154" s="19"/>
      <c r="F154" s="19"/>
      <c r="G154" s="19"/>
      <c r="H154" s="20"/>
      <c r="K154" s="19"/>
      <c r="L154" s="19"/>
    </row>
    <row r="155" spans="2:12" x14ac:dyDescent="0.25">
      <c r="B155" s="19"/>
      <c r="C155" s="19"/>
      <c r="D155" s="19"/>
      <c r="E155" s="19"/>
      <c r="F155" s="19"/>
      <c r="G155" s="19"/>
      <c r="H155" s="20"/>
      <c r="K155" s="19"/>
      <c r="L155" s="19"/>
    </row>
    <row r="156" spans="2:12" x14ac:dyDescent="0.25">
      <c r="B156" s="19"/>
      <c r="C156" s="19"/>
      <c r="D156" s="19"/>
      <c r="E156" s="19"/>
      <c r="F156" s="19"/>
      <c r="G156" s="19"/>
      <c r="H156" s="20"/>
      <c r="K156" s="19"/>
      <c r="L156" s="19"/>
    </row>
    <row r="157" spans="2:12" x14ac:dyDescent="0.25">
      <c r="B157" s="19"/>
      <c r="C157" s="19"/>
      <c r="D157" s="19"/>
      <c r="E157" s="19"/>
      <c r="F157" s="19"/>
      <c r="G157" s="19"/>
      <c r="H157" s="20"/>
      <c r="K157" s="19"/>
      <c r="L157" s="19"/>
    </row>
    <row r="158" spans="2:12" x14ac:dyDescent="0.25">
      <c r="B158" s="19"/>
      <c r="C158" s="19"/>
      <c r="D158" s="19"/>
      <c r="E158" s="19"/>
      <c r="F158" s="19"/>
      <c r="G158" s="19"/>
      <c r="H158" s="20"/>
      <c r="K158" s="19"/>
      <c r="L158" s="19"/>
    </row>
    <row r="159" spans="2:12" x14ac:dyDescent="0.25">
      <c r="B159" s="19"/>
      <c r="C159" s="19"/>
      <c r="D159" s="19"/>
      <c r="E159" s="19"/>
      <c r="F159" s="19"/>
      <c r="G159" s="19"/>
      <c r="H159" s="20"/>
      <c r="K159" s="19"/>
      <c r="L159" s="19"/>
    </row>
    <row r="160" spans="2:12" x14ac:dyDescent="0.25">
      <c r="B160" s="19"/>
      <c r="C160" s="19"/>
      <c r="D160" s="19"/>
      <c r="E160" s="19"/>
      <c r="F160" s="19"/>
      <c r="G160" s="19"/>
      <c r="H160" s="20"/>
      <c r="K160" s="19"/>
      <c r="L160" s="19"/>
    </row>
    <row r="161" spans="2:12" x14ac:dyDescent="0.25">
      <c r="B161" s="19"/>
      <c r="C161" s="19"/>
      <c r="D161" s="19"/>
      <c r="E161" s="19"/>
      <c r="F161" s="19"/>
      <c r="G161" s="19"/>
      <c r="H161" s="20"/>
      <c r="K161" s="19"/>
      <c r="L161" s="19"/>
    </row>
    <row r="162" spans="2:12" x14ac:dyDescent="0.25">
      <c r="B162" s="19"/>
      <c r="C162" s="19"/>
      <c r="D162" s="19"/>
      <c r="E162" s="19"/>
      <c r="F162" s="19"/>
      <c r="G162" s="19"/>
      <c r="H162" s="20"/>
      <c r="K162" s="19"/>
      <c r="L162" s="19"/>
    </row>
    <row r="163" spans="2:12" x14ac:dyDescent="0.25">
      <c r="B163" s="19"/>
      <c r="C163" s="19"/>
      <c r="D163" s="19"/>
      <c r="E163" s="19"/>
      <c r="F163" s="19"/>
      <c r="G163" s="19"/>
      <c r="H163" s="20"/>
      <c r="K163" s="19"/>
      <c r="L163" s="19"/>
    </row>
    <row r="164" spans="2:12" x14ac:dyDescent="0.25">
      <c r="B164" s="19"/>
      <c r="C164" s="19"/>
      <c r="D164" s="19"/>
      <c r="E164" s="19"/>
      <c r="F164" s="19"/>
      <c r="G164" s="19"/>
      <c r="H164" s="20"/>
      <c r="K164" s="19"/>
      <c r="L164" s="19"/>
    </row>
    <row r="165" spans="2:12" x14ac:dyDescent="0.25">
      <c r="B165" s="19"/>
      <c r="C165" s="19"/>
      <c r="D165" s="19"/>
      <c r="E165" s="19"/>
      <c r="F165" s="19"/>
      <c r="G165" s="19"/>
      <c r="H165" s="20"/>
      <c r="K165" s="19"/>
      <c r="L165" s="19"/>
    </row>
    <row r="166" spans="2:12" x14ac:dyDescent="0.25">
      <c r="B166" s="19"/>
      <c r="C166" s="19"/>
      <c r="D166" s="19"/>
      <c r="E166" s="19"/>
      <c r="F166" s="19"/>
      <c r="G166" s="19"/>
      <c r="H166" s="20"/>
      <c r="K166" s="19"/>
      <c r="L166" s="19"/>
    </row>
    <row r="167" spans="2:12" x14ac:dyDescent="0.25">
      <c r="B167" s="19"/>
      <c r="C167" s="19"/>
      <c r="D167" s="19"/>
      <c r="E167" s="19"/>
      <c r="F167" s="19"/>
      <c r="G167" s="19"/>
      <c r="H167" s="20"/>
      <c r="K167" s="19"/>
      <c r="L167" s="19"/>
    </row>
    <row r="168" spans="2:12" x14ac:dyDescent="0.25">
      <c r="B168" s="19"/>
      <c r="C168" s="19"/>
      <c r="D168" s="19"/>
      <c r="E168" s="19"/>
      <c r="F168" s="19"/>
      <c r="G168" s="19"/>
      <c r="H168" s="20"/>
      <c r="K168" s="19"/>
      <c r="L168" s="19"/>
    </row>
    <row r="169" spans="2:12" x14ac:dyDescent="0.25">
      <c r="B169" s="19"/>
      <c r="C169" s="19"/>
      <c r="D169" s="19"/>
      <c r="E169" s="19"/>
      <c r="F169" s="19"/>
      <c r="G169" s="19"/>
      <c r="H169" s="20"/>
      <c r="K169" s="19"/>
      <c r="L169" s="19"/>
    </row>
    <row r="170" spans="2:12" x14ac:dyDescent="0.25">
      <c r="B170" s="19"/>
      <c r="C170" s="19"/>
      <c r="D170" s="19"/>
      <c r="E170" s="19"/>
      <c r="F170" s="19"/>
      <c r="G170" s="19"/>
      <c r="H170" s="20"/>
      <c r="K170" s="19"/>
      <c r="L170" s="19"/>
    </row>
    <row r="171" spans="2:12" x14ac:dyDescent="0.25">
      <c r="B171" s="19"/>
      <c r="C171" s="19"/>
      <c r="D171" s="19"/>
      <c r="E171" s="19"/>
      <c r="F171" s="19"/>
      <c r="G171" s="19"/>
      <c r="H171" s="20"/>
      <c r="K171" s="19"/>
      <c r="L171" s="19"/>
    </row>
    <row r="172" spans="2:12" x14ac:dyDescent="0.25">
      <c r="B172" s="19"/>
      <c r="C172" s="19"/>
      <c r="D172" s="19"/>
      <c r="E172" s="19"/>
      <c r="F172" s="19"/>
      <c r="G172" s="19"/>
      <c r="H172" s="20"/>
      <c r="K172" s="19"/>
      <c r="L172" s="19"/>
    </row>
    <row r="173" spans="2:12" x14ac:dyDescent="0.25">
      <c r="B173" s="19"/>
      <c r="C173" s="19"/>
      <c r="D173" s="19"/>
      <c r="E173" s="19"/>
      <c r="F173" s="19"/>
      <c r="G173" s="19"/>
      <c r="H173" s="20"/>
      <c r="K173" s="19"/>
      <c r="L173" s="19"/>
    </row>
    <row r="174" spans="2:12" x14ac:dyDescent="0.25">
      <c r="B174" s="19"/>
      <c r="C174" s="19"/>
      <c r="D174" s="19"/>
      <c r="E174" s="19"/>
      <c r="F174" s="19"/>
      <c r="G174" s="19"/>
      <c r="H174" s="20"/>
      <c r="K174" s="19"/>
      <c r="L174" s="19"/>
    </row>
    <row r="175" spans="2:12" x14ac:dyDescent="0.25">
      <c r="B175" s="19"/>
      <c r="C175" s="19"/>
      <c r="D175" s="19"/>
      <c r="E175" s="19"/>
      <c r="F175" s="19"/>
      <c r="G175" s="19"/>
      <c r="H175" s="20"/>
      <c r="K175" s="19"/>
      <c r="L175" s="19"/>
    </row>
    <row r="176" spans="2:12" x14ac:dyDescent="0.25">
      <c r="B176" s="19"/>
      <c r="C176" s="19"/>
      <c r="D176" s="19"/>
      <c r="E176" s="19"/>
      <c r="F176" s="19"/>
      <c r="G176" s="19"/>
      <c r="H176" s="20"/>
      <c r="K176" s="19"/>
      <c r="L176" s="19"/>
    </row>
    <row r="177" spans="2:12" x14ac:dyDescent="0.25">
      <c r="B177" s="19"/>
      <c r="C177" s="19"/>
      <c r="D177" s="19"/>
      <c r="E177" s="19"/>
      <c r="F177" s="19"/>
      <c r="G177" s="19"/>
      <c r="H177" s="20"/>
      <c r="K177" s="19"/>
      <c r="L177" s="19"/>
    </row>
    <row r="178" spans="2:12" x14ac:dyDescent="0.25">
      <c r="B178" s="19"/>
      <c r="C178" s="19"/>
      <c r="D178" s="19"/>
      <c r="E178" s="19"/>
      <c r="F178" s="19"/>
      <c r="G178" s="19"/>
      <c r="H178" s="20"/>
      <c r="K178" s="19"/>
      <c r="L178" s="19"/>
    </row>
    <row r="179" spans="2:12" x14ac:dyDescent="0.25">
      <c r="B179" s="19"/>
      <c r="C179" s="19"/>
      <c r="D179" s="19"/>
      <c r="E179" s="19"/>
      <c r="F179" s="19"/>
      <c r="G179" s="19"/>
      <c r="H179" s="20"/>
      <c r="K179" s="19"/>
      <c r="L179" s="19"/>
    </row>
    <row r="180" spans="2:12" x14ac:dyDescent="0.25">
      <c r="B180" s="19"/>
      <c r="C180" s="19"/>
      <c r="D180" s="19"/>
      <c r="E180" s="19"/>
      <c r="F180" s="19"/>
      <c r="G180" s="19"/>
      <c r="H180" s="20"/>
      <c r="K180" s="19"/>
      <c r="L180" s="19"/>
    </row>
    <row r="181" spans="2:12" x14ac:dyDescent="0.25">
      <c r="B181" s="19"/>
      <c r="C181" s="19"/>
      <c r="D181" s="19"/>
      <c r="E181" s="19"/>
      <c r="F181" s="19"/>
      <c r="G181" s="19"/>
      <c r="H181" s="20"/>
      <c r="K181" s="19"/>
      <c r="L181" s="19"/>
    </row>
    <row r="182" spans="2:12" x14ac:dyDescent="0.25">
      <c r="B182" s="19"/>
      <c r="C182" s="19"/>
      <c r="D182" s="19"/>
      <c r="E182" s="19"/>
      <c r="F182" s="19"/>
      <c r="G182" s="19"/>
      <c r="H182" s="20"/>
      <c r="K182" s="19"/>
      <c r="L182" s="19"/>
    </row>
    <row r="183" spans="2:12" x14ac:dyDescent="0.25">
      <c r="B183" s="19"/>
      <c r="C183" s="19"/>
      <c r="D183" s="19"/>
      <c r="E183" s="19"/>
      <c r="F183" s="19"/>
      <c r="G183" s="19"/>
      <c r="H183" s="20"/>
      <c r="K183" s="19"/>
      <c r="L183" s="19"/>
    </row>
    <row r="184" spans="2:12" x14ac:dyDescent="0.25">
      <c r="B184" s="19"/>
      <c r="C184" s="19"/>
      <c r="D184" s="19"/>
      <c r="E184" s="19"/>
      <c r="F184" s="19"/>
      <c r="G184" s="19"/>
      <c r="H184" s="20"/>
      <c r="K184" s="19"/>
      <c r="L184" s="19"/>
    </row>
    <row r="185" spans="2:12" x14ac:dyDescent="0.25">
      <c r="B185" s="19"/>
      <c r="C185" s="19"/>
      <c r="D185" s="19"/>
      <c r="E185" s="19"/>
      <c r="F185" s="19"/>
      <c r="G185" s="19"/>
      <c r="H185" s="20"/>
      <c r="K185" s="19"/>
      <c r="L185" s="19"/>
    </row>
    <row r="186" spans="2:12" x14ac:dyDescent="0.25">
      <c r="B186" s="19"/>
      <c r="C186" s="19"/>
      <c r="D186" s="19"/>
      <c r="E186" s="19"/>
      <c r="F186" s="19"/>
      <c r="G186" s="19"/>
      <c r="H186" s="20"/>
      <c r="K186" s="19"/>
      <c r="L186" s="19"/>
    </row>
    <row r="187" spans="2:12" x14ac:dyDescent="0.25">
      <c r="B187" s="19"/>
      <c r="C187" s="19"/>
      <c r="D187" s="19"/>
      <c r="E187" s="19"/>
      <c r="F187" s="19"/>
      <c r="G187" s="19"/>
      <c r="H187" s="20"/>
      <c r="K187" s="19"/>
      <c r="L187" s="19"/>
    </row>
    <row r="188" spans="2:12" x14ac:dyDescent="0.25">
      <c r="B188" s="19"/>
      <c r="C188" s="19"/>
      <c r="D188" s="19"/>
      <c r="E188" s="19"/>
      <c r="F188" s="19"/>
      <c r="G188" s="19"/>
      <c r="H188" s="20"/>
      <c r="K188" s="19"/>
      <c r="L188" s="19"/>
    </row>
    <row r="189" spans="2:12" x14ac:dyDescent="0.25">
      <c r="B189" s="19"/>
      <c r="C189" s="19"/>
      <c r="D189" s="19"/>
      <c r="E189" s="19"/>
      <c r="F189" s="19"/>
      <c r="G189" s="19"/>
      <c r="H189" s="20"/>
      <c r="K189" s="19"/>
      <c r="L189" s="19"/>
    </row>
    <row r="190" spans="2:12" x14ac:dyDescent="0.25">
      <c r="B190" s="19"/>
      <c r="C190" s="19"/>
      <c r="D190" s="19"/>
      <c r="E190" s="19"/>
      <c r="F190" s="19"/>
      <c r="G190" s="19"/>
      <c r="H190" s="20"/>
      <c r="K190" s="19"/>
      <c r="L190" s="19"/>
    </row>
    <row r="191" spans="2:12" x14ac:dyDescent="0.25">
      <c r="B191" s="19"/>
      <c r="C191" s="19"/>
      <c r="D191" s="19"/>
      <c r="E191" s="19"/>
      <c r="F191" s="19"/>
      <c r="G191" s="19"/>
      <c r="H191" s="20"/>
      <c r="K191" s="19"/>
      <c r="L191" s="19"/>
    </row>
    <row r="192" spans="2:12" x14ac:dyDescent="0.25">
      <c r="B192" s="19"/>
      <c r="C192" s="19"/>
      <c r="D192" s="19"/>
      <c r="E192" s="19"/>
      <c r="F192" s="19"/>
      <c r="G192" s="19"/>
      <c r="H192" s="20"/>
      <c r="K192" s="19"/>
      <c r="L192" s="19"/>
    </row>
    <row r="193" spans="2:12" x14ac:dyDescent="0.25">
      <c r="B193" s="19"/>
      <c r="C193" s="19"/>
      <c r="D193" s="19"/>
      <c r="E193" s="19"/>
      <c r="F193" s="19"/>
      <c r="G193" s="19"/>
      <c r="H193" s="20"/>
      <c r="K193" s="19"/>
      <c r="L193" s="19"/>
    </row>
    <row r="194" spans="2:12" x14ac:dyDescent="0.25">
      <c r="B194" s="19"/>
      <c r="C194" s="19"/>
      <c r="D194" s="19"/>
      <c r="E194" s="19"/>
      <c r="F194" s="19"/>
      <c r="G194" s="19"/>
      <c r="H194" s="20"/>
      <c r="K194" s="19"/>
      <c r="L194" s="19"/>
    </row>
    <row r="195" spans="2:12" x14ac:dyDescent="0.25">
      <c r="B195" s="19"/>
      <c r="C195" s="19"/>
      <c r="D195" s="19"/>
      <c r="E195" s="19"/>
      <c r="F195" s="19"/>
      <c r="G195" s="19"/>
      <c r="H195" s="20"/>
      <c r="K195" s="19"/>
      <c r="L195" s="19"/>
    </row>
    <row r="196" spans="2:12" x14ac:dyDescent="0.25">
      <c r="B196" s="19"/>
      <c r="C196" s="19"/>
      <c r="D196" s="19"/>
      <c r="E196" s="19"/>
      <c r="F196" s="19"/>
      <c r="G196" s="19"/>
      <c r="H196" s="20"/>
      <c r="K196" s="19"/>
      <c r="L196" s="19"/>
    </row>
    <row r="197" spans="2:12" x14ac:dyDescent="0.25">
      <c r="B197" s="19"/>
      <c r="C197" s="19"/>
      <c r="D197" s="19"/>
      <c r="E197" s="19"/>
      <c r="F197" s="19"/>
      <c r="G197" s="19"/>
      <c r="H197" s="20"/>
      <c r="K197" s="19"/>
      <c r="L197" s="19"/>
    </row>
    <row r="198" spans="2:12" x14ac:dyDescent="0.25">
      <c r="B198" s="19"/>
      <c r="C198" s="19"/>
      <c r="D198" s="19"/>
      <c r="E198" s="19"/>
      <c r="F198" s="19"/>
      <c r="G198" s="19"/>
      <c r="H198" s="20"/>
      <c r="K198" s="19"/>
      <c r="L198" s="19"/>
    </row>
    <row r="199" spans="2:12" x14ac:dyDescent="0.25">
      <c r="B199" s="19"/>
      <c r="C199" s="19"/>
      <c r="D199" s="19"/>
      <c r="E199" s="19"/>
      <c r="F199" s="19"/>
      <c r="G199" s="19"/>
      <c r="H199" s="20"/>
      <c r="K199" s="19"/>
      <c r="L199" s="19"/>
    </row>
    <row r="200" spans="2:12" x14ac:dyDescent="0.25">
      <c r="B200" s="19"/>
      <c r="C200" s="19"/>
      <c r="D200" s="19"/>
      <c r="E200" s="19"/>
      <c r="F200" s="19"/>
      <c r="G200" s="19"/>
      <c r="H200" s="20"/>
      <c r="K200" s="19"/>
      <c r="L200" s="19"/>
    </row>
    <row r="201" spans="2:12" x14ac:dyDescent="0.25">
      <c r="B201" s="19"/>
      <c r="C201" s="19"/>
      <c r="D201" s="19"/>
      <c r="E201" s="19"/>
      <c r="F201" s="19"/>
      <c r="G201" s="19"/>
      <c r="H201" s="20"/>
      <c r="K201" s="19"/>
      <c r="L201" s="19"/>
    </row>
    <row r="202" spans="2:12" x14ac:dyDescent="0.25">
      <c r="B202" s="19"/>
      <c r="C202" s="19"/>
      <c r="D202" s="19"/>
      <c r="E202" s="19"/>
      <c r="F202" s="19"/>
      <c r="G202" s="19"/>
      <c r="H202" s="20"/>
      <c r="K202" s="19"/>
      <c r="L202" s="19"/>
    </row>
    <row r="203" spans="2:12" x14ac:dyDescent="0.25">
      <c r="B203" s="19"/>
      <c r="C203" s="19"/>
      <c r="D203" s="19"/>
      <c r="E203" s="19"/>
      <c r="F203" s="19"/>
      <c r="G203" s="19"/>
      <c r="H203" s="20"/>
      <c r="K203" s="19"/>
      <c r="L203" s="19"/>
    </row>
    <row r="204" spans="2:12" x14ac:dyDescent="0.25">
      <c r="B204" s="19"/>
      <c r="C204" s="19"/>
      <c r="D204" s="19"/>
      <c r="E204" s="19"/>
      <c r="F204" s="19"/>
      <c r="G204" s="19"/>
      <c r="H204" s="20"/>
      <c r="K204" s="19"/>
      <c r="L204" s="19"/>
    </row>
    <row r="205" spans="2:12" x14ac:dyDescent="0.25">
      <c r="B205" s="19"/>
      <c r="C205" s="19"/>
      <c r="D205" s="19"/>
      <c r="E205" s="19"/>
      <c r="F205" s="19"/>
      <c r="G205" s="19"/>
      <c r="H205" s="20"/>
      <c r="K205" s="19"/>
      <c r="L205" s="19"/>
    </row>
    <row r="206" spans="2:12" x14ac:dyDescent="0.25">
      <c r="B206" s="19"/>
      <c r="C206" s="19"/>
      <c r="D206" s="19"/>
      <c r="E206" s="19"/>
      <c r="F206" s="19"/>
      <c r="G206" s="19"/>
      <c r="H206" s="20"/>
      <c r="K206" s="19"/>
      <c r="L206" s="19"/>
    </row>
    <row r="207" spans="2:12" x14ac:dyDescent="0.25">
      <c r="B207" s="19"/>
      <c r="C207" s="19"/>
      <c r="D207" s="19"/>
      <c r="E207" s="19"/>
      <c r="F207" s="19"/>
      <c r="G207" s="19"/>
      <c r="H207" s="20"/>
      <c r="K207" s="19"/>
      <c r="L207" s="19"/>
    </row>
    <row r="208" spans="2:12" x14ac:dyDescent="0.25">
      <c r="B208" s="19"/>
      <c r="C208" s="19"/>
      <c r="D208" s="19"/>
      <c r="E208" s="19"/>
      <c r="F208" s="19"/>
      <c r="G208" s="19"/>
      <c r="H208" s="20"/>
      <c r="K208" s="19"/>
      <c r="L208" s="19"/>
    </row>
    <row r="209" spans="2:12" x14ac:dyDescent="0.25">
      <c r="B209" s="19"/>
      <c r="C209" s="19"/>
      <c r="D209" s="19"/>
      <c r="E209" s="19"/>
      <c r="F209" s="19"/>
      <c r="G209" s="19"/>
      <c r="H209" s="20"/>
      <c r="K209" s="19"/>
      <c r="L209" s="19"/>
    </row>
    <row r="210" spans="2:12" x14ac:dyDescent="0.25">
      <c r="B210" s="19"/>
      <c r="C210" s="19"/>
      <c r="D210" s="19"/>
      <c r="E210" s="19"/>
      <c r="F210" s="19"/>
      <c r="G210" s="19"/>
      <c r="H210" s="20"/>
      <c r="K210" s="19"/>
      <c r="L210" s="19"/>
    </row>
    <row r="211" spans="2:12" x14ac:dyDescent="0.25">
      <c r="B211" s="19"/>
      <c r="C211" s="19"/>
      <c r="D211" s="19"/>
      <c r="E211" s="19"/>
      <c r="F211" s="19"/>
      <c r="G211" s="19"/>
      <c r="H211" s="20"/>
      <c r="K211" s="19"/>
      <c r="L211" s="19"/>
    </row>
    <row r="212" spans="2:12" x14ac:dyDescent="0.25">
      <c r="B212" s="19"/>
      <c r="C212" s="19"/>
      <c r="D212" s="19"/>
      <c r="E212" s="19"/>
      <c r="F212" s="19"/>
      <c r="G212" s="19"/>
      <c r="H212" s="20"/>
      <c r="K212" s="19"/>
      <c r="L212" s="19"/>
    </row>
    <row r="213" spans="2:12" x14ac:dyDescent="0.25">
      <c r="B213" s="19"/>
      <c r="C213" s="19"/>
      <c r="D213" s="19"/>
      <c r="E213" s="19"/>
      <c r="F213" s="19"/>
      <c r="G213" s="19"/>
      <c r="H213" s="20"/>
      <c r="K213" s="19"/>
      <c r="L213" s="19"/>
    </row>
    <row r="214" spans="2:12" x14ac:dyDescent="0.25">
      <c r="B214" s="19"/>
      <c r="C214" s="19"/>
      <c r="D214" s="19"/>
      <c r="E214" s="19"/>
      <c r="F214" s="19"/>
      <c r="G214" s="19"/>
      <c r="H214" s="20"/>
      <c r="K214" s="19"/>
      <c r="L214" s="19"/>
    </row>
    <row r="215" spans="2:12" x14ac:dyDescent="0.25">
      <c r="B215" s="19"/>
      <c r="C215" s="19"/>
      <c r="D215" s="19"/>
      <c r="E215" s="19"/>
      <c r="F215" s="19"/>
      <c r="G215" s="19"/>
      <c r="H215" s="20"/>
      <c r="K215" s="19"/>
      <c r="L215" s="19"/>
    </row>
    <row r="216" spans="2:12" x14ac:dyDescent="0.25">
      <c r="B216" s="19"/>
      <c r="C216" s="19"/>
      <c r="D216" s="19"/>
      <c r="E216" s="19"/>
      <c r="F216" s="19"/>
      <c r="G216" s="19"/>
      <c r="H216" s="20"/>
      <c r="K216" s="19"/>
      <c r="L216" s="19"/>
    </row>
    <row r="217" spans="2:12" x14ac:dyDescent="0.25">
      <c r="B217" s="19"/>
      <c r="C217" s="19"/>
      <c r="D217" s="19"/>
      <c r="E217" s="19"/>
      <c r="F217" s="19"/>
      <c r="G217" s="19"/>
      <c r="H217" s="20"/>
      <c r="K217" s="19"/>
      <c r="L217" s="19"/>
    </row>
    <row r="218" spans="2:12" x14ac:dyDescent="0.25">
      <c r="B218" s="19"/>
      <c r="C218" s="19"/>
      <c r="D218" s="19"/>
      <c r="E218" s="19"/>
      <c r="F218" s="19"/>
      <c r="G218" s="19"/>
      <c r="H218" s="20"/>
      <c r="K218" s="19"/>
      <c r="L218" s="19"/>
    </row>
    <row r="219" spans="2:12" x14ac:dyDescent="0.25">
      <c r="B219" s="19"/>
      <c r="C219" s="19"/>
      <c r="D219" s="19"/>
      <c r="E219" s="19"/>
      <c r="F219" s="19"/>
      <c r="G219" s="19"/>
      <c r="H219" s="20"/>
      <c r="K219" s="19"/>
      <c r="L219" s="19"/>
    </row>
    <row r="220" spans="2:12" x14ac:dyDescent="0.25">
      <c r="B220" s="19"/>
      <c r="C220" s="19"/>
      <c r="D220" s="19"/>
      <c r="E220" s="19"/>
      <c r="F220" s="19"/>
      <c r="G220" s="19"/>
      <c r="H220" s="20"/>
      <c r="K220" s="19"/>
      <c r="L220" s="19"/>
    </row>
    <row r="221" spans="2:12" x14ac:dyDescent="0.25">
      <c r="B221" s="19"/>
      <c r="C221" s="19"/>
      <c r="D221" s="19"/>
      <c r="E221" s="19"/>
      <c r="F221" s="19"/>
      <c r="G221" s="19"/>
      <c r="H221" s="20"/>
      <c r="K221" s="19"/>
      <c r="L221" s="19"/>
    </row>
    <row r="222" spans="2:12" x14ac:dyDescent="0.25">
      <c r="B222" s="19"/>
      <c r="C222" s="19"/>
      <c r="D222" s="19"/>
      <c r="E222" s="19"/>
      <c r="F222" s="19"/>
      <c r="G222" s="19"/>
      <c r="H222" s="20"/>
      <c r="K222" s="19"/>
      <c r="L222" s="19"/>
    </row>
    <row r="223" spans="2:12" x14ac:dyDescent="0.25">
      <c r="B223" s="19"/>
      <c r="C223" s="19"/>
      <c r="D223" s="19"/>
      <c r="E223" s="19"/>
      <c r="F223" s="19"/>
      <c r="G223" s="19"/>
      <c r="H223" s="20"/>
      <c r="K223" s="19"/>
      <c r="L223" s="19"/>
    </row>
    <row r="224" spans="2:12" x14ac:dyDescent="0.25">
      <c r="B224" s="19"/>
      <c r="C224" s="19"/>
      <c r="D224" s="19"/>
      <c r="E224" s="19"/>
      <c r="F224" s="19"/>
      <c r="G224" s="19"/>
      <c r="H224" s="20"/>
      <c r="K224" s="19"/>
      <c r="L224" s="19"/>
    </row>
    <row r="225" spans="2:12" x14ac:dyDescent="0.25">
      <c r="B225" s="19"/>
      <c r="C225" s="19"/>
      <c r="D225" s="19"/>
      <c r="E225" s="19"/>
      <c r="F225" s="19"/>
      <c r="G225" s="19"/>
      <c r="H225" s="20"/>
      <c r="K225" s="19"/>
      <c r="L225" s="19"/>
    </row>
    <row r="226" spans="2:12" x14ac:dyDescent="0.25">
      <c r="B226" s="19"/>
      <c r="C226" s="19"/>
      <c r="D226" s="19"/>
      <c r="E226" s="19"/>
      <c r="F226" s="19"/>
      <c r="G226" s="19"/>
      <c r="H226" s="20"/>
      <c r="K226" s="19"/>
      <c r="L226" s="19"/>
    </row>
    <row r="227" spans="2:12" x14ac:dyDescent="0.25">
      <c r="B227" s="19"/>
      <c r="C227" s="19"/>
      <c r="D227" s="19"/>
      <c r="E227" s="19"/>
      <c r="F227" s="19"/>
      <c r="G227" s="19"/>
      <c r="H227" s="20"/>
      <c r="K227" s="19"/>
      <c r="L227" s="19"/>
    </row>
    <row r="228" spans="2:12" x14ac:dyDescent="0.25">
      <c r="B228" s="19"/>
      <c r="C228" s="19"/>
      <c r="D228" s="19"/>
      <c r="E228" s="19"/>
      <c r="F228" s="19"/>
      <c r="G228" s="19"/>
      <c r="H228" s="20"/>
      <c r="K228" s="19"/>
      <c r="L228" s="19"/>
    </row>
    <row r="229" spans="2:12" x14ac:dyDescent="0.25">
      <c r="B229" s="19"/>
      <c r="C229" s="19"/>
      <c r="D229" s="19"/>
      <c r="E229" s="19"/>
      <c r="F229" s="19"/>
      <c r="G229" s="19"/>
      <c r="H229" s="20"/>
      <c r="K229" s="19"/>
      <c r="L229" s="19"/>
    </row>
    <row r="230" spans="2:12" x14ac:dyDescent="0.25">
      <c r="B230" s="19"/>
      <c r="C230" s="19"/>
      <c r="D230" s="19"/>
      <c r="E230" s="19"/>
      <c r="F230" s="19"/>
      <c r="G230" s="19"/>
      <c r="H230" s="20"/>
      <c r="K230" s="19"/>
      <c r="L230" s="19"/>
    </row>
    <row r="231" spans="2:12" x14ac:dyDescent="0.25">
      <c r="B231" s="19"/>
      <c r="C231" s="19"/>
      <c r="D231" s="19"/>
      <c r="E231" s="19"/>
      <c r="F231" s="19"/>
      <c r="G231" s="19"/>
      <c r="H231" s="20"/>
      <c r="K231" s="19"/>
      <c r="L231" s="19"/>
    </row>
    <row r="232" spans="2:12" x14ac:dyDescent="0.25">
      <c r="B232" s="19"/>
      <c r="C232" s="19"/>
      <c r="D232" s="19"/>
      <c r="E232" s="19"/>
      <c r="F232" s="19"/>
      <c r="G232" s="19"/>
      <c r="H232" s="20"/>
      <c r="K232" s="19"/>
      <c r="L232" s="19"/>
    </row>
    <row r="233" spans="2:12" x14ac:dyDescent="0.25">
      <c r="B233" s="19"/>
      <c r="C233" s="19"/>
      <c r="D233" s="19"/>
      <c r="E233" s="19"/>
      <c r="F233" s="19"/>
      <c r="G233" s="19"/>
      <c r="H233" s="20"/>
      <c r="K233" s="19"/>
      <c r="L233" s="19"/>
    </row>
    <row r="234" spans="2:12" x14ac:dyDescent="0.25">
      <c r="B234" s="19"/>
      <c r="C234" s="19"/>
      <c r="D234" s="19"/>
      <c r="E234" s="19"/>
      <c r="F234" s="19"/>
      <c r="G234" s="19"/>
      <c r="H234" s="20"/>
      <c r="K234" s="19"/>
      <c r="L234" s="19"/>
    </row>
    <row r="235" spans="2:12" x14ac:dyDescent="0.25">
      <c r="B235" s="19"/>
      <c r="C235" s="19"/>
      <c r="D235" s="19"/>
      <c r="E235" s="19"/>
      <c r="F235" s="19"/>
      <c r="G235" s="19"/>
      <c r="H235" s="20"/>
      <c r="K235" s="19"/>
      <c r="L235" s="19"/>
    </row>
    <row r="236" spans="2:12" x14ac:dyDescent="0.25">
      <c r="B236" s="19"/>
      <c r="C236" s="19"/>
      <c r="D236" s="19"/>
      <c r="E236" s="19"/>
      <c r="F236" s="19"/>
      <c r="G236" s="19"/>
      <c r="H236" s="20"/>
      <c r="K236" s="19"/>
      <c r="L236" s="19"/>
    </row>
    <row r="237" spans="2:12" x14ac:dyDescent="0.25">
      <c r="B237" s="19"/>
      <c r="C237" s="19"/>
      <c r="D237" s="19"/>
      <c r="E237" s="19"/>
      <c r="F237" s="19"/>
      <c r="G237" s="19"/>
      <c r="H237" s="20"/>
      <c r="K237" s="19"/>
      <c r="L237" s="19"/>
    </row>
    <row r="238" spans="2:12" x14ac:dyDescent="0.25">
      <c r="B238" s="19"/>
      <c r="C238" s="19"/>
      <c r="D238" s="19"/>
      <c r="E238" s="19"/>
      <c r="F238" s="19"/>
      <c r="G238" s="19"/>
      <c r="H238" s="20"/>
      <c r="K238" s="19"/>
      <c r="L238" s="19"/>
    </row>
    <row r="239" spans="2:12" x14ac:dyDescent="0.25">
      <c r="B239" s="19"/>
      <c r="C239" s="19"/>
      <c r="D239" s="19"/>
      <c r="E239" s="19"/>
      <c r="F239" s="19"/>
      <c r="G239" s="19"/>
      <c r="H239" s="20"/>
      <c r="K239" s="19"/>
      <c r="L239" s="19"/>
    </row>
    <row r="240" spans="2:12" x14ac:dyDescent="0.25">
      <c r="B240" s="19"/>
      <c r="C240" s="19"/>
      <c r="D240" s="19"/>
      <c r="E240" s="19"/>
      <c r="F240" s="19"/>
      <c r="G240" s="19"/>
      <c r="H240" s="20"/>
      <c r="K240" s="19"/>
      <c r="L240" s="19"/>
    </row>
    <row r="241" spans="2:12" x14ac:dyDescent="0.25">
      <c r="B241" s="19"/>
      <c r="C241" s="19"/>
      <c r="D241" s="19"/>
      <c r="E241" s="19"/>
      <c r="F241" s="19"/>
      <c r="G241" s="19"/>
      <c r="H241" s="20"/>
      <c r="K241" s="19"/>
      <c r="L241" s="19"/>
    </row>
    <row r="242" spans="2:12" x14ac:dyDescent="0.25">
      <c r="B242" s="19"/>
      <c r="C242" s="19"/>
      <c r="D242" s="19"/>
      <c r="E242" s="19"/>
      <c r="F242" s="19"/>
      <c r="G242" s="19"/>
      <c r="H242" s="20"/>
      <c r="K242" s="19"/>
      <c r="L242" s="19"/>
    </row>
    <row r="243" spans="2:12" x14ac:dyDescent="0.25">
      <c r="B243" s="19"/>
      <c r="C243" s="19"/>
      <c r="D243" s="19"/>
      <c r="E243" s="19"/>
      <c r="F243" s="19"/>
      <c r="G243" s="19"/>
      <c r="H243" s="20"/>
      <c r="K243" s="19"/>
      <c r="L243" s="19"/>
    </row>
    <row r="244" spans="2:12" x14ac:dyDescent="0.25">
      <c r="B244" s="19"/>
      <c r="C244" s="19"/>
      <c r="D244" s="19"/>
      <c r="E244" s="19"/>
      <c r="F244" s="19"/>
      <c r="G244" s="19"/>
      <c r="H244" s="20"/>
      <c r="K244" s="19"/>
      <c r="L244" s="19"/>
    </row>
    <row r="245" spans="2:12" x14ac:dyDescent="0.25">
      <c r="B245" s="19"/>
      <c r="C245" s="19"/>
      <c r="D245" s="19"/>
      <c r="E245" s="19"/>
      <c r="F245" s="19"/>
      <c r="G245" s="19"/>
      <c r="H245" s="20"/>
      <c r="K245" s="19"/>
      <c r="L245" s="19"/>
    </row>
    <row r="246" spans="2:12" x14ac:dyDescent="0.25">
      <c r="B246" s="19"/>
      <c r="C246" s="19"/>
      <c r="D246" s="19"/>
      <c r="E246" s="19"/>
      <c r="F246" s="19"/>
      <c r="G246" s="19"/>
      <c r="H246" s="20"/>
      <c r="K246" s="19"/>
      <c r="L246" s="19"/>
    </row>
    <row r="247" spans="2:12" x14ac:dyDescent="0.25">
      <c r="B247" s="19"/>
      <c r="C247" s="19"/>
      <c r="D247" s="19"/>
      <c r="E247" s="19"/>
      <c r="F247" s="19"/>
      <c r="G247" s="19"/>
      <c r="H247" s="20"/>
      <c r="K247" s="19"/>
      <c r="L247" s="19"/>
    </row>
    <row r="248" spans="2:12" x14ac:dyDescent="0.25">
      <c r="B248" s="19"/>
      <c r="C248" s="19"/>
      <c r="D248" s="19"/>
      <c r="E248" s="19"/>
      <c r="F248" s="19"/>
      <c r="G248" s="19"/>
      <c r="H248" s="20"/>
      <c r="K248" s="19"/>
      <c r="L248" s="19"/>
    </row>
    <row r="249" spans="2:12" x14ac:dyDescent="0.25">
      <c r="B249" s="19"/>
      <c r="C249" s="19"/>
      <c r="D249" s="19"/>
      <c r="E249" s="19"/>
      <c r="F249" s="19"/>
      <c r="G249" s="19"/>
      <c r="H249" s="20"/>
      <c r="K249" s="19"/>
      <c r="L249" s="19"/>
    </row>
    <row r="250" spans="2:12" x14ac:dyDescent="0.25">
      <c r="B250" s="19"/>
      <c r="C250" s="19"/>
      <c r="D250" s="19"/>
      <c r="E250" s="19"/>
      <c r="F250" s="19"/>
      <c r="G250" s="19"/>
      <c r="H250" s="20"/>
      <c r="K250" s="19"/>
      <c r="L250" s="19"/>
    </row>
    <row r="251" spans="2:12" x14ac:dyDescent="0.25">
      <c r="B251" s="19"/>
      <c r="C251" s="19"/>
      <c r="D251" s="19"/>
      <c r="E251" s="19"/>
      <c r="F251" s="19"/>
      <c r="G251" s="19"/>
      <c r="H251" s="20"/>
      <c r="K251" s="19"/>
      <c r="L251" s="19"/>
    </row>
    <row r="252" spans="2:12" x14ac:dyDescent="0.25">
      <c r="B252" s="19"/>
      <c r="C252" s="19"/>
      <c r="D252" s="19"/>
      <c r="E252" s="19"/>
      <c r="F252" s="19"/>
      <c r="G252" s="19"/>
      <c r="H252" s="20"/>
      <c r="K252" s="19"/>
      <c r="L252" s="19"/>
    </row>
    <row r="253" spans="2:12" x14ac:dyDescent="0.25">
      <c r="B253" s="19"/>
      <c r="C253" s="19"/>
      <c r="D253" s="19"/>
      <c r="E253" s="19"/>
      <c r="F253" s="19"/>
      <c r="G253" s="19"/>
      <c r="H253" s="20"/>
      <c r="K253" s="19"/>
      <c r="L253" s="19"/>
    </row>
    <row r="254" spans="2:12" x14ac:dyDescent="0.25">
      <c r="B254" s="19"/>
      <c r="C254" s="19"/>
      <c r="D254" s="19"/>
      <c r="E254" s="19"/>
      <c r="F254" s="19"/>
      <c r="G254" s="19"/>
      <c r="H254" s="20"/>
      <c r="K254" s="19"/>
      <c r="L254" s="19"/>
    </row>
    <row r="255" spans="2:12" x14ac:dyDescent="0.25">
      <c r="B255" s="19"/>
      <c r="C255" s="19"/>
      <c r="D255" s="19"/>
      <c r="E255" s="19"/>
      <c r="F255" s="19"/>
      <c r="G255" s="19"/>
      <c r="H255" s="20"/>
      <c r="K255" s="19"/>
      <c r="L255" s="19"/>
    </row>
    <row r="256" spans="2:12" x14ac:dyDescent="0.25">
      <c r="B256" s="19"/>
      <c r="C256" s="19"/>
      <c r="D256" s="19"/>
      <c r="E256" s="19"/>
      <c r="F256" s="19"/>
      <c r="G256" s="19"/>
      <c r="H256" s="20"/>
      <c r="K256" s="19"/>
      <c r="L256" s="19"/>
    </row>
    <row r="257" spans="2:12" x14ac:dyDescent="0.25">
      <c r="B257" s="19"/>
      <c r="C257" s="19"/>
      <c r="D257" s="19"/>
      <c r="E257" s="19"/>
      <c r="F257" s="19"/>
      <c r="G257" s="19"/>
      <c r="H257" s="20"/>
      <c r="K257" s="19"/>
      <c r="L257" s="19"/>
    </row>
    <row r="258" spans="2:12" x14ac:dyDescent="0.25">
      <c r="B258" s="19"/>
      <c r="C258" s="19"/>
      <c r="D258" s="19"/>
      <c r="E258" s="19"/>
      <c r="F258" s="19"/>
      <c r="G258" s="19"/>
      <c r="H258" s="20"/>
      <c r="K258" s="19"/>
      <c r="L258" s="19"/>
    </row>
    <row r="259" spans="2:12" x14ac:dyDescent="0.25">
      <c r="B259" s="19"/>
      <c r="C259" s="19"/>
      <c r="D259" s="19"/>
      <c r="E259" s="19"/>
      <c r="F259" s="19"/>
      <c r="G259" s="19"/>
      <c r="H259" s="20"/>
      <c r="K259" s="19"/>
      <c r="L259" s="19"/>
    </row>
    <row r="260" spans="2:12" x14ac:dyDescent="0.25">
      <c r="B260" s="19"/>
      <c r="C260" s="19"/>
      <c r="D260" s="19"/>
      <c r="E260" s="19"/>
      <c r="F260" s="19"/>
      <c r="G260" s="19"/>
      <c r="H260" s="20"/>
      <c r="K260" s="19"/>
      <c r="L260" s="19"/>
    </row>
    <row r="261" spans="2:12" x14ac:dyDescent="0.25">
      <c r="B261" s="19"/>
      <c r="C261" s="19"/>
      <c r="D261" s="19"/>
      <c r="E261" s="19"/>
      <c r="F261" s="19"/>
      <c r="G261" s="19"/>
      <c r="H261" s="20"/>
      <c r="K261" s="19"/>
      <c r="L261" s="19"/>
    </row>
    <row r="262" spans="2:12" x14ac:dyDescent="0.25">
      <c r="B262" s="19"/>
      <c r="C262" s="19"/>
      <c r="D262" s="19"/>
      <c r="E262" s="19"/>
      <c r="F262" s="19"/>
      <c r="G262" s="19"/>
      <c r="H262" s="20"/>
      <c r="K262" s="19"/>
      <c r="L262" s="19"/>
    </row>
    <row r="263" spans="2:12" x14ac:dyDescent="0.25">
      <c r="B263" s="19"/>
      <c r="C263" s="19"/>
      <c r="D263" s="19"/>
      <c r="E263" s="19"/>
      <c r="F263" s="19"/>
      <c r="G263" s="19"/>
      <c r="H263" s="20"/>
      <c r="K263" s="19"/>
      <c r="L263" s="19"/>
    </row>
    <row r="264" spans="2:12" x14ac:dyDescent="0.25">
      <c r="B264" s="19"/>
      <c r="C264" s="19"/>
      <c r="D264" s="19"/>
      <c r="E264" s="19"/>
      <c r="F264" s="19"/>
      <c r="G264" s="19"/>
      <c r="H264" s="20"/>
      <c r="K264" s="19"/>
      <c r="L264" s="19"/>
    </row>
    <row r="265" spans="2:12" x14ac:dyDescent="0.25">
      <c r="B265" s="19"/>
      <c r="C265" s="19"/>
      <c r="D265" s="19"/>
      <c r="E265" s="19"/>
      <c r="F265" s="19"/>
      <c r="G265" s="19"/>
      <c r="H265" s="20"/>
      <c r="K265" s="19"/>
      <c r="L265" s="19"/>
    </row>
    <row r="266" spans="2:12" x14ac:dyDescent="0.25">
      <c r="B266" s="19"/>
      <c r="C266" s="19"/>
      <c r="D266" s="19"/>
      <c r="E266" s="19"/>
      <c r="F266" s="19"/>
      <c r="G266" s="19"/>
      <c r="H266" s="20"/>
      <c r="K266" s="19"/>
      <c r="L266" s="19"/>
    </row>
    <row r="267" spans="2:12" x14ac:dyDescent="0.25">
      <c r="B267" s="19"/>
      <c r="C267" s="19"/>
      <c r="D267" s="19"/>
      <c r="E267" s="19"/>
      <c r="F267" s="19"/>
      <c r="G267" s="19"/>
      <c r="H267" s="20"/>
      <c r="K267" s="19"/>
      <c r="L267" s="19"/>
    </row>
    <row r="268" spans="2:12" x14ac:dyDescent="0.25">
      <c r="B268" s="19"/>
      <c r="C268" s="19"/>
      <c r="D268" s="19"/>
      <c r="E268" s="19"/>
      <c r="F268" s="19"/>
      <c r="G268" s="19"/>
      <c r="H268" s="20"/>
      <c r="K268" s="19"/>
      <c r="L268" s="19"/>
    </row>
    <row r="269" spans="2:12" x14ac:dyDescent="0.25">
      <c r="B269" s="19"/>
      <c r="C269" s="19"/>
      <c r="D269" s="19"/>
      <c r="E269" s="19"/>
      <c r="F269" s="19"/>
      <c r="G269" s="19"/>
      <c r="H269" s="20"/>
      <c r="K269" s="19"/>
      <c r="L269" s="19"/>
    </row>
    <row r="270" spans="2:12" x14ac:dyDescent="0.25">
      <c r="B270" s="19"/>
      <c r="C270" s="19"/>
      <c r="D270" s="19"/>
      <c r="E270" s="19"/>
      <c r="F270" s="19"/>
      <c r="G270" s="19"/>
      <c r="H270" s="20"/>
      <c r="K270" s="19"/>
      <c r="L270" s="19"/>
    </row>
    <row r="271" spans="2:12" x14ac:dyDescent="0.25">
      <c r="B271" s="19"/>
      <c r="C271" s="19"/>
      <c r="D271" s="19"/>
      <c r="E271" s="19"/>
      <c r="F271" s="19"/>
      <c r="G271" s="19"/>
      <c r="H271" s="20"/>
      <c r="K271" s="19"/>
      <c r="L271" s="19"/>
    </row>
    <row r="272" spans="2:12" x14ac:dyDescent="0.25">
      <c r="B272" s="19"/>
      <c r="C272" s="19"/>
      <c r="D272" s="19"/>
      <c r="E272" s="19"/>
      <c r="F272" s="19"/>
      <c r="G272" s="19"/>
      <c r="H272" s="20"/>
      <c r="K272" s="19"/>
      <c r="L272" s="19"/>
    </row>
    <row r="273" spans="2:12" x14ac:dyDescent="0.25">
      <c r="B273" s="19"/>
      <c r="C273" s="19"/>
      <c r="D273" s="19"/>
      <c r="E273" s="19"/>
      <c r="F273" s="19"/>
      <c r="G273" s="19"/>
      <c r="H273" s="20"/>
      <c r="K273" s="19"/>
      <c r="L273" s="19"/>
    </row>
    <row r="274" spans="2:12" x14ac:dyDescent="0.25">
      <c r="B274" s="19"/>
      <c r="C274" s="19"/>
      <c r="D274" s="19"/>
      <c r="E274" s="19"/>
      <c r="F274" s="19"/>
      <c r="G274" s="19"/>
      <c r="H274" s="20"/>
      <c r="K274" s="19"/>
      <c r="L274" s="19"/>
    </row>
    <row r="275" spans="2:12" x14ac:dyDescent="0.25">
      <c r="B275" s="19"/>
      <c r="C275" s="19"/>
      <c r="D275" s="19"/>
      <c r="E275" s="19"/>
      <c r="F275" s="19"/>
      <c r="G275" s="19"/>
      <c r="H275" s="20"/>
      <c r="K275" s="19"/>
      <c r="L275" s="19"/>
    </row>
    <row r="276" spans="2:12" x14ac:dyDescent="0.25">
      <c r="B276" s="19"/>
      <c r="C276" s="19"/>
      <c r="D276" s="19"/>
      <c r="E276" s="19"/>
      <c r="F276" s="19"/>
      <c r="G276" s="19"/>
      <c r="H276" s="20"/>
      <c r="K276" s="19"/>
      <c r="L276" s="19"/>
    </row>
    <row r="277" spans="2:12" x14ac:dyDescent="0.25">
      <c r="B277" s="19"/>
      <c r="C277" s="19"/>
      <c r="D277" s="19"/>
      <c r="E277" s="19"/>
      <c r="F277" s="19"/>
      <c r="G277" s="19"/>
      <c r="H277" s="20"/>
      <c r="K277" s="19"/>
      <c r="L277" s="19"/>
    </row>
    <row r="278" spans="2:12" x14ac:dyDescent="0.25">
      <c r="B278" s="19"/>
      <c r="C278" s="19"/>
      <c r="D278" s="19"/>
      <c r="E278" s="19"/>
      <c r="F278" s="19"/>
      <c r="G278" s="19"/>
      <c r="H278" s="20"/>
      <c r="K278" s="19"/>
      <c r="L278" s="19"/>
    </row>
    <row r="279" spans="2:12" x14ac:dyDescent="0.25">
      <c r="B279" s="19"/>
      <c r="C279" s="19"/>
      <c r="D279" s="19"/>
      <c r="E279" s="19"/>
      <c r="F279" s="19"/>
      <c r="G279" s="19"/>
      <c r="H279" s="20"/>
      <c r="K279" s="19"/>
      <c r="L279" s="19"/>
    </row>
    <row r="280" spans="2:12" x14ac:dyDescent="0.25">
      <c r="B280" s="19"/>
      <c r="C280" s="19"/>
      <c r="D280" s="19"/>
      <c r="E280" s="19"/>
      <c r="F280" s="19"/>
      <c r="G280" s="19"/>
      <c r="H280" s="20"/>
      <c r="K280" s="19"/>
      <c r="L280" s="19"/>
    </row>
    <row r="281" spans="2:12" x14ac:dyDescent="0.25">
      <c r="B281" s="19"/>
      <c r="C281" s="19"/>
      <c r="D281" s="19"/>
      <c r="E281" s="19"/>
      <c r="F281" s="19"/>
      <c r="G281" s="19"/>
      <c r="H281" s="20"/>
      <c r="K281" s="19"/>
      <c r="L281" s="19"/>
    </row>
    <row r="282" spans="2:12" x14ac:dyDescent="0.25">
      <c r="B282" s="19"/>
      <c r="C282" s="19"/>
      <c r="D282" s="19"/>
      <c r="E282" s="19"/>
      <c r="F282" s="19"/>
      <c r="G282" s="19"/>
      <c r="H282" s="20"/>
      <c r="K282" s="19"/>
      <c r="L282" s="19"/>
    </row>
    <row r="283" spans="2:12" x14ac:dyDescent="0.25">
      <c r="B283" s="19"/>
      <c r="C283" s="19"/>
      <c r="D283" s="19"/>
      <c r="E283" s="19"/>
      <c r="F283" s="19"/>
      <c r="G283" s="19"/>
      <c r="H283" s="20"/>
      <c r="K283" s="19"/>
      <c r="L283" s="19"/>
    </row>
    <row r="284" spans="2:12" x14ac:dyDescent="0.25">
      <c r="B284" s="19"/>
      <c r="C284" s="19"/>
      <c r="D284" s="19"/>
      <c r="E284" s="19"/>
      <c r="F284" s="19"/>
      <c r="G284" s="19"/>
      <c r="H284" s="20"/>
      <c r="K284" s="19"/>
      <c r="L284" s="19"/>
    </row>
    <row r="285" spans="2:12" x14ac:dyDescent="0.25">
      <c r="B285" s="19"/>
      <c r="C285" s="19"/>
      <c r="D285" s="19"/>
      <c r="E285" s="19"/>
      <c r="F285" s="19"/>
      <c r="G285" s="19"/>
      <c r="H285" s="20"/>
      <c r="K285" s="19"/>
      <c r="L285" s="19"/>
    </row>
    <row r="286" spans="2:12" x14ac:dyDescent="0.25">
      <c r="B286" s="19"/>
      <c r="C286" s="19"/>
      <c r="D286" s="19"/>
      <c r="E286" s="19"/>
      <c r="F286" s="19"/>
      <c r="G286" s="19"/>
      <c r="H286" s="20"/>
      <c r="K286" s="19"/>
      <c r="L286" s="19"/>
    </row>
    <row r="287" spans="2:12" x14ac:dyDescent="0.25">
      <c r="B287" s="19"/>
      <c r="C287" s="19"/>
      <c r="D287" s="19"/>
      <c r="E287" s="19"/>
      <c r="F287" s="19"/>
      <c r="G287" s="19"/>
      <c r="H287" s="20"/>
      <c r="K287" s="19"/>
      <c r="L287" s="19"/>
    </row>
    <row r="288" spans="2:12" x14ac:dyDescent="0.25">
      <c r="B288" s="19"/>
      <c r="C288" s="19"/>
      <c r="D288" s="19"/>
      <c r="E288" s="19"/>
      <c r="F288" s="19"/>
      <c r="G288" s="19"/>
      <c r="H288" s="20"/>
      <c r="K288" s="19"/>
      <c r="L288" s="19"/>
    </row>
    <row r="289" spans="2:12" x14ac:dyDescent="0.25">
      <c r="B289" s="19"/>
      <c r="C289" s="19"/>
      <c r="D289" s="19"/>
      <c r="E289" s="19"/>
      <c r="F289" s="19"/>
      <c r="G289" s="19"/>
      <c r="H289" s="20"/>
      <c r="K289" s="19"/>
      <c r="L289" s="19"/>
    </row>
    <row r="290" spans="2:12" x14ac:dyDescent="0.25">
      <c r="B290" s="19"/>
      <c r="C290" s="19"/>
      <c r="D290" s="19"/>
      <c r="E290" s="19"/>
      <c r="F290" s="19"/>
      <c r="G290" s="19"/>
      <c r="H290" s="20"/>
      <c r="K290" s="19"/>
      <c r="L290" s="19"/>
    </row>
    <row r="291" spans="2:12" x14ac:dyDescent="0.25">
      <c r="B291" s="19"/>
      <c r="C291" s="19"/>
      <c r="D291" s="19"/>
      <c r="E291" s="19"/>
      <c r="F291" s="19"/>
      <c r="G291" s="19"/>
      <c r="H291" s="20"/>
      <c r="K291" s="19"/>
      <c r="L291" s="19"/>
    </row>
    <row r="292" spans="2:12" x14ac:dyDescent="0.25">
      <c r="B292" s="19"/>
      <c r="C292" s="19"/>
      <c r="D292" s="19"/>
      <c r="E292" s="19"/>
      <c r="F292" s="19"/>
      <c r="G292" s="19"/>
      <c r="H292" s="20"/>
      <c r="K292" s="19"/>
      <c r="L292" s="19"/>
    </row>
    <row r="293" spans="2:12" x14ac:dyDescent="0.25">
      <c r="B293" s="19"/>
      <c r="C293" s="19"/>
      <c r="D293" s="19"/>
      <c r="E293" s="19"/>
      <c r="F293" s="19"/>
      <c r="G293" s="19"/>
      <c r="H293" s="20"/>
      <c r="K293" s="19"/>
      <c r="L293" s="19"/>
    </row>
    <row r="294" spans="2:12" x14ac:dyDescent="0.25">
      <c r="B294" s="19"/>
      <c r="C294" s="19"/>
      <c r="D294" s="19"/>
      <c r="E294" s="19"/>
      <c r="F294" s="19"/>
      <c r="G294" s="19"/>
      <c r="H294" s="20"/>
      <c r="K294" s="19"/>
      <c r="L294" s="19"/>
    </row>
    <row r="295" spans="2:12" x14ac:dyDescent="0.25">
      <c r="B295" s="19"/>
      <c r="C295" s="19"/>
      <c r="D295" s="19"/>
      <c r="E295" s="19"/>
      <c r="F295" s="19"/>
      <c r="G295" s="19"/>
      <c r="H295" s="20"/>
      <c r="K295" s="19"/>
      <c r="L295" s="19"/>
    </row>
    <row r="296" spans="2:12" x14ac:dyDescent="0.25">
      <c r="B296" s="19"/>
      <c r="C296" s="19"/>
      <c r="D296" s="19"/>
      <c r="E296" s="19"/>
      <c r="F296" s="19"/>
      <c r="G296" s="19"/>
      <c r="H296" s="20"/>
      <c r="K296" s="19"/>
      <c r="L296" s="19"/>
    </row>
    <row r="297" spans="2:12" x14ac:dyDescent="0.25">
      <c r="B297" s="19"/>
      <c r="C297" s="19"/>
      <c r="D297" s="19"/>
      <c r="E297" s="19"/>
      <c r="F297" s="19"/>
      <c r="G297" s="19"/>
      <c r="H297" s="20"/>
      <c r="K297" s="19"/>
      <c r="L297" s="19"/>
    </row>
    <row r="298" spans="2:12" x14ac:dyDescent="0.25">
      <c r="B298" s="19"/>
      <c r="C298" s="19"/>
      <c r="D298" s="19"/>
      <c r="E298" s="19"/>
      <c r="F298" s="19"/>
      <c r="G298" s="19"/>
      <c r="H298" s="20"/>
      <c r="K298" s="19"/>
      <c r="L298" s="19"/>
    </row>
    <row r="299" spans="2:12" x14ac:dyDescent="0.25">
      <c r="B299" s="19"/>
      <c r="C299" s="19"/>
      <c r="D299" s="19"/>
      <c r="E299" s="19"/>
      <c r="F299" s="19"/>
      <c r="G299" s="19"/>
      <c r="H299" s="20"/>
      <c r="K299" s="19"/>
      <c r="L299" s="19"/>
    </row>
    <row r="300" spans="2:12" x14ac:dyDescent="0.25">
      <c r="B300" s="19"/>
      <c r="C300" s="19"/>
      <c r="D300" s="19"/>
      <c r="E300" s="19"/>
      <c r="F300" s="19"/>
      <c r="G300" s="19"/>
      <c r="H300" s="20"/>
      <c r="K300" s="19"/>
      <c r="L300" s="19"/>
    </row>
    <row r="301" spans="2:12" x14ac:dyDescent="0.25">
      <c r="B301" s="19"/>
      <c r="C301" s="19"/>
      <c r="D301" s="19"/>
      <c r="E301" s="19"/>
      <c r="F301" s="19"/>
      <c r="G301" s="19"/>
      <c r="H301" s="20"/>
      <c r="K301" s="19"/>
      <c r="L301" s="19"/>
    </row>
    <row r="302" spans="2:12" x14ac:dyDescent="0.25">
      <c r="B302" s="19"/>
      <c r="C302" s="19"/>
      <c r="D302" s="19"/>
      <c r="E302" s="19"/>
      <c r="F302" s="19"/>
      <c r="G302" s="19"/>
      <c r="H302" s="20"/>
      <c r="K302" s="19"/>
      <c r="L302" s="19"/>
    </row>
    <row r="303" spans="2:12" x14ac:dyDescent="0.25">
      <c r="B303" s="19"/>
      <c r="C303" s="19"/>
      <c r="D303" s="19"/>
      <c r="E303" s="19"/>
      <c r="F303" s="19"/>
      <c r="G303" s="19"/>
      <c r="H303" s="20"/>
      <c r="K303" s="19"/>
      <c r="L303" s="19"/>
    </row>
    <row r="304" spans="2:12" x14ac:dyDescent="0.25">
      <c r="B304" s="19"/>
      <c r="C304" s="19"/>
      <c r="D304" s="19"/>
      <c r="E304" s="19"/>
      <c r="F304" s="19"/>
      <c r="G304" s="19"/>
      <c r="H304" s="20"/>
      <c r="K304" s="19"/>
      <c r="L304" s="19"/>
    </row>
    <row r="305" spans="2:12" x14ac:dyDescent="0.25">
      <c r="B305" s="19"/>
      <c r="C305" s="19"/>
      <c r="D305" s="19"/>
      <c r="E305" s="19"/>
      <c r="F305" s="19"/>
      <c r="G305" s="19"/>
      <c r="H305" s="20"/>
      <c r="K305" s="19"/>
      <c r="L305" s="19"/>
    </row>
    <row r="306" spans="2:12" x14ac:dyDescent="0.25">
      <c r="B306" s="19"/>
      <c r="C306" s="19"/>
      <c r="D306" s="19"/>
      <c r="E306" s="19"/>
      <c r="F306" s="19"/>
      <c r="G306" s="19"/>
      <c r="H306" s="20"/>
      <c r="K306" s="19"/>
      <c r="L306" s="19"/>
    </row>
    <row r="307" spans="2:12" x14ac:dyDescent="0.25">
      <c r="B307" s="19"/>
      <c r="C307" s="19"/>
      <c r="D307" s="19"/>
      <c r="E307" s="19"/>
      <c r="F307" s="19"/>
      <c r="G307" s="19"/>
      <c r="H307" s="20"/>
      <c r="K307" s="19"/>
      <c r="L307" s="19"/>
    </row>
    <row r="308" spans="2:12" x14ac:dyDescent="0.25">
      <c r="B308" s="19"/>
      <c r="C308" s="19"/>
      <c r="D308" s="19"/>
      <c r="E308" s="19"/>
      <c r="F308" s="19"/>
      <c r="G308" s="19"/>
      <c r="H308" s="20"/>
      <c r="K308" s="19"/>
      <c r="L308" s="19"/>
    </row>
    <row r="309" spans="2:12" x14ac:dyDescent="0.25">
      <c r="B309" s="19"/>
      <c r="C309" s="19"/>
      <c r="D309" s="19"/>
      <c r="E309" s="19"/>
      <c r="F309" s="19"/>
      <c r="G309" s="19"/>
      <c r="H309" s="20"/>
      <c r="K309" s="19"/>
      <c r="L309" s="19"/>
    </row>
    <row r="310" spans="2:12" x14ac:dyDescent="0.25">
      <c r="B310" s="19"/>
      <c r="C310" s="19"/>
      <c r="D310" s="19"/>
      <c r="E310" s="19"/>
      <c r="F310" s="19"/>
      <c r="G310" s="19"/>
      <c r="H310" s="20"/>
      <c r="K310" s="19"/>
      <c r="L310" s="19"/>
    </row>
    <row r="311" spans="2:12" x14ac:dyDescent="0.25">
      <c r="B311" s="19"/>
      <c r="C311" s="19"/>
      <c r="D311" s="19"/>
      <c r="E311" s="19"/>
      <c r="F311" s="19"/>
      <c r="G311" s="19"/>
      <c r="H311" s="20"/>
      <c r="K311" s="19"/>
      <c r="L311" s="19"/>
    </row>
    <row r="312" spans="2:12" x14ac:dyDescent="0.25">
      <c r="B312" s="19"/>
      <c r="C312" s="19"/>
      <c r="D312" s="19"/>
      <c r="E312" s="19"/>
      <c r="F312" s="19"/>
      <c r="G312" s="19"/>
      <c r="H312" s="20"/>
      <c r="K312" s="19"/>
      <c r="L312" s="19"/>
    </row>
    <row r="313" spans="2:12" x14ac:dyDescent="0.25">
      <c r="B313" s="19"/>
      <c r="C313" s="19"/>
      <c r="D313" s="19"/>
      <c r="E313" s="19"/>
      <c r="F313" s="19"/>
      <c r="G313" s="19"/>
      <c r="H313" s="20"/>
      <c r="K313" s="19"/>
      <c r="L313" s="19"/>
    </row>
    <row r="314" spans="2:12" x14ac:dyDescent="0.25">
      <c r="B314" s="19"/>
      <c r="C314" s="19"/>
      <c r="D314" s="19"/>
      <c r="E314" s="19"/>
      <c r="F314" s="19"/>
      <c r="G314" s="19"/>
      <c r="H314" s="20"/>
      <c r="K314" s="19"/>
      <c r="L314" s="19"/>
    </row>
    <row r="315" spans="2:12" x14ac:dyDescent="0.25">
      <c r="B315" s="19"/>
      <c r="C315" s="19"/>
      <c r="D315" s="19"/>
      <c r="E315" s="19"/>
      <c r="F315" s="19"/>
      <c r="G315" s="19"/>
      <c r="H315" s="20"/>
      <c r="K315" s="19"/>
      <c r="L315" s="19"/>
    </row>
    <row r="316" spans="2:12" x14ac:dyDescent="0.25">
      <c r="B316" s="19"/>
      <c r="C316" s="19"/>
      <c r="D316" s="19"/>
      <c r="E316" s="19"/>
      <c r="F316" s="19"/>
      <c r="G316" s="19"/>
      <c r="H316" s="20"/>
      <c r="K316" s="19"/>
      <c r="L316" s="19"/>
    </row>
    <row r="317" spans="2:12" x14ac:dyDescent="0.25">
      <c r="B317" s="19"/>
      <c r="C317" s="19"/>
      <c r="D317" s="19"/>
      <c r="E317" s="19"/>
      <c r="F317" s="19"/>
      <c r="G317" s="19"/>
      <c r="H317" s="20"/>
      <c r="K317" s="19"/>
      <c r="L317" s="19"/>
    </row>
  </sheetData>
  <pageMargins left="0.7" right="0.7" top="0.75" bottom="0.75" header="0.3" footer="0.3"/>
  <pageSetup paperSize="17"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7132-9B77-4A10-82B1-ED7C4017B0BF}">
  <dimension ref="A1:L386"/>
  <sheetViews>
    <sheetView windowProtection="1" workbookViewId="0">
      <selection activeCell="M27" sqref="M27"/>
    </sheetView>
  </sheetViews>
  <sheetFormatPr defaultRowHeight="15" x14ac:dyDescent="0.25"/>
  <cols>
    <col min="1" max="1" width="10.7109375" style="56" customWidth="1"/>
    <col min="2" max="2" width="9.140625" style="20"/>
    <col min="3" max="3" width="18.7109375" style="20" customWidth="1"/>
    <col min="4" max="4" width="20.7109375" style="1" customWidth="1"/>
    <col min="5" max="5" width="20.7109375" style="56" customWidth="1"/>
    <col min="6" max="6" width="12.7109375" style="179" customWidth="1"/>
    <col min="7" max="7" width="12.7109375" style="238" customWidth="1"/>
    <col min="8" max="8" width="21.7109375" style="56" customWidth="1"/>
    <col min="9" max="9" width="10.7109375" style="56" customWidth="1"/>
    <col min="10" max="10" width="13.7109375" style="56" customWidth="1"/>
    <col min="11" max="11" width="22.7109375" customWidth="1"/>
    <col min="12" max="12" width="22.7109375" style="20" customWidth="1"/>
  </cols>
  <sheetData>
    <row r="1" spans="1:11" x14ac:dyDescent="0.25">
      <c r="B1" s="121"/>
      <c r="C1" s="241" t="s">
        <v>837</v>
      </c>
      <c r="D1" s="242"/>
      <c r="E1" s="242"/>
      <c r="F1" s="20"/>
      <c r="H1" s="20"/>
      <c r="I1" s="20"/>
      <c r="K1" s="172"/>
    </row>
    <row r="2" spans="1:11" ht="15.75" thickBot="1" x14ac:dyDescent="0.3">
      <c r="B2" s="121"/>
      <c r="C2" s="121" t="s">
        <v>6</v>
      </c>
      <c r="D2" s="243"/>
      <c r="E2" s="243"/>
      <c r="F2" s="242"/>
      <c r="G2" s="244" t="s">
        <v>6</v>
      </c>
      <c r="H2" s="20"/>
      <c r="I2" s="20"/>
      <c r="K2" s="172"/>
    </row>
    <row r="3" spans="1:11" x14ac:dyDescent="0.25">
      <c r="A3" s="194" t="s">
        <v>749</v>
      </c>
      <c r="B3" s="185" t="s">
        <v>42</v>
      </c>
      <c r="C3" s="185" t="s">
        <v>838</v>
      </c>
      <c r="D3" s="186" t="s">
        <v>833</v>
      </c>
      <c r="E3" s="186" t="s">
        <v>834</v>
      </c>
      <c r="F3" s="227" t="s">
        <v>835</v>
      </c>
      <c r="G3" s="233" t="s">
        <v>839</v>
      </c>
      <c r="H3" s="101" t="s">
        <v>836</v>
      </c>
      <c r="I3" s="230" t="s">
        <v>841</v>
      </c>
      <c r="J3" s="228" t="s">
        <v>634</v>
      </c>
      <c r="K3" s="172"/>
    </row>
    <row r="4" spans="1:11" x14ac:dyDescent="0.25">
      <c r="A4" s="190">
        <v>1</v>
      </c>
      <c r="B4" s="24">
        <v>1</v>
      </c>
      <c r="C4" s="24">
        <v>0.89</v>
      </c>
      <c r="D4" s="91">
        <v>0</v>
      </c>
      <c r="E4" s="91">
        <v>4399</v>
      </c>
      <c r="F4" s="181">
        <v>4399</v>
      </c>
      <c r="G4" s="234">
        <v>1.03</v>
      </c>
      <c r="H4" s="24"/>
      <c r="I4" s="231"/>
      <c r="J4" s="188" t="s">
        <v>52</v>
      </c>
      <c r="K4" s="56"/>
    </row>
    <row r="5" spans="1:11" x14ac:dyDescent="0.25">
      <c r="A5" s="190">
        <v>1</v>
      </c>
      <c r="B5" s="24">
        <v>2</v>
      </c>
      <c r="C5" s="24">
        <v>0.89</v>
      </c>
      <c r="D5" s="24">
        <v>4399</v>
      </c>
      <c r="E5" s="24">
        <v>6970</v>
      </c>
      <c r="F5" s="180">
        <v>2571</v>
      </c>
      <c r="G5" s="235" t="s">
        <v>842</v>
      </c>
      <c r="H5" s="24"/>
      <c r="I5" s="231"/>
      <c r="J5" s="239" t="s">
        <v>97</v>
      </c>
      <c r="K5" s="20"/>
    </row>
    <row r="6" spans="1:11" x14ac:dyDescent="0.25">
      <c r="A6" s="190">
        <v>1</v>
      </c>
      <c r="B6" s="24">
        <v>3</v>
      </c>
      <c r="C6" s="24">
        <v>0.89</v>
      </c>
      <c r="D6" s="24">
        <v>6970</v>
      </c>
      <c r="E6" s="24">
        <v>11370</v>
      </c>
      <c r="F6" s="180">
        <v>4400</v>
      </c>
      <c r="G6" s="235">
        <v>1.036</v>
      </c>
      <c r="H6" s="24" t="s">
        <v>52</v>
      </c>
      <c r="I6" s="231" t="s">
        <v>843</v>
      </c>
      <c r="J6" s="188" t="s">
        <v>52</v>
      </c>
      <c r="K6" s="20"/>
    </row>
    <row r="7" spans="1:11" x14ac:dyDescent="0.25">
      <c r="A7" s="190">
        <v>1</v>
      </c>
      <c r="B7" s="24">
        <v>4</v>
      </c>
      <c r="C7" s="24">
        <v>0.89</v>
      </c>
      <c r="D7" s="24">
        <v>11370</v>
      </c>
      <c r="E7" s="24">
        <v>15880</v>
      </c>
      <c r="F7" s="180">
        <v>4510</v>
      </c>
      <c r="G7" s="235">
        <v>1.014</v>
      </c>
      <c r="H7" s="24"/>
      <c r="I7" s="231"/>
      <c r="J7" s="188" t="s">
        <v>52</v>
      </c>
      <c r="K7" s="20"/>
    </row>
    <row r="8" spans="1:11" x14ac:dyDescent="0.25">
      <c r="A8" s="190">
        <v>1</v>
      </c>
      <c r="B8" s="24">
        <v>5</v>
      </c>
      <c r="C8" s="24">
        <v>0.89</v>
      </c>
      <c r="D8" s="24">
        <v>15880</v>
      </c>
      <c r="E8" s="24">
        <v>20370</v>
      </c>
      <c r="F8" s="180">
        <v>4490</v>
      </c>
      <c r="G8" s="235">
        <v>1.018</v>
      </c>
      <c r="H8" s="24"/>
      <c r="I8" s="231"/>
      <c r="J8" s="188" t="s">
        <v>52</v>
      </c>
      <c r="K8" s="20"/>
    </row>
    <row r="9" spans="1:11" ht="15.75" thickBot="1" x14ac:dyDescent="0.3">
      <c r="A9" s="229">
        <v>1</v>
      </c>
      <c r="B9" s="103">
        <v>6</v>
      </c>
      <c r="C9" s="103">
        <v>0.89</v>
      </c>
      <c r="D9" s="103">
        <v>20370</v>
      </c>
      <c r="E9" s="103">
        <v>25010</v>
      </c>
      <c r="F9" s="192">
        <v>4640</v>
      </c>
      <c r="G9" s="236">
        <v>1.012</v>
      </c>
      <c r="H9" s="103"/>
      <c r="I9" s="232"/>
      <c r="J9" s="188" t="s">
        <v>52</v>
      </c>
      <c r="K9" s="20"/>
    </row>
    <row r="10" spans="1:11" ht="15.75" thickBot="1" x14ac:dyDescent="0.3">
      <c r="C10" s="121" t="s">
        <v>6</v>
      </c>
      <c r="D10" s="20"/>
      <c r="E10" s="20"/>
      <c r="F10" s="245"/>
      <c r="G10" s="246" t="s">
        <v>6</v>
      </c>
      <c r="H10" s="20"/>
      <c r="I10" s="20"/>
      <c r="J10"/>
      <c r="K10" s="20"/>
    </row>
    <row r="11" spans="1:11" x14ac:dyDescent="0.25">
      <c r="A11" s="194" t="s">
        <v>749</v>
      </c>
      <c r="B11" s="185" t="s">
        <v>42</v>
      </c>
      <c r="C11" s="185" t="s">
        <v>838</v>
      </c>
      <c r="D11" s="186" t="s">
        <v>833</v>
      </c>
      <c r="E11" s="186" t="s">
        <v>834</v>
      </c>
      <c r="F11" s="227" t="s">
        <v>835</v>
      </c>
      <c r="G11" s="233" t="s">
        <v>839</v>
      </c>
      <c r="H11" s="101" t="s">
        <v>836</v>
      </c>
      <c r="I11" s="230" t="s">
        <v>841</v>
      </c>
      <c r="J11" s="228" t="s">
        <v>634</v>
      </c>
      <c r="K11" s="20"/>
    </row>
    <row r="12" spans="1:11" x14ac:dyDescent="0.25">
      <c r="A12" s="190">
        <v>2</v>
      </c>
      <c r="B12" s="24">
        <v>1</v>
      </c>
      <c r="C12" s="24">
        <v>0.875</v>
      </c>
      <c r="D12" s="91">
        <v>0</v>
      </c>
      <c r="E12" s="91">
        <v>4382</v>
      </c>
      <c r="F12" s="181">
        <v>4382</v>
      </c>
      <c r="G12" s="234">
        <v>1.0129999999999999</v>
      </c>
      <c r="H12" s="24"/>
      <c r="I12" s="231"/>
      <c r="J12" s="188" t="s">
        <v>52</v>
      </c>
      <c r="K12" s="20"/>
    </row>
    <row r="13" spans="1:11" x14ac:dyDescent="0.25">
      <c r="A13" s="190">
        <v>2</v>
      </c>
      <c r="B13" s="24">
        <v>2</v>
      </c>
      <c r="C13" s="24">
        <v>0.875</v>
      </c>
      <c r="D13" s="24">
        <v>4382</v>
      </c>
      <c r="E13" s="24">
        <v>8570</v>
      </c>
      <c r="F13" s="180">
        <v>4188</v>
      </c>
      <c r="G13" s="235">
        <v>1.02</v>
      </c>
      <c r="H13" s="24"/>
      <c r="I13" s="231"/>
      <c r="J13" s="188" t="s">
        <v>52</v>
      </c>
      <c r="K13" s="20"/>
    </row>
    <row r="14" spans="1:11" x14ac:dyDescent="0.25">
      <c r="A14" s="190">
        <v>2</v>
      </c>
      <c r="B14" s="24">
        <v>3</v>
      </c>
      <c r="C14" s="24">
        <v>0.875</v>
      </c>
      <c r="D14" s="24">
        <v>8570</v>
      </c>
      <c r="E14" s="24">
        <v>11950</v>
      </c>
      <c r="F14" s="180">
        <v>3380</v>
      </c>
      <c r="G14" s="235" t="s">
        <v>847</v>
      </c>
      <c r="H14" s="24" t="s">
        <v>52</v>
      </c>
      <c r="I14" s="231" t="s">
        <v>844</v>
      </c>
      <c r="J14" s="239" t="s">
        <v>97</v>
      </c>
      <c r="K14" s="20"/>
    </row>
    <row r="15" spans="1:11" x14ac:dyDescent="0.25">
      <c r="A15" s="190">
        <v>2</v>
      </c>
      <c r="B15" s="24">
        <v>4</v>
      </c>
      <c r="C15" s="24">
        <v>0.875</v>
      </c>
      <c r="D15" s="24">
        <v>11950</v>
      </c>
      <c r="E15" s="24">
        <v>16160</v>
      </c>
      <c r="F15" s="180">
        <v>4210</v>
      </c>
      <c r="G15" s="235">
        <v>1.0409999999999999</v>
      </c>
      <c r="H15" s="24"/>
      <c r="I15" s="231"/>
      <c r="J15" s="188" t="s">
        <v>52</v>
      </c>
      <c r="K15" s="20"/>
    </row>
    <row r="16" spans="1:11" x14ac:dyDescent="0.25">
      <c r="A16" s="190">
        <v>2</v>
      </c>
      <c r="B16" s="24">
        <v>5</v>
      </c>
      <c r="C16" s="24">
        <v>0.875</v>
      </c>
      <c r="D16" s="24">
        <v>16160</v>
      </c>
      <c r="E16" s="24">
        <v>20510</v>
      </c>
      <c r="F16" s="180">
        <v>4350</v>
      </c>
      <c r="G16" s="235">
        <v>1.016</v>
      </c>
      <c r="H16" s="24"/>
      <c r="I16" s="231"/>
      <c r="J16" s="188" t="s">
        <v>52</v>
      </c>
      <c r="K16" s="20"/>
    </row>
    <row r="17" spans="1:11" ht="15.75" thickBot="1" x14ac:dyDescent="0.3">
      <c r="A17" s="229"/>
      <c r="B17" s="103">
        <v>6</v>
      </c>
      <c r="C17" s="103">
        <v>0.875</v>
      </c>
      <c r="D17" s="103">
        <v>20510</v>
      </c>
      <c r="E17" s="103">
        <v>24920</v>
      </c>
      <c r="F17" s="192">
        <v>4410</v>
      </c>
      <c r="G17" s="236">
        <v>1.014</v>
      </c>
      <c r="H17" s="103"/>
      <c r="I17" s="232"/>
      <c r="J17" s="188" t="s">
        <v>52</v>
      </c>
      <c r="K17" s="20"/>
    </row>
    <row r="18" spans="1:11" ht="15.75" thickBot="1" x14ac:dyDescent="0.3">
      <c r="C18" s="121" t="s">
        <v>6</v>
      </c>
      <c r="D18" s="20"/>
      <c r="E18" s="20"/>
      <c r="F18" s="245"/>
      <c r="G18" s="246" t="s">
        <v>6</v>
      </c>
      <c r="H18" s="20"/>
      <c r="I18" s="20"/>
      <c r="J18"/>
      <c r="K18" s="20"/>
    </row>
    <row r="19" spans="1:11" x14ac:dyDescent="0.25">
      <c r="A19" s="194" t="s">
        <v>749</v>
      </c>
      <c r="B19" s="185" t="s">
        <v>42</v>
      </c>
      <c r="C19" s="185" t="s">
        <v>838</v>
      </c>
      <c r="D19" s="186" t="s">
        <v>833</v>
      </c>
      <c r="E19" s="186" t="s">
        <v>834</v>
      </c>
      <c r="F19" s="227" t="s">
        <v>835</v>
      </c>
      <c r="G19" s="233" t="s">
        <v>839</v>
      </c>
      <c r="H19" s="101" t="s">
        <v>836</v>
      </c>
      <c r="I19" s="230" t="s">
        <v>841</v>
      </c>
      <c r="J19" s="228" t="s">
        <v>634</v>
      </c>
      <c r="K19" s="20"/>
    </row>
    <row r="20" spans="1:11" x14ac:dyDescent="0.25">
      <c r="A20" s="190">
        <v>3</v>
      </c>
      <c r="B20" s="24">
        <v>1</v>
      </c>
      <c r="C20" s="24">
        <v>0.90700000000000003</v>
      </c>
      <c r="D20" s="91">
        <v>0</v>
      </c>
      <c r="E20" s="91">
        <v>4502</v>
      </c>
      <c r="F20" s="181">
        <v>4502</v>
      </c>
      <c r="G20" s="234">
        <v>1.0149999999999999</v>
      </c>
      <c r="H20" s="24"/>
      <c r="I20" s="231"/>
      <c r="J20" s="188" t="s">
        <v>52</v>
      </c>
    </row>
    <row r="21" spans="1:11" x14ac:dyDescent="0.25">
      <c r="A21" s="190">
        <v>3</v>
      </c>
      <c r="B21" s="24">
        <v>2</v>
      </c>
      <c r="C21" s="24">
        <v>0.90700000000000003</v>
      </c>
      <c r="D21" s="24">
        <v>4502</v>
      </c>
      <c r="E21" s="24">
        <v>8750</v>
      </c>
      <c r="F21" s="180">
        <v>4248</v>
      </c>
      <c r="G21" s="235">
        <v>1.026</v>
      </c>
      <c r="H21" s="24"/>
      <c r="I21" s="231"/>
      <c r="J21" s="188" t="s">
        <v>52</v>
      </c>
      <c r="K21" s="20"/>
    </row>
    <row r="22" spans="1:11" x14ac:dyDescent="0.25">
      <c r="A22" s="190">
        <v>3</v>
      </c>
      <c r="B22" s="24">
        <v>3</v>
      </c>
      <c r="C22" s="24">
        <v>0.90700000000000003</v>
      </c>
      <c r="D22" s="24">
        <v>8570</v>
      </c>
      <c r="E22" s="24">
        <v>13140</v>
      </c>
      <c r="F22" s="180">
        <v>4570</v>
      </c>
      <c r="G22" s="235">
        <v>1.0109999999999999</v>
      </c>
      <c r="H22" s="24" t="s">
        <v>52</v>
      </c>
      <c r="I22" s="231" t="s">
        <v>845</v>
      </c>
      <c r="J22" s="188" t="s">
        <v>52</v>
      </c>
      <c r="K22" s="20"/>
    </row>
    <row r="23" spans="1:11" x14ac:dyDescent="0.25">
      <c r="A23" s="190">
        <v>3</v>
      </c>
      <c r="B23" s="24">
        <v>4</v>
      </c>
      <c r="C23" s="24">
        <v>0.90700000000000003</v>
      </c>
      <c r="D23" s="24">
        <v>13140</v>
      </c>
      <c r="E23" s="24">
        <v>17560</v>
      </c>
      <c r="F23" s="180">
        <v>4420</v>
      </c>
      <c r="G23" s="235">
        <v>1.0209999999999999</v>
      </c>
      <c r="H23" s="24"/>
      <c r="I23" s="231"/>
      <c r="J23" s="188" t="s">
        <v>52</v>
      </c>
      <c r="K23" s="20"/>
    </row>
    <row r="24" spans="1:11" x14ac:dyDescent="0.25">
      <c r="A24" s="190">
        <v>3</v>
      </c>
      <c r="B24" s="24">
        <v>5</v>
      </c>
      <c r="C24" s="24">
        <v>0.90700000000000003</v>
      </c>
      <c r="D24" s="24">
        <v>17560</v>
      </c>
      <c r="E24" s="24">
        <v>22000</v>
      </c>
      <c r="F24" s="180">
        <v>4440</v>
      </c>
      <c r="G24" s="235">
        <v>1.018</v>
      </c>
      <c r="H24" s="24"/>
      <c r="I24" s="231"/>
      <c r="J24" s="188" t="s">
        <v>52</v>
      </c>
      <c r="K24" s="20"/>
    </row>
    <row r="25" spans="1:11" ht="15.75" thickBot="1" x14ac:dyDescent="0.3">
      <c r="A25" s="229">
        <v>3</v>
      </c>
      <c r="B25" s="103">
        <v>6</v>
      </c>
      <c r="C25" s="103">
        <v>0.90700000000000003</v>
      </c>
      <c r="D25" s="103">
        <v>22000</v>
      </c>
      <c r="E25" s="103">
        <v>25060</v>
      </c>
      <c r="F25" s="192">
        <v>3060</v>
      </c>
      <c r="G25" s="236" t="s">
        <v>848</v>
      </c>
      <c r="H25" s="103"/>
      <c r="I25" s="232"/>
      <c r="J25" s="239" t="s">
        <v>97</v>
      </c>
      <c r="K25" s="20"/>
    </row>
    <row r="26" spans="1:11" ht="15.75" thickBot="1" x14ac:dyDescent="0.3">
      <c r="C26" s="121" t="s">
        <v>6</v>
      </c>
      <c r="D26" s="20"/>
      <c r="E26" s="20"/>
      <c r="F26" s="245"/>
      <c r="G26" s="246" t="s">
        <v>6</v>
      </c>
      <c r="H26" s="20"/>
      <c r="I26" s="20"/>
      <c r="J26"/>
      <c r="K26" s="20"/>
    </row>
    <row r="27" spans="1:11" x14ac:dyDescent="0.25">
      <c r="A27" s="194" t="s">
        <v>749</v>
      </c>
      <c r="B27" s="185" t="s">
        <v>42</v>
      </c>
      <c r="C27" s="185" t="s">
        <v>838</v>
      </c>
      <c r="D27" s="186" t="s">
        <v>833</v>
      </c>
      <c r="E27" s="186" t="s">
        <v>834</v>
      </c>
      <c r="F27" s="227" t="s">
        <v>835</v>
      </c>
      <c r="G27" s="233" t="s">
        <v>839</v>
      </c>
      <c r="H27" s="101" t="s">
        <v>836</v>
      </c>
      <c r="I27" s="230" t="s">
        <v>841</v>
      </c>
      <c r="J27" s="228" t="s">
        <v>634</v>
      </c>
      <c r="K27" s="20"/>
    </row>
    <row r="28" spans="1:11" x14ac:dyDescent="0.25">
      <c r="A28" s="190">
        <v>4</v>
      </c>
      <c r="B28" s="24">
        <v>1</v>
      </c>
      <c r="C28" s="24">
        <v>0.91</v>
      </c>
      <c r="D28" s="91">
        <v>0</v>
      </c>
      <c r="E28" s="91">
        <v>4505</v>
      </c>
      <c r="F28" s="181">
        <v>4505</v>
      </c>
      <c r="G28" s="234">
        <v>1.0169999999999999</v>
      </c>
      <c r="H28" s="24"/>
      <c r="I28" s="231"/>
      <c r="J28" s="188" t="s">
        <v>52</v>
      </c>
      <c r="K28" s="20"/>
    </row>
    <row r="29" spans="1:11" x14ac:dyDescent="0.25">
      <c r="A29" s="190">
        <v>4</v>
      </c>
      <c r="B29" s="24">
        <v>2</v>
      </c>
      <c r="C29" s="24">
        <v>0.91</v>
      </c>
      <c r="D29" s="24">
        <v>4505</v>
      </c>
      <c r="E29" s="24">
        <v>8840</v>
      </c>
      <c r="F29" s="180">
        <v>4325</v>
      </c>
      <c r="G29" s="235">
        <v>1.024</v>
      </c>
      <c r="H29" s="24"/>
      <c r="I29" s="231"/>
      <c r="J29" s="188" t="s">
        <v>52</v>
      </c>
      <c r="K29" s="20"/>
    </row>
    <row r="30" spans="1:11" x14ac:dyDescent="0.25">
      <c r="A30" s="190">
        <v>4</v>
      </c>
      <c r="B30" s="24">
        <v>3</v>
      </c>
      <c r="C30" s="24">
        <v>0.91</v>
      </c>
      <c r="D30" s="24">
        <v>8840</v>
      </c>
      <c r="E30" s="24">
        <v>13130</v>
      </c>
      <c r="F30" s="180">
        <v>4290</v>
      </c>
      <c r="G30" s="235">
        <v>1.044</v>
      </c>
      <c r="H30" s="24" t="s">
        <v>52</v>
      </c>
      <c r="I30" s="231" t="s">
        <v>846</v>
      </c>
      <c r="J30" s="188" t="s">
        <v>52</v>
      </c>
      <c r="K30" s="20"/>
    </row>
    <row r="31" spans="1:11" x14ac:dyDescent="0.25">
      <c r="A31" s="190">
        <v>4</v>
      </c>
      <c r="B31" s="24">
        <v>4</v>
      </c>
      <c r="C31" s="24">
        <v>0.91</v>
      </c>
      <c r="D31" s="24">
        <v>13130</v>
      </c>
      <c r="E31" s="24">
        <v>17510</v>
      </c>
      <c r="F31" s="180">
        <v>4380</v>
      </c>
      <c r="G31" s="235">
        <v>1.0189999999999999</v>
      </c>
      <c r="H31" s="24"/>
      <c r="I31" s="231"/>
      <c r="J31" s="188" t="s">
        <v>52</v>
      </c>
      <c r="K31" s="20"/>
    </row>
    <row r="32" spans="1:11" x14ac:dyDescent="0.25">
      <c r="A32" s="190">
        <v>4</v>
      </c>
      <c r="B32" s="24">
        <v>5</v>
      </c>
      <c r="C32" s="24">
        <v>0.91</v>
      </c>
      <c r="D32" s="24">
        <v>17510</v>
      </c>
      <c r="E32" s="24">
        <v>21970</v>
      </c>
      <c r="F32" s="180">
        <v>4460</v>
      </c>
      <c r="G32" s="235">
        <v>1.0169999999999999</v>
      </c>
      <c r="H32" s="24"/>
      <c r="I32" s="231"/>
      <c r="J32" s="188" t="s">
        <v>52</v>
      </c>
      <c r="K32" s="20"/>
    </row>
    <row r="33" spans="1:12" ht="15.75" thickBot="1" x14ac:dyDescent="0.3">
      <c r="A33" s="229">
        <v>4</v>
      </c>
      <c r="B33" s="103">
        <v>6</v>
      </c>
      <c r="C33" s="103">
        <v>0.91</v>
      </c>
      <c r="D33" s="103">
        <v>21970</v>
      </c>
      <c r="E33" s="103">
        <v>25760</v>
      </c>
      <c r="F33" s="192">
        <v>3790</v>
      </c>
      <c r="G33" s="236" t="s">
        <v>849</v>
      </c>
      <c r="H33" s="103"/>
      <c r="I33" s="232"/>
      <c r="J33" s="239" t="s">
        <v>97</v>
      </c>
      <c r="K33" s="20"/>
    </row>
    <row r="34" spans="1:12" x14ac:dyDescent="0.25">
      <c r="D34" s="20"/>
      <c r="E34" s="20"/>
      <c r="F34" s="245"/>
      <c r="G34" s="247"/>
      <c r="H34" s="20"/>
      <c r="I34" s="20"/>
      <c r="K34" s="20"/>
    </row>
    <row r="35" spans="1:12" x14ac:dyDescent="0.25">
      <c r="B35" s="121"/>
      <c r="C35" s="241" t="s">
        <v>840</v>
      </c>
      <c r="D35" s="242"/>
      <c r="E35" s="242"/>
      <c r="F35" s="20"/>
      <c r="H35" s="20"/>
      <c r="I35" s="20"/>
    </row>
    <row r="36" spans="1:12" ht="15.75" thickBot="1" x14ac:dyDescent="0.3">
      <c r="B36" s="121"/>
      <c r="C36" s="121" t="s">
        <v>6</v>
      </c>
      <c r="D36" s="243"/>
      <c r="E36" s="243"/>
      <c r="F36" s="242"/>
      <c r="G36" s="244" t="s">
        <v>6</v>
      </c>
      <c r="H36" s="20"/>
      <c r="I36" s="20"/>
      <c r="K36" s="20"/>
    </row>
    <row r="37" spans="1:12" x14ac:dyDescent="0.25">
      <c r="A37" s="194" t="s">
        <v>749</v>
      </c>
      <c r="B37" s="185" t="s">
        <v>42</v>
      </c>
      <c r="C37" s="185" t="s">
        <v>838</v>
      </c>
      <c r="D37" s="186" t="s">
        <v>833</v>
      </c>
      <c r="E37" s="186" t="s">
        <v>834</v>
      </c>
      <c r="F37" s="227" t="s">
        <v>835</v>
      </c>
      <c r="G37" s="233" t="s">
        <v>839</v>
      </c>
      <c r="H37" s="101" t="s">
        <v>836</v>
      </c>
      <c r="I37" s="101" t="s">
        <v>841</v>
      </c>
      <c r="J37" s="240" t="s">
        <v>634</v>
      </c>
      <c r="K37" s="101" t="s">
        <v>850</v>
      </c>
      <c r="L37" s="196" t="s">
        <v>852</v>
      </c>
    </row>
    <row r="38" spans="1:12" x14ac:dyDescent="0.25">
      <c r="A38" s="190">
        <v>1</v>
      </c>
      <c r="B38" s="24">
        <v>1</v>
      </c>
      <c r="C38" s="24">
        <v>0.84799999999999998</v>
      </c>
      <c r="D38" s="91">
        <v>0</v>
      </c>
      <c r="E38" s="91">
        <v>4130</v>
      </c>
      <c r="F38" s="181">
        <v>4130</v>
      </c>
      <c r="G38" s="234">
        <v>1.034</v>
      </c>
      <c r="H38" s="24"/>
      <c r="I38" s="24"/>
      <c r="J38" s="91" t="s">
        <v>52</v>
      </c>
      <c r="K38" s="24"/>
      <c r="L38" s="189"/>
    </row>
    <row r="39" spans="1:12" x14ac:dyDescent="0.25">
      <c r="A39" s="190">
        <v>1</v>
      </c>
      <c r="B39" s="24">
        <v>2</v>
      </c>
      <c r="C39" s="24">
        <v>0.84799999999999998</v>
      </c>
      <c r="D39" s="24">
        <v>4130</v>
      </c>
      <c r="E39" s="24">
        <v>8250</v>
      </c>
      <c r="F39" s="180">
        <v>4120</v>
      </c>
      <c r="G39" s="235">
        <v>1.0149999999999999</v>
      </c>
      <c r="H39" s="24"/>
      <c r="I39" s="24"/>
      <c r="J39" s="24" t="s">
        <v>52</v>
      </c>
      <c r="K39" s="24" t="s">
        <v>851</v>
      </c>
      <c r="L39" s="189" t="s">
        <v>856</v>
      </c>
    </row>
    <row r="40" spans="1:12" x14ac:dyDescent="0.25">
      <c r="A40" s="190">
        <v>1</v>
      </c>
      <c r="B40" s="24">
        <v>3</v>
      </c>
      <c r="C40" s="24">
        <v>0.84799999999999998</v>
      </c>
      <c r="D40" s="24">
        <v>8250</v>
      </c>
      <c r="E40" s="24">
        <v>12330</v>
      </c>
      <c r="F40" s="180">
        <v>4080</v>
      </c>
      <c r="G40" s="235">
        <v>1.032</v>
      </c>
      <c r="H40" s="24" t="s">
        <v>52</v>
      </c>
      <c r="I40" s="24">
        <v>44.1</v>
      </c>
      <c r="J40" s="91" t="s">
        <v>52</v>
      </c>
      <c r="K40" s="24"/>
      <c r="L40" s="189"/>
    </row>
    <row r="41" spans="1:12" x14ac:dyDescent="0.25">
      <c r="A41" s="190">
        <v>1</v>
      </c>
      <c r="B41" s="24">
        <v>4</v>
      </c>
      <c r="C41" s="24">
        <v>0.84799999999999998</v>
      </c>
      <c r="D41" s="24">
        <v>12330</v>
      </c>
      <c r="E41" s="24">
        <v>16490</v>
      </c>
      <c r="F41" s="180">
        <v>4160</v>
      </c>
      <c r="G41" s="235">
        <v>1.004</v>
      </c>
      <c r="H41" s="24"/>
      <c r="I41" s="24"/>
      <c r="J41" s="91" t="s">
        <v>52</v>
      </c>
      <c r="K41" s="24"/>
      <c r="L41" s="189"/>
    </row>
    <row r="42" spans="1:12" x14ac:dyDescent="0.25">
      <c r="A42" s="190">
        <v>1</v>
      </c>
      <c r="B42" s="24">
        <v>5</v>
      </c>
      <c r="C42" s="24">
        <v>0.84799999999999998</v>
      </c>
      <c r="D42" s="24">
        <v>16490</v>
      </c>
      <c r="E42" s="24">
        <v>20690</v>
      </c>
      <c r="F42" s="180">
        <v>4200</v>
      </c>
      <c r="G42" s="235">
        <v>1.02</v>
      </c>
      <c r="H42" s="24"/>
      <c r="I42" s="24"/>
      <c r="J42" s="91" t="s">
        <v>52</v>
      </c>
      <c r="K42" s="24"/>
      <c r="L42" s="189"/>
    </row>
    <row r="43" spans="1:12" ht="15.75" thickBot="1" x14ac:dyDescent="0.3">
      <c r="A43" s="229">
        <v>1</v>
      </c>
      <c r="B43" s="103">
        <v>6</v>
      </c>
      <c r="C43" s="103">
        <v>0.84799999999999998</v>
      </c>
      <c r="D43" s="103">
        <v>20690</v>
      </c>
      <c r="E43" s="103">
        <v>25010</v>
      </c>
      <c r="F43" s="192">
        <v>4320</v>
      </c>
      <c r="G43" s="236">
        <v>1.008</v>
      </c>
      <c r="H43" s="103"/>
      <c r="I43" s="103"/>
      <c r="J43" s="198" t="s">
        <v>52</v>
      </c>
      <c r="K43" s="103"/>
      <c r="L43" s="193"/>
    </row>
    <row r="44" spans="1:12" ht="15.75" thickBot="1" x14ac:dyDescent="0.3">
      <c r="C44" s="121" t="s">
        <v>6</v>
      </c>
      <c r="D44" s="20"/>
      <c r="E44" s="20"/>
      <c r="F44" s="245"/>
      <c r="G44" s="246" t="s">
        <v>6</v>
      </c>
      <c r="H44" s="20"/>
      <c r="I44" s="20"/>
      <c r="J44"/>
      <c r="K44" s="20"/>
    </row>
    <row r="45" spans="1:12" x14ac:dyDescent="0.25">
      <c r="A45" s="194" t="s">
        <v>749</v>
      </c>
      <c r="B45" s="185" t="s">
        <v>42</v>
      </c>
      <c r="C45" s="185" t="s">
        <v>838</v>
      </c>
      <c r="D45" s="186" t="s">
        <v>833</v>
      </c>
      <c r="E45" s="186" t="s">
        <v>834</v>
      </c>
      <c r="F45" s="227" t="s">
        <v>835</v>
      </c>
      <c r="G45" s="233" t="s">
        <v>839</v>
      </c>
      <c r="H45" s="101" t="s">
        <v>836</v>
      </c>
      <c r="I45" s="101" t="s">
        <v>841</v>
      </c>
      <c r="J45" s="240" t="s">
        <v>634</v>
      </c>
      <c r="K45" s="101" t="s">
        <v>850</v>
      </c>
      <c r="L45" s="196" t="s">
        <v>852</v>
      </c>
    </row>
    <row r="46" spans="1:12" x14ac:dyDescent="0.25">
      <c r="A46" s="190">
        <v>2</v>
      </c>
      <c r="B46" s="24">
        <v>1</v>
      </c>
      <c r="C46" s="24">
        <v>0.84699999999999998</v>
      </c>
      <c r="D46" s="24">
        <v>0</v>
      </c>
      <c r="E46" s="24">
        <v>4273</v>
      </c>
      <c r="F46" s="24">
        <f t="shared" ref="F46:F51" si="0">E46-D46</f>
        <v>4273</v>
      </c>
      <c r="G46" s="24">
        <v>1.0129999999999999</v>
      </c>
      <c r="H46" s="24"/>
      <c r="I46" s="24"/>
      <c r="J46" s="91" t="s">
        <v>52</v>
      </c>
      <c r="K46" s="24"/>
      <c r="L46" s="189"/>
    </row>
    <row r="47" spans="1:12" x14ac:dyDescent="0.25">
      <c r="A47" s="190">
        <v>2</v>
      </c>
      <c r="B47" s="24">
        <v>2</v>
      </c>
      <c r="C47" s="24">
        <v>0.84699999999999998</v>
      </c>
      <c r="D47" s="24">
        <v>4273</v>
      </c>
      <c r="E47" s="24">
        <v>8290</v>
      </c>
      <c r="F47" s="24">
        <f t="shared" si="0"/>
        <v>4017</v>
      </c>
      <c r="G47" s="24">
        <v>1.0349999999999999</v>
      </c>
      <c r="H47" s="24"/>
      <c r="I47" s="24"/>
      <c r="J47" s="24" t="s">
        <v>52</v>
      </c>
      <c r="K47" s="24"/>
      <c r="L47" s="189"/>
    </row>
    <row r="48" spans="1:12" x14ac:dyDescent="0.25">
      <c r="A48" s="190">
        <v>2</v>
      </c>
      <c r="B48" s="24">
        <v>3</v>
      </c>
      <c r="C48" s="24">
        <v>0.84699999999999998</v>
      </c>
      <c r="D48" s="24">
        <v>8290</v>
      </c>
      <c r="E48" s="24">
        <v>12440</v>
      </c>
      <c r="F48" s="24">
        <f t="shared" si="0"/>
        <v>4150</v>
      </c>
      <c r="G48" s="24">
        <v>1.008</v>
      </c>
      <c r="H48" s="24" t="s">
        <v>52</v>
      </c>
      <c r="I48" s="24" t="s">
        <v>860</v>
      </c>
      <c r="J48" s="91" t="s">
        <v>52</v>
      </c>
      <c r="K48" s="24" t="s">
        <v>861</v>
      </c>
      <c r="L48" s="189" t="s">
        <v>862</v>
      </c>
    </row>
    <row r="49" spans="1:12" x14ac:dyDescent="0.25">
      <c r="A49" s="190">
        <v>2</v>
      </c>
      <c r="B49" s="24">
        <v>4</v>
      </c>
      <c r="C49" s="24">
        <v>0.84699999999999998</v>
      </c>
      <c r="D49" s="24">
        <v>12440</v>
      </c>
      <c r="E49" s="24">
        <v>16600</v>
      </c>
      <c r="F49" s="24">
        <f t="shared" si="0"/>
        <v>4160</v>
      </c>
      <c r="G49" s="24">
        <v>1.0369999999999999</v>
      </c>
      <c r="H49" s="24"/>
      <c r="I49" s="24"/>
      <c r="J49" s="91" t="s">
        <v>52</v>
      </c>
      <c r="K49" s="24"/>
      <c r="L49" s="189"/>
    </row>
    <row r="50" spans="1:12" x14ac:dyDescent="0.25">
      <c r="A50" s="190">
        <v>2</v>
      </c>
      <c r="B50" s="24">
        <v>5</v>
      </c>
      <c r="C50" s="24">
        <v>0.84699999999999998</v>
      </c>
      <c r="D50" s="24">
        <v>16600</v>
      </c>
      <c r="E50" s="24">
        <v>20780</v>
      </c>
      <c r="F50" s="24">
        <f t="shared" si="0"/>
        <v>4180</v>
      </c>
      <c r="G50" s="24">
        <v>1.0069999999999999</v>
      </c>
      <c r="H50" s="24"/>
      <c r="I50" s="24"/>
      <c r="J50" s="91" t="s">
        <v>52</v>
      </c>
      <c r="K50" s="24"/>
      <c r="L50" s="189"/>
    </row>
    <row r="51" spans="1:12" ht="15.75" thickBot="1" x14ac:dyDescent="0.3">
      <c r="A51" s="229">
        <v>2</v>
      </c>
      <c r="B51" s="103">
        <v>6</v>
      </c>
      <c r="C51" s="103">
        <v>0.84699999999999998</v>
      </c>
      <c r="D51" s="103">
        <v>20780</v>
      </c>
      <c r="E51" s="103">
        <v>25120</v>
      </c>
      <c r="F51" s="103">
        <f t="shared" si="0"/>
        <v>4340</v>
      </c>
      <c r="G51" s="103">
        <v>0.99399999999999999</v>
      </c>
      <c r="H51" s="103"/>
      <c r="I51" s="103"/>
      <c r="J51" s="198" t="s">
        <v>52</v>
      </c>
      <c r="K51" s="103"/>
      <c r="L51" s="193"/>
    </row>
    <row r="52" spans="1:12" ht="15.75" thickBot="1" x14ac:dyDescent="0.3">
      <c r="C52" s="121" t="s">
        <v>6</v>
      </c>
      <c r="D52" s="20"/>
      <c r="E52" s="20"/>
      <c r="F52" s="245"/>
      <c r="G52" s="246" t="s">
        <v>6</v>
      </c>
      <c r="H52" s="20"/>
      <c r="I52" s="20"/>
      <c r="J52"/>
    </row>
    <row r="53" spans="1:12" x14ac:dyDescent="0.25">
      <c r="A53" s="194" t="s">
        <v>749</v>
      </c>
      <c r="B53" s="185" t="s">
        <v>42</v>
      </c>
      <c r="C53" s="185" t="s">
        <v>838</v>
      </c>
      <c r="D53" s="186" t="s">
        <v>833</v>
      </c>
      <c r="E53" s="186" t="s">
        <v>834</v>
      </c>
      <c r="F53" s="227" t="s">
        <v>835</v>
      </c>
      <c r="G53" s="233" t="s">
        <v>839</v>
      </c>
      <c r="H53" s="101" t="s">
        <v>836</v>
      </c>
      <c r="I53" s="101" t="s">
        <v>841</v>
      </c>
      <c r="J53" s="240" t="s">
        <v>634</v>
      </c>
      <c r="K53" s="101" t="s">
        <v>850</v>
      </c>
      <c r="L53" s="196" t="s">
        <v>852</v>
      </c>
    </row>
    <row r="54" spans="1:12" x14ac:dyDescent="0.25">
      <c r="A54" s="190">
        <v>3</v>
      </c>
      <c r="B54" s="24">
        <v>1</v>
      </c>
      <c r="C54" s="24">
        <v>0.86</v>
      </c>
      <c r="D54" s="91">
        <v>0</v>
      </c>
      <c r="E54" s="91">
        <v>4273</v>
      </c>
      <c r="F54" s="181">
        <v>4273</v>
      </c>
      <c r="G54" s="234">
        <v>1.008</v>
      </c>
      <c r="H54" s="24"/>
      <c r="I54" s="24"/>
      <c r="J54" s="91" t="s">
        <v>52</v>
      </c>
      <c r="K54" s="24"/>
      <c r="L54" s="189"/>
    </row>
    <row r="55" spans="1:12" x14ac:dyDescent="0.25">
      <c r="A55" s="190">
        <v>3</v>
      </c>
      <c r="B55" s="24">
        <v>2</v>
      </c>
      <c r="C55" s="24">
        <v>0.86</v>
      </c>
      <c r="D55" s="24">
        <v>4273</v>
      </c>
      <c r="E55" s="24">
        <v>8290</v>
      </c>
      <c r="F55" s="180">
        <v>4017</v>
      </c>
      <c r="G55" s="235">
        <v>1.0489999999999999</v>
      </c>
      <c r="H55" s="24"/>
      <c r="I55" s="24"/>
      <c r="J55" s="24" t="s">
        <v>52</v>
      </c>
      <c r="K55" s="24"/>
      <c r="L55" s="189"/>
    </row>
    <row r="56" spans="1:12" x14ac:dyDescent="0.25">
      <c r="A56" s="190">
        <v>3</v>
      </c>
      <c r="B56" s="24">
        <v>3</v>
      </c>
      <c r="C56" s="24">
        <v>0.86</v>
      </c>
      <c r="D56" s="24">
        <v>8290</v>
      </c>
      <c r="E56" s="24">
        <v>12440</v>
      </c>
      <c r="F56" s="180">
        <v>4150</v>
      </c>
      <c r="G56" s="235">
        <v>1.038</v>
      </c>
      <c r="H56" s="24" t="s">
        <v>52</v>
      </c>
      <c r="I56" s="24" t="s">
        <v>853</v>
      </c>
      <c r="J56" s="91" t="s">
        <v>52</v>
      </c>
      <c r="K56" s="24"/>
      <c r="L56" s="189"/>
    </row>
    <row r="57" spans="1:12" x14ac:dyDescent="0.25">
      <c r="A57" s="190">
        <v>3</v>
      </c>
      <c r="B57" s="24">
        <v>4</v>
      </c>
      <c r="C57" s="24">
        <v>0.86</v>
      </c>
      <c r="D57" s="24">
        <v>12440</v>
      </c>
      <c r="E57" s="24">
        <v>16600</v>
      </c>
      <c r="F57" s="180">
        <v>4160</v>
      </c>
      <c r="G57" s="235">
        <v>1.0249999999999999</v>
      </c>
      <c r="H57" s="24"/>
      <c r="I57" s="24"/>
      <c r="J57" s="91" t="s">
        <v>52</v>
      </c>
      <c r="K57" s="24"/>
      <c r="L57" s="189"/>
    </row>
    <row r="58" spans="1:12" x14ac:dyDescent="0.25">
      <c r="A58" s="190">
        <v>3</v>
      </c>
      <c r="B58" s="24">
        <v>5</v>
      </c>
      <c r="C58" s="24">
        <v>0.86</v>
      </c>
      <c r="D58" s="24">
        <v>16600</v>
      </c>
      <c r="E58" s="24">
        <v>20780</v>
      </c>
      <c r="F58" s="180">
        <v>4180</v>
      </c>
      <c r="G58" s="235">
        <v>1.028</v>
      </c>
      <c r="H58" s="24"/>
      <c r="I58" s="24"/>
      <c r="J58" s="91" t="s">
        <v>52</v>
      </c>
      <c r="K58" s="24"/>
      <c r="L58" s="189"/>
    </row>
    <row r="59" spans="1:12" ht="15.75" thickBot="1" x14ac:dyDescent="0.3">
      <c r="A59" s="229">
        <v>3</v>
      </c>
      <c r="B59" s="103">
        <v>6</v>
      </c>
      <c r="C59" s="24">
        <v>0.86</v>
      </c>
      <c r="D59" s="103">
        <v>20780</v>
      </c>
      <c r="E59" s="103">
        <v>25120</v>
      </c>
      <c r="F59" s="192">
        <v>4340</v>
      </c>
      <c r="G59" s="236">
        <v>1.0249999999999999</v>
      </c>
      <c r="H59" s="103"/>
      <c r="I59" s="103"/>
      <c r="J59" s="198" t="s">
        <v>52</v>
      </c>
      <c r="K59" s="103" t="s">
        <v>855</v>
      </c>
      <c r="L59" s="193" t="s">
        <v>857</v>
      </c>
    </row>
    <row r="60" spans="1:12" ht="15.75" thickBot="1" x14ac:dyDescent="0.3">
      <c r="C60" s="121" t="s">
        <v>6</v>
      </c>
      <c r="D60" s="20"/>
      <c r="E60" s="20"/>
      <c r="F60" s="245"/>
      <c r="G60" s="246" t="s">
        <v>6</v>
      </c>
      <c r="H60" s="20"/>
      <c r="I60" s="20"/>
      <c r="J60"/>
    </row>
    <row r="61" spans="1:12" x14ac:dyDescent="0.25">
      <c r="A61" s="194" t="s">
        <v>749</v>
      </c>
      <c r="B61" s="185" t="s">
        <v>42</v>
      </c>
      <c r="C61" s="185" t="s">
        <v>838</v>
      </c>
      <c r="D61" s="186" t="s">
        <v>833</v>
      </c>
      <c r="E61" s="186" t="s">
        <v>834</v>
      </c>
      <c r="F61" s="227" t="s">
        <v>835</v>
      </c>
      <c r="G61" s="233" t="s">
        <v>839</v>
      </c>
      <c r="H61" s="101" t="s">
        <v>836</v>
      </c>
      <c r="I61" s="101" t="s">
        <v>841</v>
      </c>
      <c r="J61" s="240" t="s">
        <v>634</v>
      </c>
      <c r="K61" s="101" t="s">
        <v>850</v>
      </c>
      <c r="L61" s="196" t="s">
        <v>852</v>
      </c>
    </row>
    <row r="62" spans="1:12" x14ac:dyDescent="0.25">
      <c r="A62" s="190">
        <v>4</v>
      </c>
      <c r="B62" s="24">
        <v>1</v>
      </c>
      <c r="C62" s="24">
        <v>0.85299999999999998</v>
      </c>
      <c r="D62" s="24">
        <v>0</v>
      </c>
      <c r="E62" s="91">
        <v>4255</v>
      </c>
      <c r="F62" s="181">
        <v>4255</v>
      </c>
      <c r="G62" s="234">
        <v>0.998</v>
      </c>
      <c r="H62" s="24"/>
      <c r="I62" s="24"/>
      <c r="J62" s="91" t="s">
        <v>52</v>
      </c>
      <c r="K62" s="24"/>
      <c r="L62" s="189"/>
    </row>
    <row r="63" spans="1:12" x14ac:dyDescent="0.25">
      <c r="A63" s="190">
        <v>4</v>
      </c>
      <c r="B63" s="24">
        <v>2</v>
      </c>
      <c r="C63" s="24">
        <v>0.85299999999999998</v>
      </c>
      <c r="D63" s="24">
        <v>4255</v>
      </c>
      <c r="E63" s="24">
        <v>8330</v>
      </c>
      <c r="F63" s="180">
        <v>4075</v>
      </c>
      <c r="G63" s="235">
        <v>1.0349999999999999</v>
      </c>
      <c r="H63" s="24"/>
      <c r="I63" s="24"/>
      <c r="J63" s="24" t="s">
        <v>52</v>
      </c>
      <c r="K63" s="24"/>
      <c r="L63" s="189"/>
    </row>
    <row r="64" spans="1:12" x14ac:dyDescent="0.25">
      <c r="A64" s="190">
        <v>4</v>
      </c>
      <c r="B64" s="24">
        <v>3</v>
      </c>
      <c r="C64" s="24">
        <v>0.85299999999999998</v>
      </c>
      <c r="D64" s="24">
        <v>8330</v>
      </c>
      <c r="E64" s="24">
        <v>12380</v>
      </c>
      <c r="F64" s="180">
        <v>4055</v>
      </c>
      <c r="G64" s="235">
        <v>1.0489999999999999</v>
      </c>
      <c r="H64" s="24" t="s">
        <v>52</v>
      </c>
      <c r="I64" s="24" t="s">
        <v>854</v>
      </c>
      <c r="J64" s="91" t="s">
        <v>52</v>
      </c>
      <c r="K64" s="24"/>
      <c r="L64" s="189"/>
    </row>
    <row r="65" spans="1:12" x14ac:dyDescent="0.25">
      <c r="A65" s="190">
        <v>4</v>
      </c>
      <c r="B65" s="24">
        <v>4</v>
      </c>
      <c r="C65" s="24">
        <v>0.85299999999999998</v>
      </c>
      <c r="D65" s="24">
        <v>12380</v>
      </c>
      <c r="E65" s="24">
        <v>16570</v>
      </c>
      <c r="F65" s="180">
        <v>4190</v>
      </c>
      <c r="G65" s="235">
        <v>1.018</v>
      </c>
      <c r="H65" s="24"/>
      <c r="I65" s="24"/>
      <c r="J65" s="91" t="s">
        <v>52</v>
      </c>
      <c r="K65" s="24"/>
      <c r="L65" s="189"/>
    </row>
    <row r="66" spans="1:12" x14ac:dyDescent="0.25">
      <c r="A66" s="190">
        <v>4</v>
      </c>
      <c r="B66" s="24">
        <v>5</v>
      </c>
      <c r="C66" s="24">
        <v>0.85299999999999998</v>
      </c>
      <c r="D66" s="24">
        <v>16570</v>
      </c>
      <c r="E66" s="24">
        <v>20810</v>
      </c>
      <c r="F66" s="180">
        <v>4240</v>
      </c>
      <c r="G66" s="235">
        <v>1.016</v>
      </c>
      <c r="H66" s="24"/>
      <c r="I66" s="24"/>
      <c r="J66" s="91" t="s">
        <v>52</v>
      </c>
      <c r="K66" s="24"/>
      <c r="L66" s="189"/>
    </row>
    <row r="67" spans="1:12" ht="15.75" thickBot="1" x14ac:dyDescent="0.3">
      <c r="A67" s="229">
        <v>4</v>
      </c>
      <c r="B67" s="103">
        <v>6</v>
      </c>
      <c r="C67" s="24">
        <v>0.85299999999999998</v>
      </c>
      <c r="D67" s="103">
        <v>20810</v>
      </c>
      <c r="E67" s="103">
        <v>25110</v>
      </c>
      <c r="F67" s="192">
        <v>4300</v>
      </c>
      <c r="G67" s="236">
        <v>1.0249999999999999</v>
      </c>
      <c r="H67" s="103"/>
      <c r="I67" s="103"/>
      <c r="J67" s="198" t="s">
        <v>52</v>
      </c>
      <c r="K67" s="103" t="s">
        <v>858</v>
      </c>
      <c r="L67" s="193" t="s">
        <v>859</v>
      </c>
    </row>
    <row r="68" spans="1:12" x14ac:dyDescent="0.25">
      <c r="A68"/>
      <c r="B68"/>
      <c r="C68"/>
      <c r="D68"/>
      <c r="E68"/>
      <c r="F68"/>
      <c r="G68" s="237"/>
      <c r="H68"/>
      <c r="I68"/>
      <c r="J68"/>
    </row>
    <row r="69" spans="1:12" x14ac:dyDescent="0.25">
      <c r="A69"/>
      <c r="B69"/>
      <c r="C69"/>
      <c r="D69"/>
      <c r="E69"/>
      <c r="F69"/>
      <c r="G69" s="237"/>
      <c r="H69"/>
      <c r="I69"/>
      <c r="J69"/>
    </row>
    <row r="70" spans="1:12" x14ac:dyDescent="0.25">
      <c r="A70"/>
      <c r="B70"/>
      <c r="C70"/>
      <c r="D70"/>
      <c r="E70"/>
      <c r="F70"/>
      <c r="G70" s="237"/>
      <c r="H70"/>
      <c r="I70"/>
      <c r="J70"/>
    </row>
    <row r="71" spans="1:12" x14ac:dyDescent="0.25">
      <c r="A71"/>
      <c r="B71"/>
      <c r="C71"/>
      <c r="D71"/>
      <c r="E71"/>
      <c r="F71"/>
      <c r="G71" s="237"/>
      <c r="H71"/>
      <c r="I71"/>
      <c r="J71"/>
    </row>
    <row r="72" spans="1:12" x14ac:dyDescent="0.25">
      <c r="A72"/>
      <c r="B72"/>
      <c r="C72"/>
      <c r="D72"/>
      <c r="E72"/>
      <c r="F72"/>
      <c r="G72" s="237"/>
      <c r="H72"/>
      <c r="I72"/>
      <c r="J72"/>
    </row>
    <row r="73" spans="1:12" x14ac:dyDescent="0.25">
      <c r="A73"/>
      <c r="B73"/>
      <c r="C73"/>
      <c r="D73"/>
      <c r="E73"/>
      <c r="F73"/>
      <c r="G73" s="237"/>
      <c r="H73"/>
      <c r="I73"/>
      <c r="J73"/>
    </row>
    <row r="74" spans="1:12" x14ac:dyDescent="0.25">
      <c r="A74"/>
      <c r="B74"/>
      <c r="C74"/>
      <c r="D74"/>
      <c r="E74"/>
      <c r="F74"/>
      <c r="G74" s="237"/>
      <c r="H74"/>
      <c r="I74"/>
      <c r="J74"/>
    </row>
    <row r="75" spans="1:12" x14ac:dyDescent="0.25">
      <c r="A75"/>
      <c r="B75"/>
      <c r="C75"/>
      <c r="D75"/>
      <c r="E75"/>
      <c r="F75"/>
      <c r="G75" s="237"/>
      <c r="H75"/>
      <c r="I75"/>
      <c r="J75"/>
    </row>
    <row r="76" spans="1:12" x14ac:dyDescent="0.25">
      <c r="A76"/>
      <c r="B76"/>
      <c r="C76"/>
      <c r="D76"/>
      <c r="E76"/>
      <c r="F76"/>
      <c r="G76" s="237"/>
      <c r="H76"/>
      <c r="I76"/>
      <c r="J76"/>
    </row>
    <row r="77" spans="1:12" x14ac:dyDescent="0.25">
      <c r="A77"/>
      <c r="B77"/>
      <c r="C77"/>
      <c r="D77"/>
      <c r="E77"/>
      <c r="F77"/>
      <c r="G77" s="237"/>
      <c r="H77"/>
      <c r="I77"/>
      <c r="J77"/>
    </row>
    <row r="78" spans="1:12" x14ac:dyDescent="0.25">
      <c r="A78"/>
      <c r="B78"/>
      <c r="C78"/>
      <c r="D78"/>
      <c r="E78"/>
      <c r="F78"/>
      <c r="G78" s="237"/>
      <c r="H78"/>
      <c r="I78"/>
      <c r="J78"/>
    </row>
    <row r="79" spans="1:12" x14ac:dyDescent="0.25">
      <c r="A79"/>
      <c r="B79"/>
      <c r="C79"/>
      <c r="D79"/>
      <c r="E79"/>
      <c r="F79"/>
      <c r="G79" s="237"/>
      <c r="H79"/>
      <c r="I79"/>
      <c r="J79"/>
    </row>
    <row r="80" spans="1:12" x14ac:dyDescent="0.25">
      <c r="A80"/>
      <c r="B80"/>
      <c r="C80"/>
      <c r="D80"/>
      <c r="E80"/>
      <c r="F80"/>
      <c r="G80" s="237"/>
      <c r="H80"/>
      <c r="I80"/>
      <c r="J80"/>
    </row>
    <row r="81" spans="1:10" x14ac:dyDescent="0.25">
      <c r="A81"/>
      <c r="B81"/>
      <c r="C81"/>
      <c r="D81"/>
      <c r="E81"/>
      <c r="F81"/>
      <c r="G81" s="237"/>
      <c r="H81"/>
      <c r="I81"/>
      <c r="J81"/>
    </row>
    <row r="82" spans="1:10" x14ac:dyDescent="0.25">
      <c r="A82"/>
      <c r="B82"/>
      <c r="C82"/>
      <c r="D82"/>
      <c r="E82"/>
      <c r="F82"/>
      <c r="G82" s="237"/>
      <c r="H82"/>
      <c r="I82"/>
      <c r="J82"/>
    </row>
    <row r="83" spans="1:10" x14ac:dyDescent="0.25">
      <c r="A83"/>
      <c r="B83"/>
      <c r="C83"/>
      <c r="D83"/>
      <c r="E83"/>
      <c r="F83"/>
      <c r="G83" s="237"/>
      <c r="H83"/>
      <c r="I83"/>
      <c r="J83"/>
    </row>
    <row r="84" spans="1:10" x14ac:dyDescent="0.25">
      <c r="A84"/>
      <c r="B84"/>
      <c r="C84"/>
      <c r="D84"/>
      <c r="E84"/>
      <c r="F84"/>
      <c r="G84" s="237"/>
      <c r="H84"/>
      <c r="I84"/>
      <c r="J84"/>
    </row>
    <row r="85" spans="1:10" x14ac:dyDescent="0.25">
      <c r="A85"/>
      <c r="B85"/>
      <c r="C85"/>
      <c r="D85"/>
      <c r="E85"/>
      <c r="F85"/>
      <c r="G85" s="237"/>
      <c r="H85"/>
      <c r="I85"/>
      <c r="J85"/>
    </row>
    <row r="86" spans="1:10" x14ac:dyDescent="0.25">
      <c r="A86"/>
      <c r="B86"/>
      <c r="C86"/>
      <c r="D86"/>
      <c r="E86"/>
      <c r="F86"/>
      <c r="G86" s="237"/>
      <c r="H86"/>
      <c r="I86"/>
      <c r="J86"/>
    </row>
    <row r="87" spans="1:10" x14ac:dyDescent="0.25">
      <c r="A87"/>
      <c r="B87"/>
      <c r="C87"/>
      <c r="D87"/>
      <c r="E87"/>
      <c r="F87"/>
      <c r="G87" s="237"/>
      <c r="H87"/>
      <c r="I87"/>
      <c r="J87"/>
    </row>
    <row r="88" spans="1:10" x14ac:dyDescent="0.25">
      <c r="A88"/>
      <c r="B88"/>
      <c r="C88"/>
      <c r="D88"/>
      <c r="E88"/>
      <c r="F88"/>
      <c r="G88" s="237"/>
      <c r="H88"/>
      <c r="I88"/>
      <c r="J88"/>
    </row>
    <row r="89" spans="1:10" x14ac:dyDescent="0.25">
      <c r="A89"/>
      <c r="B89"/>
      <c r="C89"/>
      <c r="D89"/>
      <c r="E89"/>
      <c r="F89"/>
      <c r="G89" s="237"/>
      <c r="H89"/>
      <c r="I89"/>
      <c r="J89"/>
    </row>
    <row r="90" spans="1:10" x14ac:dyDescent="0.25">
      <c r="A90"/>
      <c r="B90"/>
      <c r="C90"/>
      <c r="D90"/>
      <c r="E90"/>
      <c r="F90"/>
      <c r="G90" s="237"/>
      <c r="H90"/>
      <c r="I90"/>
      <c r="J90"/>
    </row>
    <row r="91" spans="1:10" x14ac:dyDescent="0.25">
      <c r="A91"/>
      <c r="B91"/>
      <c r="C91"/>
      <c r="D91"/>
      <c r="E91"/>
      <c r="F91"/>
      <c r="G91" s="237"/>
      <c r="H91"/>
      <c r="I91"/>
      <c r="J91"/>
    </row>
    <row r="92" spans="1:10" x14ac:dyDescent="0.25">
      <c r="A92"/>
      <c r="B92"/>
      <c r="C92"/>
      <c r="D92"/>
      <c r="E92"/>
      <c r="F92"/>
      <c r="G92" s="237"/>
      <c r="H92"/>
      <c r="I92"/>
      <c r="J92"/>
    </row>
    <row r="93" spans="1:10" x14ac:dyDescent="0.25">
      <c r="A93"/>
      <c r="B93"/>
      <c r="C93"/>
      <c r="D93"/>
      <c r="E93"/>
      <c r="F93"/>
      <c r="G93" s="237"/>
      <c r="H93"/>
      <c r="I93"/>
      <c r="J93"/>
    </row>
    <row r="94" spans="1:10" x14ac:dyDescent="0.25">
      <c r="A94"/>
      <c r="B94"/>
      <c r="C94"/>
      <c r="D94"/>
      <c r="E94"/>
      <c r="F94"/>
      <c r="G94" s="237"/>
      <c r="H94"/>
      <c r="I94"/>
      <c r="J94"/>
    </row>
    <row r="95" spans="1:10" x14ac:dyDescent="0.25">
      <c r="A95"/>
      <c r="B95"/>
      <c r="C95"/>
      <c r="D95"/>
      <c r="E95"/>
      <c r="F95"/>
      <c r="G95" s="237"/>
      <c r="H95"/>
      <c r="I95"/>
      <c r="J95"/>
    </row>
    <row r="96" spans="1:10" x14ac:dyDescent="0.25">
      <c r="A96"/>
      <c r="B96"/>
      <c r="C96"/>
      <c r="D96"/>
      <c r="E96"/>
      <c r="F96"/>
      <c r="G96" s="237"/>
      <c r="H96"/>
      <c r="I96"/>
      <c r="J96"/>
    </row>
    <row r="97" spans="1:10" x14ac:dyDescent="0.25">
      <c r="A97"/>
      <c r="B97"/>
      <c r="C97"/>
      <c r="D97"/>
      <c r="E97"/>
      <c r="F97"/>
      <c r="G97" s="237"/>
      <c r="H97"/>
      <c r="I97"/>
      <c r="J97"/>
    </row>
    <row r="98" spans="1:10" x14ac:dyDescent="0.25">
      <c r="A98"/>
      <c r="B98"/>
      <c r="C98"/>
      <c r="D98"/>
      <c r="E98"/>
      <c r="F98"/>
      <c r="G98" s="237"/>
      <c r="H98"/>
      <c r="I98"/>
      <c r="J98"/>
    </row>
    <row r="99" spans="1:10" x14ac:dyDescent="0.25">
      <c r="A99"/>
      <c r="B99"/>
      <c r="C99"/>
      <c r="D99"/>
      <c r="E99"/>
      <c r="F99"/>
      <c r="G99" s="237"/>
      <c r="H99"/>
      <c r="I99"/>
      <c r="J99"/>
    </row>
    <row r="100" spans="1:10" x14ac:dyDescent="0.25">
      <c r="A100"/>
      <c r="B100"/>
      <c r="C100"/>
      <c r="D100"/>
      <c r="E100"/>
      <c r="F100"/>
      <c r="G100" s="237"/>
      <c r="H100"/>
      <c r="I100"/>
      <c r="J100"/>
    </row>
    <row r="101" spans="1:10" x14ac:dyDescent="0.25">
      <c r="A101"/>
      <c r="B101"/>
      <c r="C101"/>
      <c r="D101"/>
      <c r="E101"/>
      <c r="F101"/>
      <c r="G101" s="237"/>
      <c r="H101"/>
      <c r="I101"/>
      <c r="J101"/>
    </row>
    <row r="102" spans="1:10" x14ac:dyDescent="0.25">
      <c r="A102"/>
      <c r="B102"/>
      <c r="C102"/>
      <c r="D102"/>
      <c r="E102"/>
      <c r="F102"/>
      <c r="G102" s="237"/>
      <c r="H102"/>
      <c r="I102"/>
      <c r="J102"/>
    </row>
    <row r="103" spans="1:10" x14ac:dyDescent="0.25">
      <c r="A103"/>
      <c r="B103"/>
      <c r="C103"/>
      <c r="D103"/>
      <c r="E103"/>
      <c r="F103"/>
      <c r="G103" s="237"/>
      <c r="H103"/>
      <c r="I103"/>
      <c r="J103"/>
    </row>
    <row r="104" spans="1:10" x14ac:dyDescent="0.25">
      <c r="A104"/>
      <c r="B104"/>
      <c r="C104"/>
      <c r="D104"/>
      <c r="E104"/>
      <c r="F104"/>
      <c r="G104" s="237"/>
      <c r="H104"/>
      <c r="I104"/>
      <c r="J104"/>
    </row>
    <row r="105" spans="1:10" x14ac:dyDescent="0.25">
      <c r="A105"/>
      <c r="B105"/>
      <c r="C105"/>
      <c r="D105"/>
      <c r="E105"/>
      <c r="F105"/>
      <c r="G105" s="237"/>
      <c r="H105"/>
      <c r="I105"/>
      <c r="J105"/>
    </row>
    <row r="106" spans="1:10" x14ac:dyDescent="0.25">
      <c r="A106"/>
      <c r="B106"/>
      <c r="C106"/>
      <c r="D106"/>
      <c r="E106"/>
      <c r="F106"/>
      <c r="G106" s="237"/>
      <c r="H106"/>
      <c r="I106"/>
      <c r="J106"/>
    </row>
    <row r="107" spans="1:10" x14ac:dyDescent="0.25">
      <c r="A107"/>
      <c r="B107"/>
      <c r="C107"/>
      <c r="D107"/>
      <c r="E107"/>
      <c r="F107"/>
      <c r="G107" s="237"/>
      <c r="H107"/>
      <c r="I107"/>
      <c r="J107"/>
    </row>
    <row r="108" spans="1:10" x14ac:dyDescent="0.25">
      <c r="A108"/>
      <c r="B108"/>
      <c r="C108"/>
      <c r="D108"/>
      <c r="E108"/>
      <c r="F108"/>
      <c r="G108" s="237"/>
      <c r="H108"/>
      <c r="I108"/>
      <c r="J108"/>
    </row>
    <row r="109" spans="1:10" x14ac:dyDescent="0.25">
      <c r="A109"/>
      <c r="B109"/>
      <c r="C109"/>
      <c r="D109"/>
      <c r="E109"/>
      <c r="F109"/>
      <c r="G109" s="237"/>
      <c r="H109"/>
      <c r="I109"/>
      <c r="J109"/>
    </row>
    <row r="110" spans="1:10" x14ac:dyDescent="0.25">
      <c r="A110"/>
      <c r="B110"/>
      <c r="C110"/>
      <c r="D110"/>
      <c r="E110"/>
      <c r="F110"/>
      <c r="G110" s="237"/>
      <c r="H110"/>
      <c r="I110"/>
      <c r="J110"/>
    </row>
    <row r="111" spans="1:10" x14ac:dyDescent="0.25">
      <c r="A111"/>
      <c r="B111"/>
      <c r="C111"/>
      <c r="D111"/>
      <c r="E111"/>
      <c r="F111"/>
      <c r="G111" s="237"/>
      <c r="H111"/>
      <c r="I111"/>
      <c r="J111"/>
    </row>
    <row r="112" spans="1:10" x14ac:dyDescent="0.25">
      <c r="A112"/>
      <c r="B112"/>
      <c r="C112"/>
      <c r="D112"/>
      <c r="E112"/>
      <c r="F112"/>
      <c r="G112" s="237"/>
      <c r="H112"/>
      <c r="I112"/>
      <c r="J112"/>
    </row>
    <row r="113" spans="1:10" x14ac:dyDescent="0.25">
      <c r="A113"/>
      <c r="B113"/>
      <c r="C113"/>
      <c r="D113"/>
      <c r="E113"/>
      <c r="F113"/>
      <c r="G113" s="237"/>
      <c r="H113"/>
      <c r="I113"/>
      <c r="J113"/>
    </row>
    <row r="114" spans="1:10" x14ac:dyDescent="0.25">
      <c r="A114"/>
      <c r="B114"/>
      <c r="C114"/>
      <c r="D114"/>
      <c r="E114"/>
      <c r="F114"/>
      <c r="G114" s="237"/>
      <c r="H114"/>
      <c r="I114"/>
      <c r="J114"/>
    </row>
    <row r="115" spans="1:10" x14ac:dyDescent="0.25">
      <c r="A115"/>
      <c r="B115"/>
      <c r="C115"/>
      <c r="D115"/>
      <c r="E115"/>
      <c r="F115"/>
      <c r="G115" s="237"/>
      <c r="H115"/>
      <c r="I115"/>
      <c r="J115"/>
    </row>
    <row r="116" spans="1:10" x14ac:dyDescent="0.25">
      <c r="A116"/>
      <c r="B116"/>
      <c r="C116"/>
      <c r="D116"/>
      <c r="E116"/>
      <c r="F116"/>
      <c r="G116" s="237"/>
      <c r="H116"/>
      <c r="I116"/>
      <c r="J116"/>
    </row>
    <row r="117" spans="1:10" x14ac:dyDescent="0.25">
      <c r="A117"/>
      <c r="B117"/>
      <c r="C117"/>
      <c r="D117"/>
      <c r="E117"/>
      <c r="F117"/>
      <c r="G117" s="237"/>
      <c r="H117"/>
      <c r="I117"/>
      <c r="J117"/>
    </row>
    <row r="118" spans="1:10" x14ac:dyDescent="0.25">
      <c r="A118"/>
      <c r="B118"/>
      <c r="C118"/>
      <c r="D118"/>
      <c r="E118"/>
      <c r="F118"/>
      <c r="G118" s="237"/>
      <c r="H118"/>
      <c r="I118"/>
      <c r="J118"/>
    </row>
    <row r="119" spans="1:10" x14ac:dyDescent="0.25">
      <c r="A119"/>
      <c r="B119"/>
      <c r="C119"/>
      <c r="D119"/>
      <c r="E119"/>
      <c r="F119"/>
      <c r="G119" s="237"/>
      <c r="H119"/>
      <c r="I119"/>
      <c r="J119"/>
    </row>
    <row r="120" spans="1:10" x14ac:dyDescent="0.25">
      <c r="A120"/>
      <c r="B120"/>
      <c r="C120"/>
      <c r="D120"/>
      <c r="E120"/>
      <c r="F120"/>
      <c r="G120" s="237"/>
      <c r="H120"/>
      <c r="I120"/>
      <c r="J120"/>
    </row>
    <row r="121" spans="1:10" x14ac:dyDescent="0.25">
      <c r="A121"/>
      <c r="B121"/>
      <c r="C121"/>
      <c r="D121"/>
      <c r="E121"/>
      <c r="F121"/>
      <c r="G121" s="237"/>
      <c r="H121"/>
      <c r="I121"/>
      <c r="J121"/>
    </row>
    <row r="122" spans="1:10" x14ac:dyDescent="0.25">
      <c r="A122"/>
      <c r="B122"/>
      <c r="C122"/>
      <c r="D122"/>
      <c r="E122"/>
      <c r="F122"/>
      <c r="G122" s="237"/>
      <c r="H122"/>
      <c r="I122"/>
      <c r="J122"/>
    </row>
    <row r="123" spans="1:10" x14ac:dyDescent="0.25">
      <c r="A123"/>
      <c r="B123"/>
      <c r="C123"/>
      <c r="D123"/>
      <c r="E123"/>
      <c r="F123"/>
      <c r="G123" s="237"/>
      <c r="H123"/>
      <c r="I123"/>
      <c r="J123"/>
    </row>
    <row r="124" spans="1:10" x14ac:dyDescent="0.25">
      <c r="A124"/>
      <c r="B124"/>
      <c r="C124"/>
      <c r="D124"/>
      <c r="E124"/>
      <c r="F124"/>
      <c r="G124" s="237"/>
      <c r="H124"/>
      <c r="I124"/>
      <c r="J124"/>
    </row>
    <row r="125" spans="1:10" x14ac:dyDescent="0.25">
      <c r="A125"/>
      <c r="B125"/>
      <c r="C125"/>
      <c r="D125"/>
      <c r="E125"/>
      <c r="F125"/>
      <c r="G125" s="237"/>
      <c r="H125"/>
      <c r="I125"/>
      <c r="J125"/>
    </row>
    <row r="126" spans="1:10" x14ac:dyDescent="0.25">
      <c r="A126"/>
      <c r="B126"/>
      <c r="C126"/>
      <c r="D126"/>
      <c r="E126"/>
      <c r="F126"/>
      <c r="G126" s="237"/>
      <c r="H126"/>
      <c r="I126"/>
      <c r="J126"/>
    </row>
    <row r="127" spans="1:10" x14ac:dyDescent="0.25">
      <c r="A127"/>
      <c r="B127"/>
      <c r="C127"/>
      <c r="D127"/>
      <c r="E127"/>
      <c r="F127"/>
      <c r="G127" s="237"/>
      <c r="H127"/>
      <c r="I127"/>
      <c r="J127"/>
    </row>
    <row r="128" spans="1:10" x14ac:dyDescent="0.25">
      <c r="A128"/>
      <c r="B128"/>
      <c r="C128"/>
      <c r="D128"/>
      <c r="E128"/>
      <c r="F128"/>
      <c r="G128" s="237"/>
      <c r="H128"/>
      <c r="I128"/>
      <c r="J128"/>
    </row>
    <row r="129" spans="1:10" x14ac:dyDescent="0.25">
      <c r="A129"/>
      <c r="B129"/>
      <c r="C129"/>
      <c r="D129"/>
      <c r="E129"/>
      <c r="F129"/>
      <c r="G129" s="237"/>
      <c r="H129"/>
      <c r="I129"/>
      <c r="J129"/>
    </row>
    <row r="130" spans="1:10" x14ac:dyDescent="0.25">
      <c r="A130"/>
      <c r="B130"/>
      <c r="C130"/>
      <c r="D130"/>
      <c r="E130"/>
      <c r="F130"/>
      <c r="G130" s="237"/>
      <c r="H130"/>
      <c r="I130"/>
      <c r="J130"/>
    </row>
    <row r="131" spans="1:10" x14ac:dyDescent="0.25">
      <c r="A131"/>
      <c r="B131"/>
      <c r="C131"/>
      <c r="D131"/>
      <c r="E131"/>
      <c r="F131"/>
      <c r="G131" s="237"/>
      <c r="H131"/>
      <c r="I131"/>
      <c r="J131"/>
    </row>
    <row r="132" spans="1:10" x14ac:dyDescent="0.25">
      <c r="A132"/>
      <c r="B132"/>
      <c r="C132"/>
      <c r="D132"/>
      <c r="E132"/>
      <c r="F132"/>
      <c r="G132" s="237"/>
      <c r="H132"/>
      <c r="I132"/>
      <c r="J132"/>
    </row>
    <row r="133" spans="1:10" x14ac:dyDescent="0.25">
      <c r="A133"/>
      <c r="B133"/>
      <c r="C133"/>
      <c r="D133"/>
      <c r="E133"/>
      <c r="F133"/>
      <c r="G133" s="237"/>
      <c r="H133"/>
      <c r="I133"/>
      <c r="J133"/>
    </row>
    <row r="134" spans="1:10" x14ac:dyDescent="0.25">
      <c r="A134"/>
      <c r="B134"/>
      <c r="C134"/>
      <c r="D134"/>
      <c r="E134"/>
      <c r="F134"/>
      <c r="G134" s="237"/>
      <c r="H134"/>
      <c r="I134"/>
      <c r="J134"/>
    </row>
    <row r="135" spans="1:10" x14ac:dyDescent="0.25">
      <c r="A135"/>
      <c r="B135"/>
      <c r="C135"/>
      <c r="D135"/>
      <c r="E135"/>
      <c r="F135"/>
      <c r="G135" s="237"/>
      <c r="H135"/>
      <c r="I135"/>
      <c r="J135"/>
    </row>
    <row r="136" spans="1:10" x14ac:dyDescent="0.25">
      <c r="A136"/>
      <c r="B136"/>
      <c r="C136"/>
      <c r="D136"/>
      <c r="E136"/>
      <c r="F136"/>
      <c r="G136" s="237"/>
      <c r="H136"/>
      <c r="I136"/>
      <c r="J136"/>
    </row>
    <row r="137" spans="1:10" x14ac:dyDescent="0.25">
      <c r="A137"/>
      <c r="B137"/>
      <c r="C137"/>
      <c r="D137"/>
      <c r="E137"/>
      <c r="F137"/>
      <c r="G137" s="237"/>
      <c r="H137"/>
      <c r="I137"/>
      <c r="J137"/>
    </row>
    <row r="138" spans="1:10" x14ac:dyDescent="0.25">
      <c r="A138"/>
      <c r="B138"/>
      <c r="C138"/>
      <c r="D138"/>
      <c r="E138"/>
      <c r="F138"/>
      <c r="G138" s="237"/>
      <c r="H138"/>
      <c r="I138"/>
      <c r="J138"/>
    </row>
    <row r="139" spans="1:10" x14ac:dyDescent="0.25">
      <c r="A139"/>
      <c r="B139"/>
      <c r="C139"/>
      <c r="D139"/>
      <c r="E139"/>
      <c r="F139"/>
      <c r="G139" s="237"/>
      <c r="H139"/>
      <c r="I139"/>
      <c r="J139"/>
    </row>
    <row r="140" spans="1:10" x14ac:dyDescent="0.25">
      <c r="A140"/>
      <c r="B140"/>
      <c r="C140"/>
      <c r="D140"/>
      <c r="E140"/>
      <c r="F140"/>
      <c r="G140" s="237"/>
      <c r="H140"/>
      <c r="I140"/>
      <c r="J140"/>
    </row>
    <row r="141" spans="1:10" x14ac:dyDescent="0.25">
      <c r="A141"/>
      <c r="B141"/>
      <c r="C141"/>
      <c r="D141"/>
      <c r="E141"/>
      <c r="F141"/>
      <c r="G141" s="237"/>
      <c r="H141"/>
      <c r="I141"/>
      <c r="J141"/>
    </row>
    <row r="142" spans="1:10" x14ac:dyDescent="0.25">
      <c r="A142"/>
      <c r="B142"/>
      <c r="C142"/>
      <c r="D142"/>
      <c r="E142"/>
      <c r="F142"/>
      <c r="G142" s="237"/>
      <c r="H142"/>
      <c r="I142"/>
      <c r="J142"/>
    </row>
    <row r="143" spans="1:10" x14ac:dyDescent="0.25">
      <c r="A143"/>
      <c r="B143"/>
      <c r="C143"/>
      <c r="D143"/>
      <c r="E143"/>
      <c r="F143"/>
      <c r="G143" s="237"/>
      <c r="H143"/>
      <c r="I143"/>
      <c r="J143"/>
    </row>
    <row r="144" spans="1:10" x14ac:dyDescent="0.25">
      <c r="A144"/>
      <c r="B144"/>
      <c r="C144"/>
      <c r="D144"/>
      <c r="E144"/>
      <c r="F144"/>
      <c r="G144" s="237"/>
      <c r="H144"/>
      <c r="I144"/>
      <c r="J144"/>
    </row>
    <row r="145" spans="1:10" x14ac:dyDescent="0.25">
      <c r="A145"/>
      <c r="B145"/>
      <c r="C145"/>
      <c r="D145"/>
      <c r="E145"/>
      <c r="F145"/>
      <c r="G145" s="237"/>
      <c r="H145"/>
      <c r="I145"/>
      <c r="J145"/>
    </row>
    <row r="146" spans="1:10" x14ac:dyDescent="0.25">
      <c r="A146"/>
      <c r="B146"/>
      <c r="C146"/>
      <c r="D146"/>
      <c r="E146"/>
      <c r="F146"/>
      <c r="G146" s="237"/>
      <c r="H146"/>
      <c r="I146"/>
      <c r="J146"/>
    </row>
    <row r="147" spans="1:10" x14ac:dyDescent="0.25">
      <c r="A147"/>
      <c r="B147"/>
      <c r="C147"/>
      <c r="D147"/>
      <c r="E147"/>
      <c r="F147"/>
      <c r="G147" s="237"/>
      <c r="H147"/>
      <c r="I147"/>
      <c r="J147"/>
    </row>
    <row r="148" spans="1:10" x14ac:dyDescent="0.25">
      <c r="A148"/>
      <c r="B148"/>
      <c r="C148"/>
      <c r="D148"/>
      <c r="E148"/>
      <c r="F148"/>
      <c r="G148" s="237"/>
      <c r="H148"/>
      <c r="I148"/>
      <c r="J148"/>
    </row>
    <row r="149" spans="1:10" x14ac:dyDescent="0.25">
      <c r="A149"/>
      <c r="B149"/>
      <c r="C149"/>
      <c r="D149"/>
      <c r="E149"/>
      <c r="F149"/>
      <c r="G149" s="237"/>
      <c r="H149"/>
      <c r="I149"/>
      <c r="J149"/>
    </row>
    <row r="150" spans="1:10" x14ac:dyDescent="0.25">
      <c r="A150"/>
      <c r="B150"/>
      <c r="C150"/>
      <c r="D150"/>
      <c r="E150"/>
      <c r="F150"/>
      <c r="G150" s="237"/>
      <c r="H150"/>
      <c r="I150"/>
      <c r="J150"/>
    </row>
    <row r="151" spans="1:10" x14ac:dyDescent="0.25">
      <c r="A151"/>
      <c r="B151"/>
      <c r="C151"/>
      <c r="D151"/>
      <c r="E151"/>
      <c r="F151"/>
      <c r="G151" s="237"/>
      <c r="H151"/>
      <c r="I151"/>
      <c r="J151"/>
    </row>
    <row r="152" spans="1:10" x14ac:dyDescent="0.25">
      <c r="A152"/>
      <c r="B152"/>
      <c r="C152"/>
      <c r="D152"/>
      <c r="E152"/>
      <c r="F152"/>
      <c r="G152" s="237"/>
      <c r="H152"/>
      <c r="I152"/>
      <c r="J152"/>
    </row>
    <row r="153" spans="1:10" x14ac:dyDescent="0.25">
      <c r="A153"/>
      <c r="B153"/>
      <c r="C153"/>
      <c r="D153"/>
      <c r="E153"/>
      <c r="F153"/>
      <c r="G153" s="237"/>
      <c r="H153"/>
      <c r="I153"/>
      <c r="J153"/>
    </row>
    <row r="154" spans="1:10" x14ac:dyDescent="0.25">
      <c r="A154"/>
      <c r="B154"/>
      <c r="C154"/>
      <c r="D154"/>
      <c r="E154"/>
      <c r="F154"/>
      <c r="G154" s="237"/>
      <c r="H154"/>
      <c r="I154"/>
      <c r="J154"/>
    </row>
    <row r="155" spans="1:10" x14ac:dyDescent="0.25">
      <c r="A155"/>
      <c r="B155"/>
      <c r="C155"/>
      <c r="D155"/>
      <c r="E155"/>
      <c r="F155"/>
      <c r="G155" s="237"/>
      <c r="H155"/>
      <c r="I155"/>
      <c r="J155"/>
    </row>
    <row r="156" spans="1:10" x14ac:dyDescent="0.25">
      <c r="A156"/>
      <c r="B156"/>
      <c r="C156"/>
      <c r="D156"/>
      <c r="E156"/>
      <c r="F156"/>
      <c r="G156" s="237"/>
      <c r="H156"/>
      <c r="I156"/>
      <c r="J156"/>
    </row>
    <row r="157" spans="1:10" x14ac:dyDescent="0.25">
      <c r="A157"/>
      <c r="B157"/>
      <c r="C157"/>
      <c r="D157"/>
      <c r="E157"/>
      <c r="F157"/>
      <c r="G157" s="237"/>
      <c r="H157"/>
      <c r="I157"/>
      <c r="J157"/>
    </row>
    <row r="158" spans="1:10" x14ac:dyDescent="0.25">
      <c r="A158"/>
      <c r="B158"/>
      <c r="C158"/>
      <c r="D158"/>
      <c r="E158"/>
      <c r="F158"/>
      <c r="G158" s="237"/>
      <c r="H158"/>
      <c r="I158"/>
      <c r="J158"/>
    </row>
    <row r="159" spans="1:10" x14ac:dyDescent="0.25">
      <c r="A159"/>
      <c r="B159"/>
      <c r="C159"/>
      <c r="D159"/>
      <c r="E159"/>
      <c r="F159"/>
      <c r="G159" s="237"/>
      <c r="H159"/>
      <c r="I159"/>
      <c r="J159"/>
    </row>
    <row r="160" spans="1:10" x14ac:dyDescent="0.25">
      <c r="A160"/>
      <c r="B160"/>
      <c r="C160"/>
      <c r="D160"/>
      <c r="E160"/>
      <c r="F160"/>
      <c r="G160" s="237"/>
      <c r="H160"/>
      <c r="I160"/>
      <c r="J160"/>
    </row>
    <row r="161" spans="1:10" x14ac:dyDescent="0.25">
      <c r="A161"/>
      <c r="B161"/>
      <c r="C161"/>
      <c r="D161"/>
      <c r="E161"/>
      <c r="F161"/>
      <c r="G161" s="237"/>
      <c r="H161"/>
      <c r="I161"/>
      <c r="J161"/>
    </row>
    <row r="162" spans="1:10" x14ac:dyDescent="0.25">
      <c r="A162"/>
      <c r="B162"/>
      <c r="C162"/>
      <c r="D162"/>
      <c r="E162"/>
      <c r="F162"/>
      <c r="G162" s="237"/>
      <c r="H162"/>
      <c r="I162"/>
      <c r="J162"/>
    </row>
    <row r="163" spans="1:10" x14ac:dyDescent="0.25">
      <c r="A163"/>
      <c r="B163"/>
      <c r="C163"/>
      <c r="D163"/>
      <c r="E163"/>
      <c r="F163"/>
      <c r="G163" s="237"/>
      <c r="H163"/>
      <c r="I163"/>
      <c r="J163"/>
    </row>
    <row r="164" spans="1:10" x14ac:dyDescent="0.25">
      <c r="A164"/>
      <c r="B164"/>
      <c r="C164"/>
      <c r="D164"/>
      <c r="E164"/>
      <c r="F164"/>
      <c r="G164" s="237"/>
      <c r="H164"/>
      <c r="I164"/>
      <c r="J164"/>
    </row>
    <row r="165" spans="1:10" x14ac:dyDescent="0.25">
      <c r="A165"/>
      <c r="B165"/>
      <c r="C165"/>
      <c r="D165"/>
      <c r="E165"/>
      <c r="F165"/>
      <c r="G165" s="237"/>
      <c r="H165"/>
      <c r="I165"/>
      <c r="J165"/>
    </row>
    <row r="166" spans="1:10" x14ac:dyDescent="0.25">
      <c r="A166"/>
      <c r="B166"/>
      <c r="C166"/>
      <c r="D166"/>
      <c r="E166"/>
      <c r="F166"/>
      <c r="G166" s="237"/>
      <c r="H166"/>
      <c r="I166"/>
      <c r="J166"/>
    </row>
    <row r="167" spans="1:10" x14ac:dyDescent="0.25">
      <c r="A167"/>
      <c r="B167"/>
      <c r="C167"/>
      <c r="D167"/>
      <c r="E167"/>
      <c r="F167"/>
      <c r="G167" s="237"/>
      <c r="H167"/>
      <c r="I167"/>
      <c r="J167"/>
    </row>
    <row r="168" spans="1:10" x14ac:dyDescent="0.25">
      <c r="A168"/>
      <c r="B168"/>
      <c r="C168"/>
      <c r="D168"/>
      <c r="E168"/>
      <c r="F168"/>
      <c r="G168" s="237"/>
      <c r="H168"/>
      <c r="I168"/>
      <c r="J168"/>
    </row>
    <row r="169" spans="1:10" x14ac:dyDescent="0.25">
      <c r="A169"/>
      <c r="B169"/>
      <c r="C169"/>
      <c r="D169"/>
      <c r="E169"/>
      <c r="F169"/>
      <c r="G169" s="237"/>
      <c r="H169"/>
      <c r="I169"/>
      <c r="J169"/>
    </row>
    <row r="170" spans="1:10" x14ac:dyDescent="0.25">
      <c r="A170"/>
      <c r="B170"/>
      <c r="C170"/>
      <c r="D170"/>
      <c r="E170"/>
      <c r="F170"/>
      <c r="G170" s="237"/>
      <c r="H170"/>
      <c r="I170"/>
      <c r="J170"/>
    </row>
    <row r="171" spans="1:10" x14ac:dyDescent="0.25">
      <c r="A171"/>
      <c r="B171"/>
      <c r="C171"/>
      <c r="D171"/>
      <c r="E171"/>
      <c r="F171"/>
      <c r="G171" s="237"/>
      <c r="H171"/>
      <c r="I171"/>
      <c r="J171"/>
    </row>
    <row r="172" spans="1:10" x14ac:dyDescent="0.25">
      <c r="A172"/>
      <c r="B172"/>
      <c r="C172"/>
      <c r="D172"/>
      <c r="E172"/>
      <c r="F172"/>
      <c r="G172" s="237"/>
      <c r="H172"/>
      <c r="I172"/>
      <c r="J172"/>
    </row>
    <row r="173" spans="1:10" x14ac:dyDescent="0.25">
      <c r="A173"/>
      <c r="B173"/>
      <c r="C173"/>
      <c r="D173"/>
      <c r="E173"/>
      <c r="F173"/>
      <c r="G173" s="237"/>
      <c r="H173"/>
      <c r="I173"/>
      <c r="J173"/>
    </row>
    <row r="174" spans="1:10" x14ac:dyDescent="0.25">
      <c r="A174"/>
      <c r="B174"/>
      <c r="C174"/>
      <c r="D174"/>
      <c r="E174"/>
      <c r="F174"/>
      <c r="G174" s="237"/>
      <c r="H174"/>
      <c r="I174"/>
      <c r="J174"/>
    </row>
    <row r="175" spans="1:10" x14ac:dyDescent="0.25">
      <c r="A175"/>
      <c r="B175"/>
      <c r="C175"/>
      <c r="D175"/>
      <c r="E175"/>
      <c r="F175"/>
      <c r="G175" s="237"/>
      <c r="H175"/>
      <c r="I175"/>
      <c r="J175"/>
    </row>
    <row r="176" spans="1:10" x14ac:dyDescent="0.25">
      <c r="A176"/>
      <c r="B176"/>
      <c r="C176"/>
      <c r="D176"/>
      <c r="E176"/>
      <c r="F176"/>
      <c r="G176" s="237"/>
      <c r="H176"/>
      <c r="I176"/>
      <c r="J176"/>
    </row>
    <row r="177" spans="1:10" x14ac:dyDescent="0.25">
      <c r="A177"/>
      <c r="B177"/>
      <c r="C177"/>
      <c r="D177"/>
      <c r="E177"/>
      <c r="F177"/>
      <c r="G177" s="237"/>
      <c r="H177"/>
      <c r="I177"/>
      <c r="J177"/>
    </row>
    <row r="178" spans="1:10" x14ac:dyDescent="0.25">
      <c r="A178"/>
      <c r="B178"/>
      <c r="C178"/>
      <c r="D178"/>
      <c r="E178"/>
      <c r="F178"/>
      <c r="G178" s="237"/>
      <c r="H178"/>
      <c r="I178"/>
      <c r="J178"/>
    </row>
    <row r="179" spans="1:10" x14ac:dyDescent="0.25">
      <c r="A179"/>
      <c r="B179"/>
      <c r="C179"/>
      <c r="D179"/>
      <c r="E179"/>
      <c r="F179"/>
      <c r="G179" s="237"/>
      <c r="H179"/>
      <c r="I179"/>
      <c r="J179"/>
    </row>
    <row r="180" spans="1:10" x14ac:dyDescent="0.25">
      <c r="A180"/>
      <c r="B180"/>
      <c r="C180"/>
      <c r="D180"/>
      <c r="E180"/>
      <c r="F180"/>
      <c r="G180" s="237"/>
      <c r="H180"/>
      <c r="I180"/>
      <c r="J180"/>
    </row>
    <row r="181" spans="1:10" x14ac:dyDescent="0.25">
      <c r="A181"/>
      <c r="B181"/>
      <c r="C181"/>
      <c r="D181"/>
      <c r="E181"/>
      <c r="F181"/>
      <c r="G181" s="237"/>
      <c r="H181"/>
      <c r="I181"/>
      <c r="J181"/>
    </row>
    <row r="182" spans="1:10" x14ac:dyDescent="0.25">
      <c r="A182"/>
      <c r="B182"/>
      <c r="C182"/>
      <c r="D182"/>
      <c r="E182"/>
      <c r="F182"/>
      <c r="G182" s="237"/>
      <c r="H182"/>
      <c r="I182"/>
      <c r="J182"/>
    </row>
    <row r="183" spans="1:10" x14ac:dyDescent="0.25">
      <c r="A183"/>
      <c r="B183"/>
      <c r="C183"/>
      <c r="D183"/>
      <c r="E183"/>
      <c r="F183"/>
      <c r="G183" s="237"/>
      <c r="H183"/>
      <c r="I183"/>
      <c r="J183"/>
    </row>
    <row r="184" spans="1:10" x14ac:dyDescent="0.25">
      <c r="A184"/>
      <c r="B184"/>
      <c r="C184"/>
      <c r="D184"/>
      <c r="E184"/>
      <c r="F184"/>
      <c r="G184" s="237"/>
      <c r="H184"/>
      <c r="I184"/>
      <c r="J184"/>
    </row>
    <row r="185" spans="1:10" x14ac:dyDescent="0.25">
      <c r="A185"/>
      <c r="B185"/>
      <c r="C185"/>
      <c r="D185"/>
      <c r="E185"/>
      <c r="F185"/>
      <c r="G185" s="237"/>
      <c r="H185"/>
      <c r="I185"/>
      <c r="J185"/>
    </row>
    <row r="186" spans="1:10" x14ac:dyDescent="0.25">
      <c r="A186"/>
      <c r="B186"/>
      <c r="C186"/>
      <c r="D186"/>
      <c r="E186"/>
      <c r="F186"/>
      <c r="G186" s="237"/>
      <c r="H186"/>
      <c r="I186"/>
      <c r="J186"/>
    </row>
    <row r="187" spans="1:10" x14ac:dyDescent="0.25">
      <c r="A187"/>
      <c r="B187"/>
      <c r="C187"/>
      <c r="D187"/>
      <c r="E187"/>
      <c r="F187"/>
      <c r="G187" s="237"/>
      <c r="H187"/>
      <c r="I187"/>
      <c r="J187"/>
    </row>
    <row r="188" spans="1:10" x14ac:dyDescent="0.25">
      <c r="A188"/>
      <c r="B188"/>
      <c r="C188"/>
      <c r="D188"/>
      <c r="E188"/>
      <c r="F188"/>
      <c r="G188" s="237"/>
      <c r="H188"/>
      <c r="I188"/>
      <c r="J188"/>
    </row>
    <row r="189" spans="1:10" x14ac:dyDescent="0.25">
      <c r="A189"/>
      <c r="B189"/>
      <c r="C189"/>
      <c r="D189"/>
      <c r="E189"/>
      <c r="F189"/>
      <c r="G189" s="237"/>
      <c r="H189"/>
      <c r="I189"/>
      <c r="J189"/>
    </row>
    <row r="190" spans="1:10" x14ac:dyDescent="0.25">
      <c r="A190"/>
      <c r="B190"/>
      <c r="C190"/>
      <c r="D190"/>
      <c r="E190"/>
      <c r="F190"/>
      <c r="G190" s="237"/>
      <c r="H190"/>
      <c r="I190"/>
      <c r="J190"/>
    </row>
    <row r="191" spans="1:10" x14ac:dyDescent="0.25">
      <c r="A191"/>
      <c r="B191"/>
      <c r="C191"/>
      <c r="D191"/>
      <c r="E191"/>
      <c r="F191"/>
      <c r="G191" s="237"/>
      <c r="H191"/>
      <c r="I191"/>
      <c r="J191"/>
    </row>
    <row r="192" spans="1:10" x14ac:dyDescent="0.25">
      <c r="A192"/>
      <c r="B192"/>
      <c r="C192"/>
      <c r="D192"/>
      <c r="E192"/>
      <c r="F192"/>
      <c r="G192" s="237"/>
      <c r="H192"/>
      <c r="I192"/>
      <c r="J192"/>
    </row>
    <row r="193" spans="1:10" x14ac:dyDescent="0.25">
      <c r="A193"/>
      <c r="B193"/>
      <c r="C193"/>
      <c r="D193"/>
      <c r="E193"/>
      <c r="F193"/>
      <c r="G193" s="237"/>
      <c r="H193"/>
      <c r="I193"/>
      <c r="J193"/>
    </row>
    <row r="194" spans="1:10" x14ac:dyDescent="0.25">
      <c r="A194"/>
      <c r="B194"/>
      <c r="C194"/>
      <c r="D194"/>
      <c r="E194"/>
      <c r="F194"/>
      <c r="G194" s="237"/>
      <c r="H194"/>
      <c r="I194"/>
      <c r="J194"/>
    </row>
    <row r="195" spans="1:10" x14ac:dyDescent="0.25">
      <c r="A195"/>
      <c r="B195"/>
      <c r="C195"/>
      <c r="D195"/>
      <c r="E195"/>
      <c r="F195"/>
      <c r="G195" s="237"/>
      <c r="H195"/>
      <c r="I195"/>
      <c r="J195"/>
    </row>
    <row r="196" spans="1:10" x14ac:dyDescent="0.25">
      <c r="A196"/>
      <c r="B196"/>
      <c r="C196"/>
      <c r="D196"/>
      <c r="E196"/>
      <c r="F196"/>
      <c r="G196" s="237"/>
      <c r="H196"/>
      <c r="I196"/>
      <c r="J196"/>
    </row>
    <row r="197" spans="1:10" x14ac:dyDescent="0.25">
      <c r="A197"/>
      <c r="B197"/>
      <c r="C197"/>
      <c r="D197"/>
      <c r="E197"/>
      <c r="F197"/>
      <c r="G197" s="237"/>
      <c r="H197"/>
      <c r="I197"/>
      <c r="J197"/>
    </row>
    <row r="198" spans="1:10" x14ac:dyDescent="0.25">
      <c r="A198"/>
      <c r="B198"/>
      <c r="C198"/>
      <c r="D198"/>
      <c r="E198"/>
      <c r="F198"/>
      <c r="G198" s="237"/>
      <c r="H198"/>
      <c r="I198"/>
      <c r="J198"/>
    </row>
    <row r="199" spans="1:10" x14ac:dyDescent="0.25">
      <c r="A199"/>
      <c r="B199"/>
      <c r="C199"/>
      <c r="D199"/>
      <c r="E199"/>
      <c r="F199"/>
      <c r="G199" s="237"/>
      <c r="H199"/>
      <c r="I199"/>
      <c r="J199"/>
    </row>
    <row r="200" spans="1:10" x14ac:dyDescent="0.25">
      <c r="A200"/>
      <c r="B200"/>
      <c r="C200"/>
      <c r="D200"/>
      <c r="E200"/>
      <c r="F200"/>
      <c r="G200" s="237"/>
      <c r="H200"/>
      <c r="I200"/>
      <c r="J200"/>
    </row>
    <row r="201" spans="1:10" x14ac:dyDescent="0.25">
      <c r="A201"/>
      <c r="B201"/>
      <c r="C201"/>
      <c r="D201"/>
      <c r="E201"/>
      <c r="F201"/>
      <c r="G201" s="237"/>
      <c r="H201"/>
      <c r="I201"/>
      <c r="J201"/>
    </row>
    <row r="202" spans="1:10" x14ac:dyDescent="0.25">
      <c r="A202"/>
      <c r="B202"/>
      <c r="C202"/>
      <c r="D202"/>
      <c r="E202"/>
      <c r="F202"/>
      <c r="G202" s="237"/>
      <c r="H202"/>
      <c r="I202"/>
      <c r="J202"/>
    </row>
    <row r="203" spans="1:10" x14ac:dyDescent="0.25">
      <c r="A203"/>
      <c r="B203"/>
      <c r="C203"/>
      <c r="D203"/>
      <c r="E203"/>
      <c r="F203"/>
      <c r="G203" s="237"/>
      <c r="H203"/>
      <c r="I203"/>
      <c r="J203"/>
    </row>
    <row r="204" spans="1:10" x14ac:dyDescent="0.25">
      <c r="A204"/>
      <c r="B204"/>
      <c r="C204"/>
      <c r="D204"/>
      <c r="E204"/>
      <c r="F204"/>
      <c r="G204" s="237"/>
      <c r="H204"/>
      <c r="I204"/>
      <c r="J204"/>
    </row>
    <row r="205" spans="1:10" x14ac:dyDescent="0.25">
      <c r="A205"/>
      <c r="B205"/>
      <c r="C205"/>
      <c r="D205"/>
      <c r="E205"/>
      <c r="F205"/>
      <c r="G205" s="237"/>
      <c r="H205"/>
      <c r="I205"/>
      <c r="J205"/>
    </row>
    <row r="206" spans="1:10" x14ac:dyDescent="0.25">
      <c r="A206"/>
      <c r="B206"/>
      <c r="C206"/>
      <c r="D206"/>
      <c r="E206"/>
      <c r="F206"/>
      <c r="G206" s="237"/>
      <c r="H206"/>
      <c r="I206"/>
      <c r="J206"/>
    </row>
    <row r="207" spans="1:10" x14ac:dyDescent="0.25">
      <c r="A207"/>
      <c r="B207"/>
      <c r="C207"/>
      <c r="D207"/>
      <c r="E207"/>
      <c r="F207"/>
      <c r="G207" s="237"/>
      <c r="H207"/>
      <c r="I207"/>
      <c r="J207"/>
    </row>
    <row r="208" spans="1:10" x14ac:dyDescent="0.25">
      <c r="A208"/>
      <c r="B208"/>
      <c r="C208"/>
      <c r="D208"/>
      <c r="E208"/>
      <c r="F208"/>
      <c r="G208" s="237"/>
      <c r="H208"/>
      <c r="I208"/>
      <c r="J208"/>
    </row>
    <row r="209" spans="1:10" x14ac:dyDescent="0.25">
      <c r="A209"/>
      <c r="B209"/>
      <c r="C209"/>
      <c r="D209"/>
      <c r="E209"/>
      <c r="F209"/>
      <c r="G209" s="237"/>
      <c r="H209"/>
      <c r="I209"/>
      <c r="J209"/>
    </row>
    <row r="210" spans="1:10" x14ac:dyDescent="0.25">
      <c r="A210"/>
      <c r="B210"/>
      <c r="C210"/>
      <c r="D210"/>
      <c r="E210"/>
      <c r="F210"/>
      <c r="G210" s="237"/>
      <c r="H210"/>
      <c r="I210"/>
      <c r="J210"/>
    </row>
    <row r="211" spans="1:10" x14ac:dyDescent="0.25">
      <c r="A211"/>
      <c r="B211"/>
      <c r="C211"/>
      <c r="D211"/>
      <c r="E211"/>
      <c r="F211"/>
      <c r="G211" s="237"/>
      <c r="H211"/>
      <c r="I211"/>
      <c r="J211"/>
    </row>
    <row r="212" spans="1:10" x14ac:dyDescent="0.25">
      <c r="A212"/>
      <c r="B212"/>
      <c r="C212"/>
      <c r="D212"/>
      <c r="E212"/>
      <c r="F212"/>
      <c r="G212" s="237"/>
      <c r="H212"/>
      <c r="I212"/>
      <c r="J212"/>
    </row>
    <row r="213" spans="1:10" x14ac:dyDescent="0.25">
      <c r="A213"/>
      <c r="B213"/>
      <c r="C213"/>
      <c r="D213"/>
      <c r="E213"/>
      <c r="F213"/>
      <c r="G213" s="237"/>
      <c r="H213"/>
      <c r="I213"/>
      <c r="J213"/>
    </row>
    <row r="214" spans="1:10" x14ac:dyDescent="0.25">
      <c r="A214"/>
      <c r="B214"/>
      <c r="C214"/>
      <c r="D214"/>
      <c r="E214"/>
      <c r="F214"/>
      <c r="G214" s="237"/>
      <c r="H214"/>
      <c r="I214"/>
      <c r="J214"/>
    </row>
    <row r="215" spans="1:10" x14ac:dyDescent="0.25">
      <c r="A215"/>
      <c r="B215"/>
      <c r="C215"/>
      <c r="D215"/>
      <c r="E215"/>
      <c r="F215"/>
      <c r="G215" s="237"/>
      <c r="H215"/>
      <c r="I215"/>
      <c r="J215"/>
    </row>
    <row r="216" spans="1:10" x14ac:dyDescent="0.25">
      <c r="A216"/>
      <c r="B216"/>
      <c r="C216"/>
      <c r="D216"/>
      <c r="E216"/>
      <c r="F216"/>
      <c r="G216" s="237"/>
      <c r="H216"/>
      <c r="I216"/>
      <c r="J216"/>
    </row>
    <row r="217" spans="1:10" x14ac:dyDescent="0.25">
      <c r="A217"/>
      <c r="B217"/>
      <c r="C217"/>
      <c r="D217"/>
      <c r="E217"/>
      <c r="F217"/>
      <c r="G217" s="237"/>
      <c r="H217"/>
      <c r="I217"/>
      <c r="J217"/>
    </row>
    <row r="218" spans="1:10" x14ac:dyDescent="0.25">
      <c r="A218"/>
      <c r="B218"/>
      <c r="C218"/>
      <c r="D218"/>
      <c r="E218"/>
      <c r="F218"/>
      <c r="G218" s="237"/>
      <c r="H218"/>
      <c r="I218"/>
      <c r="J218"/>
    </row>
    <row r="219" spans="1:10" x14ac:dyDescent="0.25">
      <c r="A219"/>
      <c r="B219"/>
      <c r="C219"/>
      <c r="D219"/>
      <c r="E219"/>
      <c r="F219"/>
      <c r="G219" s="237"/>
      <c r="H219"/>
      <c r="I219"/>
      <c r="J219"/>
    </row>
    <row r="220" spans="1:10" x14ac:dyDescent="0.25">
      <c r="A220"/>
      <c r="B220"/>
      <c r="C220"/>
      <c r="D220"/>
      <c r="E220"/>
      <c r="F220"/>
      <c r="G220" s="237"/>
      <c r="H220"/>
      <c r="I220"/>
      <c r="J220"/>
    </row>
    <row r="221" spans="1:10" x14ac:dyDescent="0.25">
      <c r="A221"/>
      <c r="B221"/>
      <c r="C221"/>
      <c r="D221"/>
      <c r="E221"/>
      <c r="F221"/>
      <c r="G221" s="237"/>
      <c r="H221"/>
      <c r="I221"/>
      <c r="J221"/>
    </row>
    <row r="222" spans="1:10" x14ac:dyDescent="0.25">
      <c r="A222"/>
      <c r="B222"/>
      <c r="C222"/>
      <c r="D222"/>
      <c r="E222"/>
      <c r="F222"/>
      <c r="G222" s="237"/>
      <c r="H222"/>
      <c r="I222"/>
      <c r="J222"/>
    </row>
    <row r="223" spans="1:10" x14ac:dyDescent="0.25">
      <c r="A223"/>
      <c r="B223"/>
      <c r="C223"/>
      <c r="D223"/>
      <c r="E223"/>
      <c r="F223"/>
      <c r="G223" s="237"/>
      <c r="H223"/>
      <c r="I223"/>
      <c r="J223"/>
    </row>
    <row r="224" spans="1:10" x14ac:dyDescent="0.25">
      <c r="A224"/>
      <c r="B224"/>
      <c r="C224"/>
      <c r="D224"/>
      <c r="E224"/>
      <c r="F224"/>
      <c r="G224" s="237"/>
      <c r="H224"/>
      <c r="I224"/>
      <c r="J224"/>
    </row>
    <row r="225" spans="1:10" x14ac:dyDescent="0.25">
      <c r="A225"/>
      <c r="B225"/>
      <c r="C225"/>
      <c r="D225"/>
      <c r="E225"/>
      <c r="F225"/>
      <c r="G225" s="237"/>
      <c r="H225"/>
      <c r="I225"/>
      <c r="J225"/>
    </row>
    <row r="226" spans="1:10" x14ac:dyDescent="0.25">
      <c r="A226"/>
      <c r="B226"/>
      <c r="C226"/>
      <c r="D226"/>
      <c r="E226"/>
      <c r="F226"/>
      <c r="G226" s="237"/>
      <c r="H226"/>
      <c r="I226"/>
      <c r="J226"/>
    </row>
    <row r="227" spans="1:10" x14ac:dyDescent="0.25">
      <c r="A227"/>
      <c r="B227"/>
      <c r="C227"/>
      <c r="D227"/>
      <c r="E227"/>
      <c r="F227"/>
      <c r="G227" s="237"/>
      <c r="H227"/>
      <c r="I227"/>
      <c r="J227"/>
    </row>
    <row r="228" spans="1:10" x14ac:dyDescent="0.25">
      <c r="A228"/>
      <c r="B228"/>
      <c r="C228"/>
      <c r="D228"/>
      <c r="E228"/>
      <c r="F228"/>
      <c r="G228" s="237"/>
      <c r="H228"/>
      <c r="I228"/>
      <c r="J228"/>
    </row>
    <row r="229" spans="1:10" x14ac:dyDescent="0.25">
      <c r="A229"/>
      <c r="B229"/>
      <c r="C229"/>
      <c r="D229"/>
      <c r="E229"/>
      <c r="F229"/>
      <c r="G229" s="237"/>
      <c r="H229"/>
      <c r="I229"/>
      <c r="J229"/>
    </row>
    <row r="230" spans="1:10" x14ac:dyDescent="0.25">
      <c r="A230"/>
      <c r="B230"/>
      <c r="C230"/>
      <c r="D230"/>
      <c r="E230"/>
      <c r="F230"/>
      <c r="G230" s="237"/>
      <c r="H230"/>
      <c r="I230"/>
      <c r="J230"/>
    </row>
    <row r="231" spans="1:10" x14ac:dyDescent="0.25">
      <c r="A231"/>
      <c r="B231"/>
      <c r="C231"/>
      <c r="D231"/>
      <c r="E231"/>
      <c r="F231"/>
      <c r="G231" s="237"/>
      <c r="H231"/>
      <c r="I231"/>
      <c r="J231"/>
    </row>
    <row r="232" spans="1:10" x14ac:dyDescent="0.25">
      <c r="A232"/>
      <c r="B232"/>
      <c r="C232"/>
      <c r="D232"/>
      <c r="E232"/>
      <c r="F232"/>
      <c r="G232" s="237"/>
      <c r="H232"/>
      <c r="I232"/>
      <c r="J232"/>
    </row>
    <row r="233" spans="1:10" x14ac:dyDescent="0.25">
      <c r="A233"/>
      <c r="B233"/>
      <c r="C233"/>
      <c r="D233"/>
      <c r="E233"/>
      <c r="F233"/>
      <c r="G233" s="237"/>
      <c r="H233"/>
      <c r="I233"/>
      <c r="J233"/>
    </row>
    <row r="234" spans="1:10" x14ac:dyDescent="0.25">
      <c r="A234"/>
      <c r="B234"/>
      <c r="C234"/>
      <c r="D234"/>
      <c r="E234"/>
      <c r="F234"/>
      <c r="G234" s="237"/>
      <c r="H234"/>
      <c r="I234"/>
      <c r="J234"/>
    </row>
    <row r="235" spans="1:10" x14ac:dyDescent="0.25">
      <c r="A235"/>
      <c r="B235"/>
      <c r="C235"/>
      <c r="D235"/>
      <c r="E235"/>
      <c r="F235"/>
      <c r="G235" s="237"/>
      <c r="H235"/>
      <c r="I235"/>
      <c r="J235"/>
    </row>
    <row r="236" spans="1:10" x14ac:dyDescent="0.25">
      <c r="A236"/>
      <c r="B236"/>
      <c r="C236"/>
      <c r="D236"/>
      <c r="E236"/>
      <c r="F236"/>
      <c r="G236" s="237"/>
      <c r="H236"/>
      <c r="I236"/>
      <c r="J236"/>
    </row>
    <row r="237" spans="1:10" x14ac:dyDescent="0.25">
      <c r="A237"/>
      <c r="B237"/>
      <c r="C237"/>
      <c r="D237"/>
      <c r="E237"/>
      <c r="F237"/>
      <c r="G237" s="237"/>
      <c r="H237"/>
      <c r="I237"/>
      <c r="J237"/>
    </row>
    <row r="238" spans="1:10" x14ac:dyDescent="0.25">
      <c r="A238"/>
      <c r="B238"/>
      <c r="C238"/>
      <c r="D238"/>
      <c r="E238"/>
      <c r="F238"/>
      <c r="G238" s="237"/>
      <c r="H238"/>
      <c r="I238"/>
      <c r="J238"/>
    </row>
    <row r="239" spans="1:10" x14ac:dyDescent="0.25">
      <c r="A239"/>
      <c r="B239"/>
      <c r="C239"/>
      <c r="D239"/>
      <c r="E239"/>
      <c r="F239"/>
      <c r="G239" s="237"/>
      <c r="H239"/>
      <c r="I239"/>
      <c r="J239"/>
    </row>
    <row r="240" spans="1:10" x14ac:dyDescent="0.25">
      <c r="A240"/>
      <c r="B240"/>
      <c r="C240"/>
      <c r="D240"/>
      <c r="E240"/>
      <c r="F240"/>
      <c r="G240" s="237"/>
      <c r="H240"/>
      <c r="I240"/>
      <c r="J240"/>
    </row>
    <row r="241" spans="1:10" x14ac:dyDescent="0.25">
      <c r="A241"/>
      <c r="B241"/>
      <c r="C241"/>
      <c r="D241"/>
      <c r="E241"/>
      <c r="F241"/>
      <c r="G241" s="237"/>
      <c r="H241"/>
      <c r="I241"/>
      <c r="J241"/>
    </row>
    <row r="242" spans="1:10" x14ac:dyDescent="0.25">
      <c r="A242"/>
      <c r="B242"/>
      <c r="C242"/>
      <c r="D242"/>
      <c r="E242"/>
      <c r="F242"/>
      <c r="G242" s="237"/>
      <c r="H242"/>
      <c r="I242"/>
      <c r="J242"/>
    </row>
    <row r="243" spans="1:10" x14ac:dyDescent="0.25">
      <c r="A243"/>
      <c r="B243"/>
      <c r="C243"/>
      <c r="D243"/>
      <c r="E243"/>
      <c r="F243"/>
      <c r="G243" s="237"/>
      <c r="H243"/>
      <c r="I243"/>
      <c r="J243"/>
    </row>
    <row r="244" spans="1:10" x14ac:dyDescent="0.25">
      <c r="A244"/>
      <c r="B244"/>
      <c r="C244"/>
      <c r="D244"/>
      <c r="E244"/>
      <c r="F244"/>
      <c r="G244" s="237"/>
      <c r="H244"/>
      <c r="I244"/>
      <c r="J244"/>
    </row>
    <row r="245" spans="1:10" x14ac:dyDescent="0.25">
      <c r="A245"/>
      <c r="B245"/>
      <c r="C245"/>
      <c r="D245"/>
      <c r="E245"/>
      <c r="F245"/>
      <c r="G245" s="237"/>
      <c r="H245"/>
      <c r="I245"/>
      <c r="J245"/>
    </row>
    <row r="246" spans="1:10" x14ac:dyDescent="0.25">
      <c r="A246"/>
      <c r="B246"/>
      <c r="C246"/>
      <c r="D246"/>
      <c r="E246"/>
      <c r="F246"/>
      <c r="G246" s="237"/>
      <c r="H246"/>
      <c r="I246"/>
      <c r="J246"/>
    </row>
    <row r="247" spans="1:10" x14ac:dyDescent="0.25">
      <c r="A247"/>
      <c r="B247"/>
      <c r="C247"/>
      <c r="D247"/>
      <c r="E247"/>
      <c r="F247"/>
      <c r="G247" s="237"/>
      <c r="H247"/>
      <c r="I247"/>
      <c r="J247"/>
    </row>
    <row r="248" spans="1:10" x14ac:dyDescent="0.25">
      <c r="A248"/>
      <c r="B248"/>
      <c r="C248"/>
      <c r="D248"/>
      <c r="E248"/>
      <c r="F248"/>
      <c r="G248" s="237"/>
      <c r="H248"/>
      <c r="I248"/>
      <c r="J248"/>
    </row>
    <row r="249" spans="1:10" x14ac:dyDescent="0.25">
      <c r="A249"/>
      <c r="B249"/>
      <c r="C249"/>
      <c r="D249"/>
      <c r="E249"/>
      <c r="F249"/>
      <c r="G249" s="237"/>
      <c r="H249"/>
      <c r="I249"/>
      <c r="J249"/>
    </row>
    <row r="250" spans="1:10" x14ac:dyDescent="0.25">
      <c r="A250"/>
      <c r="B250"/>
      <c r="C250"/>
      <c r="D250"/>
      <c r="E250"/>
      <c r="F250"/>
      <c r="G250" s="237"/>
      <c r="H250"/>
      <c r="I250"/>
      <c r="J250"/>
    </row>
    <row r="251" spans="1:10" x14ac:dyDescent="0.25">
      <c r="A251"/>
      <c r="B251"/>
      <c r="C251"/>
      <c r="D251"/>
      <c r="E251"/>
      <c r="F251"/>
      <c r="G251" s="237"/>
      <c r="H251"/>
      <c r="I251"/>
      <c r="J251"/>
    </row>
    <row r="252" spans="1:10" x14ac:dyDescent="0.25">
      <c r="A252"/>
      <c r="B252"/>
      <c r="C252"/>
      <c r="D252"/>
      <c r="E252"/>
      <c r="F252"/>
      <c r="G252" s="237"/>
      <c r="H252"/>
      <c r="I252"/>
      <c r="J252"/>
    </row>
    <row r="253" spans="1:10" x14ac:dyDescent="0.25">
      <c r="A253"/>
      <c r="B253"/>
      <c r="C253"/>
      <c r="D253"/>
      <c r="E253"/>
      <c r="F253"/>
      <c r="G253" s="237"/>
      <c r="H253"/>
      <c r="I253"/>
      <c r="J253"/>
    </row>
    <row r="254" spans="1:10" x14ac:dyDescent="0.25">
      <c r="A254"/>
      <c r="B254"/>
      <c r="C254"/>
      <c r="D254"/>
      <c r="E254"/>
      <c r="F254"/>
      <c r="G254" s="237"/>
      <c r="H254"/>
      <c r="I254"/>
      <c r="J254"/>
    </row>
    <row r="255" spans="1:10" x14ac:dyDescent="0.25">
      <c r="A255"/>
      <c r="B255"/>
      <c r="C255"/>
      <c r="D255"/>
      <c r="E255"/>
      <c r="F255"/>
      <c r="G255" s="237"/>
      <c r="H255"/>
      <c r="I255"/>
      <c r="J255"/>
    </row>
    <row r="256" spans="1:10" x14ac:dyDescent="0.25">
      <c r="A256"/>
      <c r="B256"/>
      <c r="C256"/>
      <c r="D256"/>
      <c r="E256"/>
      <c r="F256"/>
      <c r="G256" s="237"/>
      <c r="H256"/>
      <c r="I256"/>
      <c r="J256"/>
    </row>
    <row r="257" spans="1:10" x14ac:dyDescent="0.25">
      <c r="A257"/>
      <c r="B257"/>
      <c r="C257"/>
      <c r="D257"/>
      <c r="E257"/>
      <c r="F257"/>
      <c r="G257" s="237"/>
      <c r="H257"/>
      <c r="I257"/>
      <c r="J257"/>
    </row>
    <row r="258" spans="1:10" x14ac:dyDescent="0.25">
      <c r="A258"/>
      <c r="B258"/>
      <c r="C258"/>
      <c r="D258"/>
      <c r="E258"/>
      <c r="F258"/>
      <c r="G258" s="237"/>
      <c r="H258"/>
      <c r="I258"/>
      <c r="J258"/>
    </row>
    <row r="259" spans="1:10" x14ac:dyDescent="0.25">
      <c r="A259"/>
      <c r="B259"/>
      <c r="C259"/>
      <c r="D259"/>
      <c r="E259"/>
      <c r="F259"/>
      <c r="G259" s="237"/>
      <c r="H259"/>
      <c r="I259"/>
      <c r="J259"/>
    </row>
    <row r="260" spans="1:10" x14ac:dyDescent="0.25">
      <c r="A260"/>
      <c r="B260"/>
      <c r="C260"/>
      <c r="D260"/>
      <c r="E260"/>
      <c r="F260"/>
      <c r="G260" s="237"/>
      <c r="H260"/>
      <c r="I260"/>
      <c r="J260"/>
    </row>
    <row r="261" spans="1:10" x14ac:dyDescent="0.25">
      <c r="A261"/>
      <c r="B261"/>
      <c r="C261"/>
      <c r="D261"/>
      <c r="E261"/>
      <c r="F261"/>
      <c r="G261" s="237"/>
      <c r="H261"/>
      <c r="I261"/>
      <c r="J261"/>
    </row>
    <row r="262" spans="1:10" x14ac:dyDescent="0.25">
      <c r="A262"/>
      <c r="B262"/>
      <c r="C262"/>
      <c r="D262"/>
      <c r="E262"/>
      <c r="F262"/>
      <c r="G262" s="237"/>
      <c r="H262"/>
      <c r="I262"/>
      <c r="J262"/>
    </row>
    <row r="263" spans="1:10" x14ac:dyDescent="0.25">
      <c r="A263"/>
      <c r="B263"/>
      <c r="C263"/>
      <c r="D263"/>
      <c r="E263"/>
      <c r="F263"/>
      <c r="G263" s="237"/>
      <c r="H263"/>
      <c r="I263"/>
      <c r="J263"/>
    </row>
    <row r="264" spans="1:10" x14ac:dyDescent="0.25">
      <c r="A264"/>
      <c r="B264"/>
      <c r="C264"/>
      <c r="D264"/>
      <c r="E264"/>
      <c r="F264"/>
      <c r="G264" s="237"/>
      <c r="H264"/>
      <c r="I264"/>
      <c r="J264"/>
    </row>
    <row r="265" spans="1:10" x14ac:dyDescent="0.25">
      <c r="A265"/>
      <c r="B265"/>
      <c r="C265"/>
      <c r="D265"/>
      <c r="E265"/>
      <c r="F265"/>
      <c r="G265" s="237"/>
      <c r="H265"/>
      <c r="I265"/>
      <c r="J265"/>
    </row>
    <row r="266" spans="1:10" x14ac:dyDescent="0.25">
      <c r="A266"/>
      <c r="B266"/>
      <c r="C266"/>
      <c r="D266"/>
      <c r="E266"/>
      <c r="F266"/>
      <c r="G266" s="237"/>
      <c r="H266"/>
      <c r="I266"/>
      <c r="J266"/>
    </row>
    <row r="267" spans="1:10" x14ac:dyDescent="0.25">
      <c r="A267"/>
      <c r="B267"/>
      <c r="C267"/>
      <c r="D267"/>
      <c r="E267"/>
      <c r="F267"/>
      <c r="G267" s="237"/>
      <c r="H267"/>
      <c r="I267"/>
      <c r="J267"/>
    </row>
    <row r="268" spans="1:10" x14ac:dyDescent="0.25">
      <c r="A268"/>
      <c r="B268"/>
      <c r="C268"/>
      <c r="D268"/>
      <c r="E268"/>
      <c r="F268"/>
      <c r="G268" s="237"/>
      <c r="H268"/>
      <c r="I268"/>
      <c r="J268"/>
    </row>
    <row r="269" spans="1:10" x14ac:dyDescent="0.25">
      <c r="A269"/>
      <c r="B269"/>
      <c r="C269"/>
      <c r="D269"/>
      <c r="E269"/>
      <c r="F269"/>
      <c r="G269" s="237"/>
      <c r="H269"/>
      <c r="I269"/>
      <c r="J269"/>
    </row>
    <row r="270" spans="1:10" x14ac:dyDescent="0.25">
      <c r="A270"/>
      <c r="B270"/>
      <c r="C270"/>
      <c r="D270"/>
      <c r="E270"/>
      <c r="F270"/>
      <c r="G270" s="237"/>
      <c r="H270"/>
      <c r="I270"/>
      <c r="J270"/>
    </row>
    <row r="271" spans="1:10" x14ac:dyDescent="0.25">
      <c r="A271"/>
      <c r="B271"/>
      <c r="C271"/>
      <c r="D271"/>
      <c r="E271"/>
      <c r="F271"/>
      <c r="G271" s="237"/>
      <c r="H271"/>
      <c r="I271"/>
      <c r="J271"/>
    </row>
    <row r="272" spans="1:10" x14ac:dyDescent="0.25">
      <c r="A272"/>
      <c r="B272"/>
      <c r="C272"/>
      <c r="D272"/>
      <c r="E272"/>
      <c r="F272"/>
      <c r="G272" s="237"/>
      <c r="H272"/>
      <c r="I272"/>
      <c r="J272"/>
    </row>
    <row r="273" spans="1:10" x14ac:dyDescent="0.25">
      <c r="A273"/>
      <c r="B273"/>
      <c r="C273"/>
      <c r="D273"/>
      <c r="E273"/>
      <c r="F273"/>
      <c r="G273" s="237"/>
      <c r="H273"/>
      <c r="I273"/>
      <c r="J273"/>
    </row>
    <row r="274" spans="1:10" x14ac:dyDescent="0.25">
      <c r="A274"/>
      <c r="B274"/>
      <c r="C274"/>
      <c r="D274"/>
      <c r="E274"/>
      <c r="F274"/>
      <c r="G274" s="237"/>
      <c r="H274"/>
      <c r="I274"/>
      <c r="J274"/>
    </row>
    <row r="275" spans="1:10" x14ac:dyDescent="0.25">
      <c r="A275"/>
      <c r="B275"/>
      <c r="C275"/>
      <c r="D275"/>
      <c r="E275"/>
      <c r="F275"/>
      <c r="G275" s="237"/>
      <c r="H275"/>
      <c r="I275"/>
      <c r="J275"/>
    </row>
    <row r="276" spans="1:10" x14ac:dyDescent="0.25">
      <c r="A276"/>
      <c r="B276"/>
      <c r="C276"/>
      <c r="D276"/>
      <c r="E276"/>
      <c r="F276"/>
      <c r="G276" s="237"/>
      <c r="H276"/>
      <c r="I276"/>
      <c r="J276"/>
    </row>
    <row r="277" spans="1:10" x14ac:dyDescent="0.25">
      <c r="A277"/>
      <c r="B277"/>
      <c r="C277"/>
      <c r="D277"/>
      <c r="E277"/>
      <c r="F277"/>
      <c r="G277" s="237"/>
      <c r="H277"/>
      <c r="I277"/>
      <c r="J277"/>
    </row>
    <row r="278" spans="1:10" x14ac:dyDescent="0.25">
      <c r="A278"/>
      <c r="B278"/>
      <c r="C278"/>
      <c r="D278"/>
      <c r="E278"/>
      <c r="F278"/>
      <c r="G278" s="237"/>
      <c r="H278"/>
      <c r="I278"/>
      <c r="J278"/>
    </row>
    <row r="279" spans="1:10" x14ac:dyDescent="0.25">
      <c r="A279"/>
      <c r="B279"/>
      <c r="C279"/>
      <c r="D279"/>
      <c r="E279"/>
      <c r="F279"/>
      <c r="G279" s="237"/>
      <c r="H279"/>
      <c r="I279"/>
      <c r="J279"/>
    </row>
    <row r="280" spans="1:10" x14ac:dyDescent="0.25">
      <c r="A280"/>
      <c r="B280"/>
      <c r="C280"/>
      <c r="D280"/>
      <c r="E280"/>
      <c r="F280"/>
      <c r="G280" s="237"/>
      <c r="H280"/>
      <c r="I280"/>
      <c r="J280"/>
    </row>
    <row r="281" spans="1:10" x14ac:dyDescent="0.25">
      <c r="A281"/>
      <c r="B281"/>
      <c r="C281"/>
      <c r="D281"/>
      <c r="E281"/>
      <c r="F281"/>
      <c r="G281" s="237"/>
      <c r="H281"/>
      <c r="I281"/>
      <c r="J281"/>
    </row>
    <row r="282" spans="1:10" x14ac:dyDescent="0.25">
      <c r="A282"/>
      <c r="B282"/>
      <c r="C282"/>
      <c r="D282"/>
      <c r="E282"/>
      <c r="F282"/>
      <c r="G282" s="237"/>
      <c r="H282"/>
      <c r="I282"/>
      <c r="J282"/>
    </row>
    <row r="283" spans="1:10" x14ac:dyDescent="0.25">
      <c r="A283"/>
      <c r="B283"/>
      <c r="C283"/>
      <c r="D283"/>
      <c r="E283"/>
      <c r="F283"/>
      <c r="G283" s="237"/>
      <c r="H283"/>
      <c r="I283"/>
      <c r="J283"/>
    </row>
    <row r="284" spans="1:10" x14ac:dyDescent="0.25">
      <c r="A284"/>
      <c r="B284"/>
      <c r="C284"/>
      <c r="D284"/>
      <c r="E284"/>
      <c r="F284"/>
      <c r="G284" s="237"/>
      <c r="H284"/>
      <c r="I284"/>
      <c r="J284"/>
    </row>
    <row r="285" spans="1:10" x14ac:dyDescent="0.25">
      <c r="A285"/>
      <c r="B285"/>
      <c r="C285"/>
      <c r="D285"/>
      <c r="E285"/>
      <c r="F285"/>
      <c r="G285" s="237"/>
      <c r="H285"/>
      <c r="I285"/>
      <c r="J285"/>
    </row>
    <row r="286" spans="1:10" x14ac:dyDescent="0.25">
      <c r="A286"/>
      <c r="B286"/>
      <c r="C286"/>
      <c r="D286"/>
      <c r="E286"/>
      <c r="F286"/>
      <c r="G286" s="237"/>
      <c r="H286"/>
      <c r="I286"/>
      <c r="J286"/>
    </row>
    <row r="287" spans="1:10" x14ac:dyDescent="0.25">
      <c r="A287"/>
      <c r="B287"/>
      <c r="C287"/>
      <c r="D287"/>
      <c r="E287"/>
      <c r="F287"/>
      <c r="G287" s="237"/>
      <c r="H287"/>
      <c r="I287"/>
      <c r="J287"/>
    </row>
    <row r="288" spans="1:10" x14ac:dyDescent="0.25">
      <c r="A288"/>
      <c r="B288"/>
      <c r="C288"/>
      <c r="D288"/>
      <c r="E288"/>
      <c r="F288"/>
      <c r="G288" s="237"/>
      <c r="H288"/>
      <c r="I288"/>
      <c r="J288"/>
    </row>
    <row r="289" spans="1:10" x14ac:dyDescent="0.25">
      <c r="A289"/>
      <c r="B289"/>
      <c r="C289"/>
      <c r="D289"/>
      <c r="E289"/>
      <c r="F289"/>
      <c r="G289" s="237"/>
      <c r="H289"/>
      <c r="I289"/>
      <c r="J289"/>
    </row>
    <row r="290" spans="1:10" x14ac:dyDescent="0.25">
      <c r="A290"/>
      <c r="B290"/>
      <c r="C290"/>
      <c r="D290"/>
      <c r="E290"/>
      <c r="F290"/>
      <c r="G290" s="237"/>
      <c r="H290"/>
      <c r="I290"/>
      <c r="J290"/>
    </row>
    <row r="291" spans="1:10" x14ac:dyDescent="0.25">
      <c r="A291"/>
      <c r="B291"/>
      <c r="C291"/>
      <c r="D291"/>
      <c r="E291"/>
      <c r="F291"/>
      <c r="G291" s="237"/>
      <c r="H291"/>
      <c r="I291"/>
      <c r="J291"/>
    </row>
    <row r="292" spans="1:10" x14ac:dyDescent="0.25">
      <c r="A292"/>
      <c r="B292"/>
      <c r="C292"/>
      <c r="D292"/>
      <c r="E292"/>
      <c r="F292"/>
      <c r="G292" s="237"/>
      <c r="H292"/>
      <c r="I292"/>
      <c r="J292"/>
    </row>
    <row r="293" spans="1:10" x14ac:dyDescent="0.25">
      <c r="A293"/>
      <c r="B293"/>
      <c r="C293"/>
      <c r="D293"/>
      <c r="E293"/>
      <c r="F293"/>
      <c r="G293" s="237"/>
      <c r="H293"/>
      <c r="I293"/>
      <c r="J293"/>
    </row>
    <row r="294" spans="1:10" x14ac:dyDescent="0.25">
      <c r="A294"/>
      <c r="B294"/>
      <c r="C294"/>
      <c r="D294"/>
      <c r="E294"/>
      <c r="F294"/>
      <c r="G294" s="237"/>
      <c r="H294"/>
      <c r="I294"/>
      <c r="J294"/>
    </row>
    <row r="295" spans="1:10" x14ac:dyDescent="0.25">
      <c r="A295"/>
      <c r="B295"/>
      <c r="C295"/>
      <c r="D295"/>
      <c r="E295"/>
      <c r="F295"/>
      <c r="G295" s="237"/>
      <c r="H295"/>
      <c r="I295"/>
      <c r="J295"/>
    </row>
    <row r="296" spans="1:10" x14ac:dyDescent="0.25">
      <c r="A296"/>
      <c r="B296"/>
      <c r="C296"/>
      <c r="D296"/>
      <c r="E296"/>
      <c r="F296"/>
      <c r="G296" s="237"/>
      <c r="H296"/>
      <c r="I296"/>
      <c r="J296"/>
    </row>
    <row r="297" spans="1:10" x14ac:dyDescent="0.25">
      <c r="A297"/>
      <c r="B297"/>
      <c r="C297"/>
      <c r="D297"/>
      <c r="E297"/>
      <c r="F297"/>
      <c r="G297" s="237"/>
      <c r="H297"/>
      <c r="I297"/>
      <c r="J297"/>
    </row>
    <row r="298" spans="1:10" x14ac:dyDescent="0.25">
      <c r="A298"/>
      <c r="B298"/>
      <c r="C298"/>
      <c r="D298"/>
      <c r="E298"/>
      <c r="F298"/>
      <c r="G298" s="237"/>
      <c r="H298"/>
      <c r="I298"/>
      <c r="J298"/>
    </row>
    <row r="299" spans="1:10" x14ac:dyDescent="0.25">
      <c r="A299"/>
      <c r="B299"/>
      <c r="C299"/>
      <c r="D299"/>
      <c r="E299"/>
      <c r="F299"/>
      <c r="G299" s="237"/>
      <c r="H299"/>
      <c r="I299"/>
      <c r="J299"/>
    </row>
    <row r="300" spans="1:10" x14ac:dyDescent="0.25">
      <c r="A300"/>
      <c r="B300"/>
      <c r="C300"/>
      <c r="D300"/>
      <c r="E300"/>
      <c r="F300"/>
      <c r="G300" s="237"/>
      <c r="H300"/>
      <c r="I300"/>
      <c r="J300"/>
    </row>
    <row r="301" spans="1:10" x14ac:dyDescent="0.25">
      <c r="A301"/>
      <c r="B301"/>
      <c r="C301"/>
      <c r="D301"/>
      <c r="E301"/>
      <c r="F301"/>
      <c r="G301" s="237"/>
      <c r="H301"/>
      <c r="I301"/>
      <c r="J301"/>
    </row>
    <row r="302" spans="1:10" x14ac:dyDescent="0.25">
      <c r="A302"/>
      <c r="B302"/>
      <c r="C302"/>
      <c r="D302"/>
      <c r="E302"/>
      <c r="F302"/>
      <c r="G302" s="237"/>
      <c r="H302"/>
      <c r="I302"/>
      <c r="J302"/>
    </row>
    <row r="303" spans="1:10" x14ac:dyDescent="0.25">
      <c r="A303"/>
      <c r="B303"/>
      <c r="C303"/>
      <c r="D303"/>
      <c r="E303"/>
      <c r="F303"/>
      <c r="G303" s="237"/>
      <c r="H303"/>
      <c r="I303"/>
      <c r="J303"/>
    </row>
    <row r="304" spans="1:10" x14ac:dyDescent="0.25">
      <c r="A304"/>
      <c r="B304"/>
      <c r="C304"/>
      <c r="D304"/>
      <c r="E304"/>
      <c r="F304"/>
      <c r="G304" s="237"/>
      <c r="H304"/>
      <c r="I304"/>
      <c r="J304"/>
    </row>
    <row r="305" spans="1:10" x14ac:dyDescent="0.25">
      <c r="A305"/>
      <c r="B305"/>
      <c r="C305"/>
      <c r="D305"/>
      <c r="E305"/>
      <c r="F305"/>
      <c r="G305" s="237"/>
      <c r="H305"/>
      <c r="I305"/>
      <c r="J305"/>
    </row>
    <row r="306" spans="1:10" x14ac:dyDescent="0.25">
      <c r="A306"/>
      <c r="B306"/>
      <c r="C306"/>
      <c r="D306"/>
      <c r="E306"/>
      <c r="F306"/>
      <c r="G306" s="237"/>
      <c r="H306"/>
      <c r="I306"/>
      <c r="J306"/>
    </row>
    <row r="307" spans="1:10" x14ac:dyDescent="0.25">
      <c r="A307"/>
      <c r="B307"/>
      <c r="C307"/>
      <c r="D307"/>
      <c r="E307"/>
      <c r="F307"/>
      <c r="G307" s="237"/>
      <c r="H307"/>
      <c r="I307"/>
      <c r="J307"/>
    </row>
    <row r="308" spans="1:10" x14ac:dyDescent="0.25">
      <c r="A308"/>
      <c r="B308"/>
      <c r="C308"/>
      <c r="D308"/>
      <c r="E308"/>
      <c r="F308"/>
      <c r="G308" s="237"/>
      <c r="H308"/>
      <c r="I308"/>
      <c r="J308"/>
    </row>
    <row r="309" spans="1:10" x14ac:dyDescent="0.25">
      <c r="A309"/>
      <c r="B309"/>
      <c r="C309"/>
      <c r="D309"/>
      <c r="E309"/>
      <c r="F309"/>
      <c r="G309" s="237"/>
      <c r="H309"/>
      <c r="I309"/>
      <c r="J309"/>
    </row>
    <row r="310" spans="1:10" x14ac:dyDescent="0.25">
      <c r="A310"/>
      <c r="B310"/>
      <c r="C310"/>
      <c r="D310"/>
      <c r="E310"/>
      <c r="F310"/>
      <c r="G310" s="237"/>
      <c r="H310"/>
      <c r="I310"/>
      <c r="J310"/>
    </row>
    <row r="311" spans="1:10" x14ac:dyDescent="0.25">
      <c r="A311"/>
      <c r="B311"/>
      <c r="C311"/>
      <c r="D311"/>
      <c r="E311"/>
      <c r="F311"/>
      <c r="G311" s="237"/>
      <c r="H311"/>
      <c r="I311"/>
      <c r="J311"/>
    </row>
    <row r="312" spans="1:10" x14ac:dyDescent="0.25">
      <c r="A312"/>
      <c r="B312"/>
      <c r="C312"/>
      <c r="D312"/>
      <c r="E312"/>
      <c r="F312"/>
      <c r="G312" s="237"/>
      <c r="H312"/>
      <c r="I312"/>
      <c r="J312"/>
    </row>
    <row r="313" spans="1:10" x14ac:dyDescent="0.25">
      <c r="A313"/>
      <c r="B313"/>
      <c r="C313"/>
      <c r="D313"/>
      <c r="E313"/>
      <c r="F313"/>
      <c r="G313" s="237"/>
      <c r="H313"/>
      <c r="I313"/>
      <c r="J313"/>
    </row>
    <row r="314" spans="1:10" x14ac:dyDescent="0.25">
      <c r="A314"/>
      <c r="B314"/>
      <c r="C314"/>
      <c r="D314"/>
      <c r="E314"/>
      <c r="F314"/>
      <c r="G314" s="237"/>
      <c r="H314"/>
      <c r="I314"/>
      <c r="J314"/>
    </row>
    <row r="315" spans="1:10" x14ac:dyDescent="0.25">
      <c r="A315"/>
      <c r="B315"/>
      <c r="C315"/>
      <c r="D315"/>
      <c r="E315"/>
      <c r="F315"/>
      <c r="G315" s="237"/>
      <c r="H315"/>
      <c r="I315"/>
      <c r="J315"/>
    </row>
    <row r="316" spans="1:10" x14ac:dyDescent="0.25">
      <c r="A316"/>
      <c r="B316"/>
      <c r="C316"/>
      <c r="D316"/>
      <c r="E316"/>
      <c r="F316"/>
      <c r="G316" s="237"/>
      <c r="H316"/>
      <c r="I316"/>
      <c r="J316"/>
    </row>
    <row r="317" spans="1:10" x14ac:dyDescent="0.25">
      <c r="A317"/>
      <c r="B317"/>
      <c r="C317"/>
      <c r="D317"/>
      <c r="E317"/>
      <c r="F317"/>
      <c r="G317" s="237"/>
      <c r="H317"/>
      <c r="I317"/>
      <c r="J317"/>
    </row>
    <row r="318" spans="1:10" x14ac:dyDescent="0.25">
      <c r="A318"/>
      <c r="B318"/>
      <c r="C318"/>
      <c r="D318"/>
      <c r="E318"/>
      <c r="F318"/>
      <c r="G318" s="237"/>
      <c r="H318"/>
      <c r="I318"/>
      <c r="J318"/>
    </row>
    <row r="319" spans="1:10" x14ac:dyDescent="0.25">
      <c r="A319"/>
      <c r="B319"/>
      <c r="C319"/>
      <c r="D319"/>
      <c r="E319"/>
      <c r="F319"/>
      <c r="G319" s="237"/>
      <c r="H319"/>
      <c r="I319"/>
      <c r="J319"/>
    </row>
    <row r="320" spans="1:10" x14ac:dyDescent="0.25">
      <c r="A320"/>
      <c r="B320"/>
      <c r="C320"/>
      <c r="D320"/>
      <c r="E320"/>
      <c r="F320"/>
      <c r="G320" s="237"/>
      <c r="H320"/>
      <c r="I320"/>
      <c r="J320"/>
    </row>
    <row r="321" spans="1:10" x14ac:dyDescent="0.25">
      <c r="A321"/>
      <c r="B321"/>
      <c r="C321"/>
      <c r="D321"/>
      <c r="E321"/>
      <c r="F321"/>
      <c r="G321" s="237"/>
      <c r="H321"/>
      <c r="I321"/>
      <c r="J321"/>
    </row>
    <row r="322" spans="1:10" x14ac:dyDescent="0.25">
      <c r="A322"/>
      <c r="B322"/>
      <c r="C322"/>
      <c r="D322"/>
      <c r="E322"/>
      <c r="F322"/>
      <c r="G322" s="237"/>
      <c r="H322"/>
      <c r="I322"/>
      <c r="J322"/>
    </row>
    <row r="323" spans="1:10" x14ac:dyDescent="0.25">
      <c r="A323"/>
      <c r="B323"/>
      <c r="C323"/>
      <c r="D323"/>
      <c r="E323"/>
      <c r="F323"/>
      <c r="G323" s="237"/>
      <c r="H323"/>
      <c r="I323"/>
      <c r="J323"/>
    </row>
    <row r="324" spans="1:10" x14ac:dyDescent="0.25">
      <c r="A324"/>
      <c r="B324"/>
      <c r="C324"/>
      <c r="D324"/>
      <c r="E324"/>
      <c r="F324"/>
      <c r="G324" s="237"/>
      <c r="H324"/>
      <c r="I324"/>
      <c r="J324"/>
    </row>
    <row r="325" spans="1:10" x14ac:dyDescent="0.25">
      <c r="A325"/>
      <c r="B325"/>
      <c r="C325"/>
      <c r="D325"/>
      <c r="E325"/>
      <c r="F325"/>
      <c r="G325" s="237"/>
      <c r="H325"/>
      <c r="I325"/>
      <c r="J325"/>
    </row>
    <row r="326" spans="1:10" x14ac:dyDescent="0.25">
      <c r="A326"/>
      <c r="B326"/>
      <c r="C326"/>
      <c r="D326"/>
      <c r="E326"/>
      <c r="F326"/>
      <c r="G326" s="237"/>
      <c r="H326"/>
      <c r="I326"/>
      <c r="J326"/>
    </row>
    <row r="327" spans="1:10" x14ac:dyDescent="0.25">
      <c r="A327"/>
      <c r="B327"/>
      <c r="C327"/>
      <c r="D327"/>
      <c r="E327"/>
      <c r="F327"/>
      <c r="G327" s="237"/>
      <c r="H327"/>
      <c r="I327"/>
      <c r="J327"/>
    </row>
    <row r="328" spans="1:10" x14ac:dyDescent="0.25">
      <c r="A328"/>
      <c r="B328"/>
      <c r="C328"/>
      <c r="D328"/>
      <c r="E328"/>
      <c r="F328"/>
      <c r="G328" s="237"/>
      <c r="H328"/>
      <c r="I328"/>
      <c r="J328"/>
    </row>
    <row r="329" spans="1:10" x14ac:dyDescent="0.25">
      <c r="A329"/>
      <c r="B329"/>
      <c r="C329"/>
      <c r="D329"/>
      <c r="E329"/>
      <c r="F329"/>
      <c r="G329" s="237"/>
      <c r="H329"/>
      <c r="I329"/>
      <c r="J329"/>
    </row>
    <row r="330" spans="1:10" x14ac:dyDescent="0.25">
      <c r="A330"/>
      <c r="B330"/>
      <c r="C330"/>
      <c r="D330"/>
      <c r="E330"/>
      <c r="F330"/>
      <c r="G330" s="237"/>
      <c r="H330"/>
      <c r="I330"/>
      <c r="J330"/>
    </row>
    <row r="331" spans="1:10" x14ac:dyDescent="0.25">
      <c r="A331"/>
      <c r="B331"/>
      <c r="C331"/>
      <c r="D331"/>
      <c r="E331"/>
      <c r="F331"/>
      <c r="G331" s="237"/>
      <c r="H331"/>
      <c r="I331"/>
      <c r="J331"/>
    </row>
    <row r="332" spans="1:10" x14ac:dyDescent="0.25">
      <c r="A332"/>
      <c r="B332"/>
      <c r="C332"/>
      <c r="D332"/>
      <c r="E332"/>
      <c r="F332"/>
      <c r="G332" s="237"/>
      <c r="H332"/>
      <c r="I332"/>
      <c r="J332"/>
    </row>
    <row r="333" spans="1:10" x14ac:dyDescent="0.25">
      <c r="A333"/>
      <c r="B333"/>
      <c r="C333"/>
      <c r="D333"/>
      <c r="E333"/>
      <c r="F333"/>
      <c r="G333" s="237"/>
      <c r="H333"/>
      <c r="I333"/>
      <c r="J333"/>
    </row>
    <row r="334" spans="1:10" x14ac:dyDescent="0.25">
      <c r="A334"/>
      <c r="B334"/>
      <c r="C334"/>
      <c r="D334"/>
      <c r="E334"/>
      <c r="F334"/>
      <c r="G334" s="237"/>
      <c r="H334"/>
      <c r="I334"/>
      <c r="J334"/>
    </row>
    <row r="335" spans="1:10" x14ac:dyDescent="0.25">
      <c r="A335"/>
      <c r="B335"/>
      <c r="C335"/>
      <c r="D335"/>
      <c r="E335"/>
      <c r="F335"/>
      <c r="G335" s="237"/>
      <c r="H335"/>
      <c r="I335"/>
      <c r="J335"/>
    </row>
    <row r="336" spans="1:10" x14ac:dyDescent="0.25">
      <c r="A336"/>
      <c r="B336"/>
      <c r="C336"/>
      <c r="D336"/>
      <c r="E336"/>
      <c r="F336"/>
      <c r="G336" s="237"/>
      <c r="H336"/>
      <c r="I336"/>
      <c r="J336"/>
    </row>
    <row r="337" spans="1:10" x14ac:dyDescent="0.25">
      <c r="A337"/>
      <c r="B337"/>
      <c r="C337"/>
      <c r="D337"/>
      <c r="E337"/>
      <c r="F337"/>
      <c r="G337" s="237"/>
      <c r="H337"/>
      <c r="I337"/>
      <c r="J337"/>
    </row>
    <row r="338" spans="1:10" x14ac:dyDescent="0.25">
      <c r="A338"/>
      <c r="B338"/>
      <c r="C338"/>
      <c r="D338"/>
      <c r="E338"/>
      <c r="F338"/>
      <c r="G338" s="237"/>
      <c r="H338"/>
      <c r="I338"/>
      <c r="J338"/>
    </row>
    <row r="339" spans="1:10" x14ac:dyDescent="0.25">
      <c r="A339"/>
      <c r="B339"/>
      <c r="C339"/>
      <c r="D339"/>
      <c r="E339"/>
      <c r="F339"/>
      <c r="G339" s="237"/>
      <c r="H339"/>
      <c r="I339"/>
      <c r="J339"/>
    </row>
    <row r="340" spans="1:10" x14ac:dyDescent="0.25">
      <c r="A340"/>
      <c r="B340"/>
      <c r="C340"/>
      <c r="D340"/>
      <c r="E340"/>
      <c r="F340"/>
      <c r="G340" s="237"/>
      <c r="H340"/>
      <c r="I340"/>
      <c r="J340"/>
    </row>
    <row r="341" spans="1:10" x14ac:dyDescent="0.25">
      <c r="A341"/>
      <c r="B341"/>
      <c r="C341"/>
      <c r="D341"/>
      <c r="E341"/>
      <c r="F341"/>
      <c r="G341" s="237"/>
      <c r="H341"/>
      <c r="I341"/>
      <c r="J341"/>
    </row>
    <row r="342" spans="1:10" x14ac:dyDescent="0.25">
      <c r="A342"/>
      <c r="B342"/>
      <c r="C342"/>
      <c r="D342"/>
      <c r="E342"/>
      <c r="F342"/>
      <c r="G342" s="237"/>
      <c r="H342"/>
      <c r="I342"/>
      <c r="J342"/>
    </row>
    <row r="343" spans="1:10" x14ac:dyDescent="0.25">
      <c r="A343"/>
      <c r="B343"/>
      <c r="C343"/>
      <c r="D343"/>
      <c r="E343"/>
      <c r="F343"/>
      <c r="G343" s="237"/>
      <c r="H343"/>
      <c r="I343"/>
      <c r="J343"/>
    </row>
    <row r="344" spans="1:10" x14ac:dyDescent="0.25">
      <c r="A344"/>
      <c r="B344"/>
      <c r="C344"/>
      <c r="D344"/>
      <c r="E344"/>
      <c r="F344"/>
      <c r="G344" s="237"/>
      <c r="H344"/>
      <c r="I344"/>
      <c r="J344"/>
    </row>
    <row r="345" spans="1:10" x14ac:dyDescent="0.25">
      <c r="A345"/>
      <c r="B345"/>
      <c r="C345"/>
      <c r="D345"/>
      <c r="E345"/>
      <c r="F345"/>
      <c r="G345" s="237"/>
      <c r="H345"/>
      <c r="I345"/>
      <c r="J345"/>
    </row>
    <row r="346" spans="1:10" x14ac:dyDescent="0.25">
      <c r="A346"/>
      <c r="B346"/>
      <c r="C346"/>
      <c r="D346"/>
      <c r="E346"/>
      <c r="F346"/>
      <c r="G346" s="237"/>
      <c r="H346"/>
      <c r="I346"/>
      <c r="J346"/>
    </row>
    <row r="347" spans="1:10" x14ac:dyDescent="0.25">
      <c r="A347"/>
      <c r="B347"/>
      <c r="C347"/>
      <c r="D347"/>
      <c r="E347"/>
      <c r="F347"/>
      <c r="G347" s="237"/>
      <c r="H347"/>
      <c r="I347"/>
      <c r="J347"/>
    </row>
    <row r="348" spans="1:10" x14ac:dyDescent="0.25">
      <c r="A348"/>
      <c r="B348"/>
      <c r="C348"/>
      <c r="D348"/>
      <c r="E348"/>
      <c r="F348"/>
      <c r="G348" s="237"/>
      <c r="H348"/>
      <c r="I348"/>
      <c r="J348"/>
    </row>
    <row r="349" spans="1:10" x14ac:dyDescent="0.25">
      <c r="A349"/>
      <c r="B349"/>
      <c r="C349"/>
      <c r="D349"/>
      <c r="E349"/>
      <c r="F349"/>
      <c r="G349" s="237"/>
      <c r="H349"/>
      <c r="I349"/>
      <c r="J349"/>
    </row>
    <row r="350" spans="1:10" x14ac:dyDescent="0.25">
      <c r="A350"/>
      <c r="B350"/>
      <c r="C350"/>
      <c r="D350"/>
      <c r="E350"/>
      <c r="F350"/>
      <c r="G350" s="237"/>
      <c r="H350"/>
      <c r="I350"/>
      <c r="J350"/>
    </row>
    <row r="351" spans="1:10" x14ac:dyDescent="0.25">
      <c r="A351"/>
      <c r="B351"/>
      <c r="C351"/>
      <c r="D351"/>
      <c r="E351"/>
      <c r="F351"/>
      <c r="G351" s="237"/>
      <c r="H351"/>
      <c r="I351"/>
      <c r="J351"/>
    </row>
    <row r="352" spans="1:10" x14ac:dyDescent="0.25">
      <c r="A352"/>
      <c r="B352"/>
      <c r="C352"/>
      <c r="D352"/>
      <c r="E352"/>
      <c r="F352"/>
      <c r="G352" s="237"/>
      <c r="H352"/>
      <c r="I352"/>
      <c r="J352"/>
    </row>
    <row r="353" spans="1:11" x14ac:dyDescent="0.25">
      <c r="A353"/>
      <c r="B353"/>
      <c r="C353"/>
      <c r="D353"/>
      <c r="E353"/>
      <c r="F353"/>
      <c r="G353" s="237"/>
      <c r="H353"/>
      <c r="I353"/>
      <c r="J353"/>
    </row>
    <row r="354" spans="1:11" x14ac:dyDescent="0.25">
      <c r="D354" s="20"/>
      <c r="K354" s="20"/>
    </row>
    <row r="356" spans="1:11" x14ac:dyDescent="0.25">
      <c r="D356" s="20"/>
      <c r="E356" s="20"/>
      <c r="F356" s="245"/>
      <c r="G356" s="247"/>
      <c r="H356" s="20"/>
      <c r="I356" s="20"/>
      <c r="J356" s="20"/>
      <c r="K356" s="20"/>
    </row>
    <row r="357" spans="1:11" x14ac:dyDescent="0.25">
      <c r="D357" s="20"/>
      <c r="E357" s="20"/>
      <c r="F357" s="245"/>
      <c r="G357" s="247"/>
      <c r="H357" s="20"/>
      <c r="I357" s="20"/>
      <c r="K357" s="20"/>
    </row>
    <row r="358" spans="1:11" x14ac:dyDescent="0.25">
      <c r="D358" s="20"/>
      <c r="E358" s="20"/>
      <c r="F358" s="245"/>
      <c r="G358" s="237"/>
      <c r="H358" s="20"/>
      <c r="I358" s="20"/>
      <c r="K358" s="20"/>
    </row>
    <row r="359" spans="1:11" x14ac:dyDescent="0.25">
      <c r="D359" s="20"/>
      <c r="E359" s="20"/>
      <c r="F359" s="245"/>
      <c r="G359" s="247"/>
      <c r="H359" s="20"/>
      <c r="I359" s="20"/>
      <c r="K359" s="20"/>
    </row>
    <row r="360" spans="1:11" x14ac:dyDescent="0.25">
      <c r="D360" s="20"/>
      <c r="E360" s="20"/>
      <c r="F360" s="245"/>
      <c r="G360" s="247"/>
      <c r="H360" s="20"/>
      <c r="I360" s="20"/>
      <c r="K360" s="20"/>
    </row>
    <row r="361" spans="1:11" x14ac:dyDescent="0.25">
      <c r="D361" s="20"/>
      <c r="E361" s="20"/>
      <c r="F361" s="245"/>
      <c r="G361" s="247"/>
      <c r="H361" s="20"/>
      <c r="I361" s="20"/>
      <c r="K361" s="20"/>
    </row>
    <row r="362" spans="1:11" x14ac:dyDescent="0.25">
      <c r="D362" s="20"/>
      <c r="E362" s="20"/>
      <c r="F362" s="245"/>
      <c r="G362" s="247"/>
      <c r="H362" s="20"/>
      <c r="I362" s="20"/>
      <c r="K362" s="20"/>
    </row>
    <row r="363" spans="1:11" x14ac:dyDescent="0.25">
      <c r="D363" s="20"/>
      <c r="E363" s="20"/>
      <c r="F363" s="245"/>
      <c r="G363" s="237"/>
      <c r="H363" s="20"/>
      <c r="I363" s="20"/>
      <c r="K363" s="20"/>
    </row>
    <row r="364" spans="1:11" x14ac:dyDescent="0.25">
      <c r="D364" s="20"/>
      <c r="E364" s="20"/>
      <c r="F364" s="245"/>
      <c r="G364" s="247"/>
      <c r="H364" s="20"/>
      <c r="I364" s="20"/>
      <c r="K364" s="20"/>
    </row>
    <row r="365" spans="1:11" x14ac:dyDescent="0.25">
      <c r="D365" s="20"/>
      <c r="E365" s="20"/>
      <c r="F365" s="245"/>
      <c r="G365" s="247"/>
      <c r="H365" s="20"/>
      <c r="I365" s="20"/>
      <c r="K365" s="20"/>
    </row>
    <row r="366" spans="1:11" x14ac:dyDescent="0.25">
      <c r="D366" s="20"/>
      <c r="E366" s="20"/>
      <c r="F366" s="245"/>
      <c r="G366" s="247"/>
      <c r="H366" s="20"/>
      <c r="I366" s="20"/>
      <c r="K366" s="20"/>
    </row>
    <row r="367" spans="1:11" x14ac:dyDescent="0.25">
      <c r="D367" s="20"/>
      <c r="E367" s="20"/>
      <c r="F367" s="245"/>
      <c r="G367" s="247"/>
      <c r="H367" s="20"/>
      <c r="I367" s="20"/>
      <c r="K367" s="20"/>
    </row>
    <row r="368" spans="1:11" x14ac:dyDescent="0.25">
      <c r="D368" s="20"/>
      <c r="E368" s="20"/>
      <c r="F368" s="245"/>
      <c r="G368" s="247"/>
      <c r="H368" s="20"/>
      <c r="I368" s="20"/>
      <c r="K368" s="20"/>
    </row>
    <row r="369" spans="4:11" x14ac:dyDescent="0.25">
      <c r="D369" s="20"/>
      <c r="E369" s="20"/>
      <c r="F369" s="245"/>
      <c r="G369" s="247"/>
      <c r="H369" s="20"/>
      <c r="I369" s="20"/>
      <c r="K369" s="20"/>
    </row>
    <row r="370" spans="4:11" x14ac:dyDescent="0.25">
      <c r="D370" s="20"/>
      <c r="K370" s="20"/>
    </row>
    <row r="372" spans="4:11" x14ac:dyDescent="0.25">
      <c r="D372" s="20"/>
      <c r="E372" s="20"/>
      <c r="F372" s="245"/>
      <c r="G372" s="247"/>
      <c r="H372" s="20"/>
      <c r="I372" s="20"/>
      <c r="J372" s="20"/>
      <c r="K372" s="20"/>
    </row>
    <row r="373" spans="4:11" x14ac:dyDescent="0.25">
      <c r="D373" s="20"/>
      <c r="E373" s="20"/>
      <c r="F373" s="245"/>
      <c r="G373" s="247"/>
      <c r="H373" s="20"/>
      <c r="I373" s="20"/>
      <c r="K373" s="20"/>
    </row>
    <row r="374" spans="4:11" x14ac:dyDescent="0.25">
      <c r="D374" s="20"/>
      <c r="E374" s="20"/>
      <c r="F374" s="245"/>
      <c r="G374" s="237"/>
      <c r="H374" s="20"/>
      <c r="I374" s="20"/>
      <c r="K374" s="20"/>
    </row>
    <row r="375" spans="4:11" x14ac:dyDescent="0.25">
      <c r="D375" s="20"/>
      <c r="E375" s="20"/>
      <c r="F375" s="245"/>
      <c r="G375" s="247"/>
      <c r="H375" s="20"/>
      <c r="I375" s="20"/>
      <c r="K375" s="20"/>
    </row>
    <row r="376" spans="4:11" x14ac:dyDescent="0.25">
      <c r="D376" s="20"/>
      <c r="E376" s="20"/>
      <c r="F376" s="245"/>
      <c r="G376" s="247"/>
      <c r="H376" s="20"/>
      <c r="I376" s="20"/>
      <c r="K376" s="20"/>
    </row>
    <row r="377" spans="4:11" x14ac:dyDescent="0.25">
      <c r="D377" s="20"/>
      <c r="E377" s="20"/>
      <c r="F377" s="245"/>
      <c r="G377" s="247"/>
      <c r="H377" s="20"/>
      <c r="I377" s="20"/>
      <c r="K377" s="20"/>
    </row>
    <row r="378" spans="4:11" x14ac:dyDescent="0.25">
      <c r="D378" s="20"/>
      <c r="E378" s="20"/>
      <c r="F378" s="245"/>
      <c r="G378" s="247"/>
      <c r="H378" s="20"/>
      <c r="I378" s="20"/>
      <c r="K378" s="20"/>
    </row>
    <row r="379" spans="4:11" x14ac:dyDescent="0.25">
      <c r="D379" s="20"/>
      <c r="E379" s="20"/>
      <c r="F379" s="245"/>
      <c r="G379" s="237"/>
      <c r="H379" s="20"/>
      <c r="I379" s="20"/>
      <c r="K379" s="20"/>
    </row>
    <row r="380" spans="4:11" x14ac:dyDescent="0.25">
      <c r="D380" s="20"/>
      <c r="E380" s="20"/>
      <c r="F380" s="245"/>
      <c r="G380" s="247"/>
      <c r="H380" s="20"/>
      <c r="I380" s="20"/>
      <c r="K380" s="20"/>
    </row>
    <row r="381" spans="4:11" x14ac:dyDescent="0.25">
      <c r="D381" s="20"/>
      <c r="E381" s="20"/>
      <c r="F381" s="245"/>
      <c r="G381" s="247"/>
      <c r="H381" s="20"/>
      <c r="I381" s="20"/>
      <c r="K381" s="20"/>
    </row>
    <row r="382" spans="4:11" x14ac:dyDescent="0.25">
      <c r="D382" s="20"/>
      <c r="E382" s="20"/>
      <c r="F382" s="245"/>
      <c r="G382" s="247"/>
      <c r="H382" s="20"/>
      <c r="I382" s="20"/>
      <c r="K382" s="20"/>
    </row>
    <row r="383" spans="4:11" x14ac:dyDescent="0.25">
      <c r="D383" s="20"/>
      <c r="E383" s="20"/>
      <c r="F383" s="245"/>
      <c r="G383" s="247"/>
      <c r="H383" s="20"/>
      <c r="I383" s="20"/>
      <c r="K383" s="20"/>
    </row>
    <row r="384" spans="4:11" x14ac:dyDescent="0.25">
      <c r="D384" s="20"/>
      <c r="E384" s="20"/>
      <c r="F384" s="245"/>
      <c r="G384" s="247"/>
      <c r="H384" s="20"/>
      <c r="I384" s="20"/>
      <c r="K384" s="20"/>
    </row>
    <row r="385" spans="4:11" x14ac:dyDescent="0.25">
      <c r="D385" s="20"/>
      <c r="E385" s="20"/>
      <c r="F385" s="245"/>
      <c r="G385" s="247"/>
      <c r="H385" s="20"/>
      <c r="I385" s="20"/>
      <c r="K385" s="20"/>
    </row>
    <row r="386" spans="4:11" x14ac:dyDescent="0.25">
      <c r="D386" s="20"/>
      <c r="K386" s="20"/>
    </row>
  </sheetData>
  <sheetProtection formatCells="0" formatColumns="0" formatRows="0" insertColumns="0" insertRows="0" insertHyperlinks="0" deleteColumns="0" deleteRows="0"/>
  <pageMargins left="0.7" right="0.7" top="0.75" bottom="0.75" header="0.3" footer="0.3"/>
  <pageSetup paperSize="5" orientation="landscape"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98B94-503F-4DE6-9E61-19CC6FC3C6B2}">
  <dimension ref="A1:J191"/>
  <sheetViews>
    <sheetView windowProtection="1" workbookViewId="0"/>
  </sheetViews>
  <sheetFormatPr defaultRowHeight="15" x14ac:dyDescent="0.25"/>
  <cols>
    <col min="1" max="1" width="16.5703125" customWidth="1"/>
    <col min="2" max="2" width="16.7109375" customWidth="1"/>
    <col min="3" max="6" width="24.7109375" customWidth="1"/>
    <col min="7" max="7" width="18.5703125" customWidth="1"/>
    <col min="8" max="8" width="16.5703125" customWidth="1"/>
  </cols>
  <sheetData>
    <row r="1" spans="1:10" x14ac:dyDescent="0.25">
      <c r="A1" s="24" t="s">
        <v>723</v>
      </c>
      <c r="B1" s="24" t="s">
        <v>42</v>
      </c>
      <c r="C1" s="24" t="s">
        <v>724</v>
      </c>
      <c r="D1" s="24" t="s">
        <v>680</v>
      </c>
      <c r="E1" s="24" t="s">
        <v>681</v>
      </c>
      <c r="F1" s="24" t="s">
        <v>725</v>
      </c>
      <c r="G1" s="24" t="s">
        <v>686</v>
      </c>
      <c r="H1" s="24" t="s">
        <v>93</v>
      </c>
      <c r="I1" s="24"/>
      <c r="J1" s="24"/>
    </row>
    <row r="2" spans="1:10" x14ac:dyDescent="0.25">
      <c r="A2" s="24"/>
      <c r="B2" s="24" t="s">
        <v>679</v>
      </c>
      <c r="C2" s="24"/>
      <c r="D2" s="24"/>
      <c r="E2" s="24"/>
      <c r="F2" s="24"/>
      <c r="G2" s="24"/>
      <c r="H2" s="24"/>
      <c r="I2" s="24"/>
      <c r="J2" s="24"/>
    </row>
    <row r="3" spans="1:10" x14ac:dyDescent="0.25">
      <c r="A3" s="24"/>
      <c r="B3" s="24">
        <v>2</v>
      </c>
      <c r="C3" s="24"/>
      <c r="D3" s="24"/>
      <c r="E3" s="24"/>
      <c r="F3" s="24"/>
      <c r="G3" s="24"/>
      <c r="H3" s="24"/>
      <c r="I3" s="24"/>
      <c r="J3" s="24"/>
    </row>
    <row r="4" spans="1:10" x14ac:dyDescent="0.25">
      <c r="A4" s="24"/>
      <c r="B4" s="24">
        <v>3</v>
      </c>
      <c r="C4" s="24"/>
      <c r="D4" s="24"/>
      <c r="E4" s="24"/>
      <c r="F4" s="24"/>
      <c r="G4" s="24"/>
      <c r="H4" s="24"/>
      <c r="I4" s="24"/>
      <c r="J4" s="24"/>
    </row>
    <row r="5" spans="1:10" x14ac:dyDescent="0.25">
      <c r="A5" s="24"/>
      <c r="B5" s="24">
        <v>4</v>
      </c>
      <c r="C5" s="24"/>
      <c r="D5" s="24"/>
      <c r="E5" s="24"/>
      <c r="F5" s="24"/>
      <c r="G5" s="24"/>
      <c r="H5" s="24"/>
      <c r="I5" s="24"/>
      <c r="J5" s="24"/>
    </row>
    <row r="6" spans="1:10" x14ac:dyDescent="0.25">
      <c r="A6" s="24"/>
      <c r="B6" s="24">
        <v>5</v>
      </c>
      <c r="C6" s="24"/>
      <c r="D6" s="24"/>
      <c r="E6" s="24"/>
      <c r="F6" s="24"/>
      <c r="G6" s="24"/>
      <c r="H6" s="24"/>
      <c r="I6" s="24"/>
      <c r="J6" s="24"/>
    </row>
    <row r="7" spans="1:10" x14ac:dyDescent="0.25">
      <c r="A7" s="24"/>
      <c r="B7" s="24">
        <v>6</v>
      </c>
      <c r="C7" s="24"/>
      <c r="D7" s="24"/>
      <c r="E7" s="24"/>
      <c r="F7" s="24"/>
      <c r="G7" s="24"/>
      <c r="H7" s="24"/>
      <c r="I7" s="24"/>
      <c r="J7" s="24">
        <v>1</v>
      </c>
    </row>
    <row r="8" spans="1:10" x14ac:dyDescent="0.25">
      <c r="A8" s="24"/>
      <c r="B8" s="24">
        <v>7</v>
      </c>
      <c r="C8" s="24"/>
      <c r="D8" s="24"/>
      <c r="E8" s="24"/>
      <c r="F8" s="24"/>
      <c r="G8" s="24"/>
      <c r="H8" s="24"/>
      <c r="I8" s="24"/>
      <c r="J8" s="24"/>
    </row>
    <row r="9" spans="1:10" x14ac:dyDescent="0.25">
      <c r="A9" s="24"/>
      <c r="B9" s="24">
        <v>8</v>
      </c>
      <c r="C9" s="24"/>
      <c r="D9" s="24"/>
      <c r="E9" s="24"/>
      <c r="F9" s="24"/>
      <c r="G9" s="24"/>
      <c r="H9" s="24"/>
      <c r="I9" s="24"/>
      <c r="J9" s="24"/>
    </row>
    <row r="10" spans="1:10" x14ac:dyDescent="0.25">
      <c r="A10" s="24"/>
      <c r="B10" s="24">
        <v>9</v>
      </c>
      <c r="C10" s="24"/>
      <c r="D10" s="24"/>
      <c r="E10" s="24"/>
      <c r="F10" s="24"/>
      <c r="G10" s="24"/>
      <c r="H10" s="24"/>
      <c r="I10" s="24"/>
      <c r="J10" s="24"/>
    </row>
    <row r="11" spans="1:10" x14ac:dyDescent="0.25">
      <c r="A11" s="24"/>
      <c r="B11" s="24">
        <v>10</v>
      </c>
      <c r="C11" s="24"/>
      <c r="D11" s="24"/>
      <c r="E11" s="24"/>
      <c r="F11" s="24"/>
      <c r="G11" s="24"/>
      <c r="H11" s="24"/>
      <c r="I11" s="24"/>
      <c r="J11" s="24"/>
    </row>
    <row r="12" spans="1:10" x14ac:dyDescent="0.25">
      <c r="A12" s="24"/>
      <c r="B12" s="24">
        <v>11</v>
      </c>
      <c r="C12" s="24"/>
      <c r="D12" s="24"/>
      <c r="E12" s="24"/>
      <c r="F12" s="24"/>
      <c r="G12" s="24"/>
      <c r="H12" s="24"/>
      <c r="I12" s="24"/>
      <c r="J12" s="24"/>
    </row>
    <row r="13" spans="1:10" x14ac:dyDescent="0.25">
      <c r="A13" s="24"/>
      <c r="B13" s="24">
        <v>12</v>
      </c>
      <c r="C13" s="24"/>
      <c r="D13" s="24"/>
      <c r="E13" s="24"/>
      <c r="F13" s="24"/>
      <c r="G13" s="24"/>
      <c r="H13" s="24"/>
      <c r="I13" s="24"/>
      <c r="J13" s="24"/>
    </row>
    <row r="14" spans="1:10" x14ac:dyDescent="0.25">
      <c r="A14" s="24"/>
      <c r="B14" s="24">
        <v>13</v>
      </c>
      <c r="C14" s="24"/>
      <c r="D14" s="24"/>
      <c r="E14" s="24"/>
      <c r="F14" s="24"/>
      <c r="G14" s="24"/>
      <c r="H14" s="24"/>
      <c r="I14" s="24"/>
      <c r="J14" s="24"/>
    </row>
    <row r="15" spans="1:10" x14ac:dyDescent="0.25">
      <c r="A15" s="24"/>
      <c r="B15" s="24">
        <v>14</v>
      </c>
      <c r="C15" s="24"/>
      <c r="D15" s="24"/>
      <c r="E15" s="24"/>
      <c r="F15" s="24"/>
      <c r="G15" s="24"/>
      <c r="H15" s="24"/>
      <c r="I15" s="24"/>
      <c r="J15" s="24"/>
    </row>
    <row r="16" spans="1:10" x14ac:dyDescent="0.25">
      <c r="A16" s="24"/>
      <c r="B16" s="24"/>
      <c r="C16" s="24"/>
      <c r="D16" s="24"/>
      <c r="E16" s="24"/>
      <c r="F16" s="24"/>
      <c r="G16" s="24"/>
      <c r="H16" s="24"/>
      <c r="I16" s="24"/>
      <c r="J16" s="24"/>
    </row>
    <row r="17" spans="1:10" x14ac:dyDescent="0.25">
      <c r="A17" s="24" t="s">
        <v>723</v>
      </c>
      <c r="B17" s="24" t="s">
        <v>42</v>
      </c>
      <c r="C17" s="24" t="s">
        <v>724</v>
      </c>
      <c r="D17" s="24" t="s">
        <v>680</v>
      </c>
      <c r="E17" s="24" t="s">
        <v>681</v>
      </c>
      <c r="F17" s="24" t="s">
        <v>725</v>
      </c>
      <c r="G17" s="24" t="s">
        <v>686</v>
      </c>
      <c r="H17" s="24" t="s">
        <v>93</v>
      </c>
      <c r="I17" s="24"/>
      <c r="J17" s="24"/>
    </row>
    <row r="18" spans="1:10" x14ac:dyDescent="0.25">
      <c r="A18" s="24"/>
      <c r="B18" s="24" t="s">
        <v>679</v>
      </c>
      <c r="C18" s="24"/>
      <c r="D18" s="24"/>
      <c r="E18" s="24"/>
      <c r="F18" s="24"/>
      <c r="G18" s="24"/>
      <c r="H18" s="24"/>
      <c r="I18" s="24"/>
      <c r="J18" s="24"/>
    </row>
    <row r="19" spans="1:10" x14ac:dyDescent="0.25">
      <c r="A19" s="24"/>
      <c r="B19" s="24">
        <v>2</v>
      </c>
      <c r="C19" s="24"/>
      <c r="D19" s="24"/>
      <c r="E19" s="24"/>
      <c r="F19" s="24"/>
      <c r="G19" s="24"/>
      <c r="H19" s="24"/>
      <c r="I19" s="24"/>
      <c r="J19" s="24"/>
    </row>
    <row r="20" spans="1:10" x14ac:dyDescent="0.25">
      <c r="A20" s="24"/>
      <c r="B20" s="24">
        <v>3</v>
      </c>
      <c r="C20" s="24"/>
      <c r="D20" s="24"/>
      <c r="E20" s="24"/>
      <c r="F20" s="24"/>
      <c r="G20" s="24"/>
      <c r="H20" s="24"/>
      <c r="I20" s="24"/>
      <c r="J20" s="24"/>
    </row>
    <row r="21" spans="1:10" x14ac:dyDescent="0.25">
      <c r="A21" s="24"/>
      <c r="B21" s="24">
        <v>4</v>
      </c>
      <c r="C21" s="24"/>
      <c r="D21" s="24"/>
      <c r="E21" s="24"/>
      <c r="F21" s="24"/>
      <c r="G21" s="24"/>
      <c r="H21" s="24"/>
      <c r="I21" s="24"/>
      <c r="J21" s="24"/>
    </row>
    <row r="22" spans="1:10" x14ac:dyDescent="0.25">
      <c r="A22" s="24"/>
      <c r="B22" s="24">
        <v>5</v>
      </c>
      <c r="C22" s="24"/>
      <c r="D22" s="24"/>
      <c r="E22" s="24"/>
      <c r="F22" s="24"/>
      <c r="G22" s="24"/>
      <c r="H22" s="24"/>
      <c r="I22" s="24"/>
      <c r="J22" s="24"/>
    </row>
    <row r="23" spans="1:10" x14ac:dyDescent="0.25">
      <c r="A23" s="24"/>
      <c r="B23" s="24">
        <v>6</v>
      </c>
      <c r="C23" s="24"/>
      <c r="D23" s="24"/>
      <c r="E23" s="24"/>
      <c r="F23" s="24"/>
      <c r="G23" s="24"/>
      <c r="H23" s="24"/>
      <c r="I23" s="24"/>
      <c r="J23" s="24">
        <v>2</v>
      </c>
    </row>
    <row r="24" spans="1:10" x14ac:dyDescent="0.25">
      <c r="A24" s="24"/>
      <c r="B24" s="24">
        <v>7</v>
      </c>
      <c r="C24" s="24"/>
      <c r="D24" s="24"/>
      <c r="E24" s="24"/>
      <c r="F24" s="24"/>
      <c r="G24" s="24"/>
      <c r="H24" s="24"/>
      <c r="I24" s="24"/>
      <c r="J24" s="24"/>
    </row>
    <row r="25" spans="1:10" x14ac:dyDescent="0.25">
      <c r="A25" s="24"/>
      <c r="B25" s="24">
        <v>8</v>
      </c>
      <c r="C25" s="24"/>
      <c r="D25" s="24"/>
      <c r="E25" s="24"/>
      <c r="F25" s="24"/>
      <c r="G25" s="24"/>
      <c r="H25" s="24"/>
      <c r="I25" s="24"/>
      <c r="J25" s="24"/>
    </row>
    <row r="26" spans="1:10" x14ac:dyDescent="0.25">
      <c r="A26" s="24"/>
      <c r="B26" s="24">
        <v>9</v>
      </c>
      <c r="C26" s="24"/>
      <c r="D26" s="24"/>
      <c r="E26" s="24"/>
      <c r="F26" s="24"/>
      <c r="G26" s="24"/>
      <c r="H26" s="24"/>
      <c r="I26" s="24"/>
      <c r="J26" s="24"/>
    </row>
    <row r="27" spans="1:10" x14ac:dyDescent="0.25">
      <c r="A27" s="24"/>
      <c r="B27" s="24">
        <v>10</v>
      </c>
      <c r="C27" s="24"/>
      <c r="D27" s="24"/>
      <c r="E27" s="24"/>
      <c r="F27" s="24"/>
      <c r="G27" s="24"/>
      <c r="H27" s="24"/>
      <c r="I27" s="24"/>
      <c r="J27" s="24"/>
    </row>
    <row r="28" spans="1:10" x14ac:dyDescent="0.25">
      <c r="A28" s="24"/>
      <c r="B28" s="24">
        <v>11</v>
      </c>
      <c r="C28" s="24"/>
      <c r="D28" s="24"/>
      <c r="E28" s="24"/>
      <c r="F28" s="24"/>
      <c r="G28" s="24"/>
      <c r="H28" s="24"/>
      <c r="I28" s="24"/>
      <c r="J28" s="24"/>
    </row>
    <row r="29" spans="1:10" x14ac:dyDescent="0.25">
      <c r="A29" s="24"/>
      <c r="B29" s="24">
        <v>12</v>
      </c>
      <c r="C29" s="24"/>
      <c r="D29" s="24"/>
      <c r="E29" s="24"/>
      <c r="F29" s="24"/>
      <c r="G29" s="24"/>
      <c r="H29" s="24"/>
      <c r="I29" s="24"/>
      <c r="J29" s="24"/>
    </row>
    <row r="30" spans="1:10" x14ac:dyDescent="0.25">
      <c r="A30" s="24"/>
      <c r="B30" s="24">
        <v>13</v>
      </c>
      <c r="C30" s="24"/>
      <c r="D30" s="24"/>
      <c r="E30" s="24"/>
      <c r="F30" s="24"/>
      <c r="G30" s="24"/>
      <c r="H30" s="24"/>
      <c r="I30" s="24"/>
      <c r="J30" s="24"/>
    </row>
    <row r="31" spans="1:10" x14ac:dyDescent="0.25">
      <c r="A31" s="24"/>
      <c r="B31" s="24">
        <v>14</v>
      </c>
      <c r="C31" s="24"/>
      <c r="D31" s="24"/>
      <c r="E31" s="24"/>
      <c r="F31" s="24"/>
      <c r="G31" s="24"/>
      <c r="H31" s="24"/>
      <c r="I31" s="24"/>
      <c r="J31" s="24"/>
    </row>
    <row r="32" spans="1:10" x14ac:dyDescent="0.25">
      <c r="A32" s="24"/>
      <c r="B32" s="24"/>
      <c r="C32" s="24"/>
      <c r="D32" s="24"/>
      <c r="E32" s="24"/>
      <c r="F32" s="24"/>
      <c r="G32" s="24"/>
      <c r="H32" s="24"/>
      <c r="I32" s="24"/>
      <c r="J32" s="24"/>
    </row>
    <row r="33" spans="1:10" x14ac:dyDescent="0.25">
      <c r="A33" s="24" t="s">
        <v>723</v>
      </c>
      <c r="B33" s="24" t="s">
        <v>42</v>
      </c>
      <c r="C33" s="24" t="s">
        <v>724</v>
      </c>
      <c r="D33" s="24" t="s">
        <v>680</v>
      </c>
      <c r="E33" s="24" t="s">
        <v>681</v>
      </c>
      <c r="F33" s="24" t="s">
        <v>725</v>
      </c>
      <c r="G33" s="24" t="s">
        <v>686</v>
      </c>
      <c r="H33" s="24" t="s">
        <v>93</v>
      </c>
      <c r="I33" s="24"/>
      <c r="J33" s="24"/>
    </row>
    <row r="34" spans="1:10" x14ac:dyDescent="0.25">
      <c r="A34" s="24"/>
      <c r="B34" s="24" t="s">
        <v>679</v>
      </c>
      <c r="C34" s="24"/>
      <c r="D34" s="24"/>
      <c r="E34" s="24"/>
      <c r="F34" s="24"/>
      <c r="G34" s="24"/>
      <c r="H34" s="24"/>
      <c r="I34" s="24"/>
      <c r="J34" s="24"/>
    </row>
    <row r="35" spans="1:10" x14ac:dyDescent="0.25">
      <c r="A35" s="24"/>
      <c r="B35" s="24">
        <v>2</v>
      </c>
      <c r="C35" s="24"/>
      <c r="D35" s="24"/>
      <c r="E35" s="24"/>
      <c r="F35" s="24"/>
      <c r="G35" s="24"/>
      <c r="H35" s="24"/>
      <c r="I35" s="24"/>
      <c r="J35" s="24"/>
    </row>
    <row r="36" spans="1:10" x14ac:dyDescent="0.25">
      <c r="A36" s="24"/>
      <c r="B36" s="24">
        <v>3</v>
      </c>
      <c r="C36" s="24"/>
      <c r="D36" s="24"/>
      <c r="E36" s="24"/>
      <c r="F36" s="24"/>
      <c r="G36" s="24"/>
      <c r="H36" s="24"/>
      <c r="I36" s="24"/>
      <c r="J36" s="24"/>
    </row>
    <row r="37" spans="1:10" x14ac:dyDescent="0.25">
      <c r="A37" s="24"/>
      <c r="B37" s="24">
        <v>4</v>
      </c>
      <c r="C37" s="24"/>
      <c r="D37" s="24"/>
      <c r="E37" s="24"/>
      <c r="F37" s="24"/>
      <c r="G37" s="24"/>
      <c r="H37" s="24"/>
      <c r="I37" s="24"/>
      <c r="J37" s="24"/>
    </row>
    <row r="38" spans="1:10" x14ac:dyDescent="0.25">
      <c r="A38" s="24"/>
      <c r="B38" s="24">
        <v>5</v>
      </c>
      <c r="C38" s="24"/>
      <c r="D38" s="24"/>
      <c r="E38" s="24"/>
      <c r="F38" s="24"/>
      <c r="G38" s="24"/>
      <c r="H38" s="24"/>
      <c r="I38" s="24"/>
      <c r="J38" s="24"/>
    </row>
    <row r="39" spans="1:10" x14ac:dyDescent="0.25">
      <c r="A39" s="24"/>
      <c r="B39" s="24">
        <v>6</v>
      </c>
      <c r="C39" s="24"/>
      <c r="D39" s="24"/>
      <c r="E39" s="24"/>
      <c r="F39" s="24"/>
      <c r="G39" s="24"/>
      <c r="H39" s="24"/>
      <c r="I39" s="24"/>
      <c r="J39" s="24">
        <v>3</v>
      </c>
    </row>
    <row r="40" spans="1:10" x14ac:dyDescent="0.25">
      <c r="A40" s="24"/>
      <c r="B40" s="24">
        <v>7</v>
      </c>
      <c r="C40" s="24"/>
      <c r="D40" s="24"/>
      <c r="E40" s="24"/>
      <c r="F40" s="24"/>
      <c r="G40" s="24"/>
      <c r="H40" s="24"/>
      <c r="I40" s="24"/>
      <c r="J40" s="24"/>
    </row>
    <row r="41" spans="1:10" x14ac:dyDescent="0.25">
      <c r="A41" s="24"/>
      <c r="B41" s="24">
        <v>8</v>
      </c>
      <c r="C41" s="24"/>
      <c r="D41" s="24"/>
      <c r="E41" s="24"/>
      <c r="F41" s="24"/>
      <c r="G41" s="24"/>
      <c r="H41" s="24"/>
      <c r="I41" s="24"/>
      <c r="J41" s="24"/>
    </row>
    <row r="42" spans="1:10" x14ac:dyDescent="0.25">
      <c r="A42" s="24"/>
      <c r="B42" s="24">
        <v>9</v>
      </c>
      <c r="C42" s="24"/>
      <c r="D42" s="24"/>
      <c r="E42" s="24"/>
      <c r="F42" s="24"/>
      <c r="G42" s="24"/>
      <c r="H42" s="24"/>
      <c r="I42" s="24"/>
      <c r="J42" s="24"/>
    </row>
    <row r="43" spans="1:10" x14ac:dyDescent="0.25">
      <c r="A43" s="24"/>
      <c r="B43" s="24">
        <v>10</v>
      </c>
      <c r="C43" s="24"/>
      <c r="D43" s="24"/>
      <c r="E43" s="24"/>
      <c r="F43" s="24"/>
      <c r="G43" s="24"/>
      <c r="H43" s="24"/>
      <c r="I43" s="24"/>
      <c r="J43" s="24"/>
    </row>
    <row r="44" spans="1:10" x14ac:dyDescent="0.25">
      <c r="A44" s="24"/>
      <c r="B44" s="24">
        <v>11</v>
      </c>
      <c r="C44" s="24"/>
      <c r="D44" s="24"/>
      <c r="E44" s="24"/>
      <c r="F44" s="24"/>
      <c r="G44" s="24"/>
      <c r="H44" s="24"/>
      <c r="I44" s="24"/>
      <c r="J44" s="24"/>
    </row>
    <row r="45" spans="1:10" x14ac:dyDescent="0.25">
      <c r="A45" s="24"/>
      <c r="B45" s="24">
        <v>12</v>
      </c>
      <c r="C45" s="24"/>
      <c r="D45" s="24"/>
      <c r="E45" s="24"/>
      <c r="F45" s="24"/>
      <c r="G45" s="24"/>
      <c r="H45" s="24"/>
      <c r="I45" s="24"/>
      <c r="J45" s="24"/>
    </row>
    <row r="46" spans="1:10" x14ac:dyDescent="0.25">
      <c r="A46" s="24"/>
      <c r="B46" s="24">
        <v>13</v>
      </c>
      <c r="C46" s="24"/>
      <c r="D46" s="24"/>
      <c r="E46" s="24"/>
      <c r="F46" s="24"/>
      <c r="G46" s="24"/>
      <c r="H46" s="24"/>
      <c r="I46" s="24"/>
      <c r="J46" s="24"/>
    </row>
    <row r="47" spans="1:10" x14ac:dyDescent="0.25">
      <c r="A47" s="24"/>
      <c r="B47" s="24">
        <v>14</v>
      </c>
      <c r="C47" s="24"/>
      <c r="D47" s="24"/>
      <c r="E47" s="24"/>
      <c r="F47" s="24"/>
      <c r="G47" s="24"/>
      <c r="H47" s="24"/>
      <c r="I47" s="24"/>
      <c r="J47" s="24"/>
    </row>
    <row r="48" spans="1:10" x14ac:dyDescent="0.25">
      <c r="G48" s="56"/>
    </row>
    <row r="49" spans="1:7" x14ac:dyDescent="0.25">
      <c r="A49" s="20"/>
      <c r="B49" s="20"/>
      <c r="C49" s="20"/>
      <c r="D49" s="20"/>
      <c r="E49" s="20"/>
      <c r="F49" s="20"/>
      <c r="G49" s="20"/>
    </row>
    <row r="50" spans="1:7" x14ac:dyDescent="0.25">
      <c r="A50" s="20"/>
      <c r="B50" s="20"/>
      <c r="C50" s="20"/>
      <c r="D50" s="20"/>
      <c r="E50" s="20"/>
      <c r="F50" s="20"/>
      <c r="G50" s="56"/>
    </row>
    <row r="51" spans="1:7" x14ac:dyDescent="0.25">
      <c r="A51" s="20"/>
      <c r="B51" s="20"/>
      <c r="C51" s="20"/>
      <c r="D51" s="20"/>
      <c r="E51" s="20"/>
      <c r="F51" s="20"/>
      <c r="G51" s="56"/>
    </row>
    <row r="52" spans="1:7" x14ac:dyDescent="0.25">
      <c r="A52" s="20"/>
      <c r="B52" s="20"/>
      <c r="C52" s="20"/>
      <c r="D52" s="20"/>
      <c r="E52" s="20"/>
      <c r="F52" s="20"/>
      <c r="G52" s="56"/>
    </row>
    <row r="53" spans="1:7" x14ac:dyDescent="0.25">
      <c r="A53" s="20"/>
      <c r="B53" s="20"/>
      <c r="C53" s="20"/>
      <c r="D53" s="20"/>
      <c r="E53" s="20"/>
      <c r="F53" s="20"/>
      <c r="G53" s="56"/>
    </row>
    <row r="54" spans="1:7" x14ac:dyDescent="0.25">
      <c r="A54" s="20"/>
      <c r="B54" s="20"/>
      <c r="C54" s="20"/>
      <c r="D54" s="20"/>
      <c r="E54" s="20"/>
      <c r="F54" s="20"/>
      <c r="G54" s="56"/>
    </row>
    <row r="55" spans="1:7" x14ac:dyDescent="0.25">
      <c r="A55" s="20"/>
      <c r="B55" s="20"/>
      <c r="C55" s="20"/>
      <c r="D55" s="20"/>
      <c r="E55" s="20"/>
      <c r="F55" s="20"/>
      <c r="G55" s="56"/>
    </row>
    <row r="56" spans="1:7" x14ac:dyDescent="0.25">
      <c r="A56" s="20"/>
      <c r="B56" s="20"/>
      <c r="C56" s="20"/>
      <c r="D56" s="20"/>
      <c r="E56" s="20"/>
      <c r="F56" s="20"/>
      <c r="G56" s="56"/>
    </row>
    <row r="57" spans="1:7" x14ac:dyDescent="0.25">
      <c r="A57" s="20"/>
      <c r="B57" s="20"/>
      <c r="C57" s="20"/>
      <c r="D57" s="20"/>
      <c r="E57" s="20"/>
      <c r="F57" s="20"/>
      <c r="G57" s="56"/>
    </row>
    <row r="58" spans="1:7" x14ac:dyDescent="0.25">
      <c r="A58" s="20"/>
      <c r="B58" s="20"/>
      <c r="C58" s="20"/>
      <c r="D58" s="20"/>
      <c r="E58" s="20"/>
      <c r="F58" s="20"/>
      <c r="G58" s="56"/>
    </row>
    <row r="59" spans="1:7" x14ac:dyDescent="0.25">
      <c r="A59" s="20"/>
      <c r="B59" s="20"/>
      <c r="C59" s="20"/>
      <c r="D59" s="20"/>
      <c r="E59" s="20"/>
      <c r="F59" s="20"/>
      <c r="G59" s="56"/>
    </row>
    <row r="60" spans="1:7" x14ac:dyDescent="0.25">
      <c r="A60" s="20"/>
      <c r="B60" s="170"/>
      <c r="C60" s="20"/>
      <c r="D60" s="20"/>
      <c r="E60" s="20"/>
      <c r="F60" s="20"/>
      <c r="G60" s="56"/>
    </row>
    <row r="61" spans="1:7" x14ac:dyDescent="0.25">
      <c r="A61" s="20"/>
      <c r="B61" s="170"/>
      <c r="C61" s="20"/>
      <c r="D61" s="20"/>
      <c r="E61" s="20"/>
      <c r="F61" s="20"/>
      <c r="G61" s="56"/>
    </row>
    <row r="62" spans="1:7" x14ac:dyDescent="0.25">
      <c r="A62" s="20"/>
      <c r="B62" s="170"/>
      <c r="C62" s="20"/>
      <c r="D62" s="20"/>
      <c r="E62" s="20"/>
      <c r="F62" s="20"/>
      <c r="G62" s="56"/>
    </row>
    <row r="63" spans="1:7" x14ac:dyDescent="0.25">
      <c r="A63" s="20"/>
      <c r="G63" s="56"/>
    </row>
    <row r="64" spans="1:7" x14ac:dyDescent="0.25">
      <c r="G64" s="56"/>
    </row>
    <row r="65" spans="1:7" x14ac:dyDescent="0.25">
      <c r="A65" s="20"/>
      <c r="B65" s="20"/>
      <c r="C65" s="20"/>
      <c r="D65" s="20"/>
      <c r="E65" s="20"/>
      <c r="F65" s="20"/>
      <c r="G65" s="20"/>
    </row>
    <row r="66" spans="1:7" x14ac:dyDescent="0.25">
      <c r="A66" s="20"/>
      <c r="B66" s="20"/>
      <c r="C66" s="20"/>
      <c r="D66" s="20"/>
      <c r="E66" s="20"/>
      <c r="F66" s="20"/>
      <c r="G66" s="56"/>
    </row>
    <row r="67" spans="1:7" x14ac:dyDescent="0.25">
      <c r="A67" s="20"/>
      <c r="B67" s="20"/>
      <c r="C67" s="20"/>
      <c r="D67" s="20"/>
      <c r="E67" s="20"/>
      <c r="F67" s="20"/>
      <c r="G67" s="56"/>
    </row>
    <row r="68" spans="1:7" x14ac:dyDescent="0.25">
      <c r="A68" s="20"/>
      <c r="B68" s="20"/>
      <c r="C68" s="20"/>
      <c r="D68" s="20"/>
      <c r="E68" s="20"/>
      <c r="F68" s="20"/>
      <c r="G68" s="56"/>
    </row>
    <row r="69" spans="1:7" x14ac:dyDescent="0.25">
      <c r="A69" s="20"/>
      <c r="B69" s="20"/>
      <c r="C69" s="20"/>
      <c r="D69" s="20"/>
      <c r="E69" s="20"/>
      <c r="F69" s="20"/>
      <c r="G69" s="56"/>
    </row>
    <row r="70" spans="1:7" x14ac:dyDescent="0.25">
      <c r="A70" s="20"/>
      <c r="B70" s="20"/>
      <c r="C70" s="20"/>
      <c r="D70" s="20"/>
      <c r="E70" s="20"/>
      <c r="F70" s="20"/>
      <c r="G70" s="56"/>
    </row>
    <row r="71" spans="1:7" x14ac:dyDescent="0.25">
      <c r="A71" s="20"/>
      <c r="B71" s="20"/>
      <c r="C71" s="20"/>
      <c r="D71" s="20"/>
      <c r="E71" s="20"/>
      <c r="F71" s="20"/>
      <c r="G71" s="56"/>
    </row>
    <row r="72" spans="1:7" x14ac:dyDescent="0.25">
      <c r="A72" s="20"/>
      <c r="B72" s="20"/>
      <c r="C72" s="20"/>
      <c r="D72" s="20"/>
      <c r="E72" s="20"/>
      <c r="F72" s="20"/>
      <c r="G72" s="56"/>
    </row>
    <row r="73" spans="1:7" x14ac:dyDescent="0.25">
      <c r="A73" s="20"/>
      <c r="B73" s="20"/>
      <c r="C73" s="20"/>
      <c r="D73" s="20"/>
      <c r="E73" s="20"/>
      <c r="F73" s="20"/>
      <c r="G73" s="56"/>
    </row>
    <row r="74" spans="1:7" x14ac:dyDescent="0.25">
      <c r="A74" s="20"/>
      <c r="B74" s="20"/>
      <c r="C74" s="20"/>
      <c r="D74" s="20"/>
      <c r="E74" s="20"/>
      <c r="F74" s="20"/>
      <c r="G74" s="56"/>
    </row>
    <row r="75" spans="1:7" x14ac:dyDescent="0.25">
      <c r="A75" s="20"/>
      <c r="B75" s="20"/>
      <c r="C75" s="20"/>
      <c r="D75" s="20"/>
      <c r="E75" s="20"/>
      <c r="F75" s="20"/>
      <c r="G75" s="56"/>
    </row>
    <row r="76" spans="1:7" x14ac:dyDescent="0.25">
      <c r="A76" s="20"/>
      <c r="B76" s="170"/>
      <c r="C76" s="20"/>
      <c r="D76" s="20"/>
      <c r="E76" s="20"/>
      <c r="F76" s="20"/>
      <c r="G76" s="56"/>
    </row>
    <row r="77" spans="1:7" x14ac:dyDescent="0.25">
      <c r="A77" s="20"/>
      <c r="B77" s="170"/>
      <c r="C77" s="20"/>
      <c r="D77" s="20"/>
      <c r="E77" s="20"/>
      <c r="F77" s="20"/>
      <c r="G77" s="56"/>
    </row>
    <row r="78" spans="1:7" x14ac:dyDescent="0.25">
      <c r="A78" s="20"/>
      <c r="B78" s="170"/>
      <c r="C78" s="20"/>
      <c r="D78" s="20"/>
      <c r="E78" s="20"/>
      <c r="F78" s="20"/>
      <c r="G78" s="56"/>
    </row>
    <row r="79" spans="1:7" x14ac:dyDescent="0.25">
      <c r="A79" s="20"/>
      <c r="G79" s="56"/>
    </row>
    <row r="80" spans="1:7" x14ac:dyDescent="0.25">
      <c r="G80" s="56"/>
    </row>
    <row r="81" spans="1:7" x14ac:dyDescent="0.25">
      <c r="A81" s="20"/>
      <c r="B81" s="20"/>
      <c r="C81" s="20"/>
      <c r="D81" s="20"/>
      <c r="E81" s="20"/>
      <c r="F81" s="20"/>
      <c r="G81" s="20"/>
    </row>
    <row r="82" spans="1:7" x14ac:dyDescent="0.25">
      <c r="A82" s="20"/>
      <c r="B82" s="20"/>
      <c r="C82" s="20"/>
      <c r="D82" s="20"/>
      <c r="E82" s="20"/>
      <c r="F82" s="20"/>
      <c r="G82" s="56"/>
    </row>
    <row r="83" spans="1:7" x14ac:dyDescent="0.25">
      <c r="A83" s="20"/>
      <c r="B83" s="20"/>
      <c r="C83" s="20"/>
      <c r="D83" s="20"/>
      <c r="E83" s="20"/>
      <c r="F83" s="20"/>
      <c r="G83" s="56"/>
    </row>
    <row r="84" spans="1:7" x14ac:dyDescent="0.25">
      <c r="A84" s="20"/>
      <c r="B84" s="20"/>
      <c r="C84" s="20"/>
      <c r="D84" s="20"/>
      <c r="E84" s="20"/>
      <c r="F84" s="20"/>
      <c r="G84" s="56"/>
    </row>
    <row r="85" spans="1:7" x14ac:dyDescent="0.25">
      <c r="A85" s="20"/>
      <c r="B85" s="20"/>
      <c r="C85" s="20"/>
      <c r="D85" s="20"/>
      <c r="E85" s="20"/>
      <c r="F85" s="20"/>
      <c r="G85" s="56"/>
    </row>
    <row r="86" spans="1:7" x14ac:dyDescent="0.25">
      <c r="A86" s="20"/>
      <c r="B86" s="20"/>
      <c r="C86" s="20"/>
      <c r="D86" s="20"/>
      <c r="E86" s="20"/>
      <c r="F86" s="20"/>
      <c r="G86" s="56"/>
    </row>
    <row r="87" spans="1:7" x14ac:dyDescent="0.25">
      <c r="A87" s="20"/>
      <c r="B87" s="20"/>
      <c r="C87" s="20"/>
      <c r="D87" s="20"/>
      <c r="E87" s="20"/>
      <c r="F87" s="20"/>
      <c r="G87" s="56"/>
    </row>
    <row r="88" spans="1:7" x14ac:dyDescent="0.25">
      <c r="A88" s="20"/>
      <c r="B88" s="20"/>
      <c r="C88" s="20"/>
      <c r="D88" s="20"/>
      <c r="E88" s="20"/>
      <c r="F88" s="20"/>
      <c r="G88" s="56"/>
    </row>
    <row r="89" spans="1:7" x14ac:dyDescent="0.25">
      <c r="A89" s="20"/>
      <c r="B89" s="20"/>
      <c r="C89" s="20"/>
      <c r="D89" s="20"/>
      <c r="E89" s="20"/>
      <c r="F89" s="20"/>
      <c r="G89" s="56"/>
    </row>
    <row r="90" spans="1:7" x14ac:dyDescent="0.25">
      <c r="A90" s="20"/>
      <c r="B90" s="20"/>
      <c r="C90" s="20"/>
      <c r="D90" s="20"/>
      <c r="E90" s="20"/>
      <c r="F90" s="20"/>
      <c r="G90" s="56"/>
    </row>
    <row r="91" spans="1:7" x14ac:dyDescent="0.25">
      <c r="A91" s="20"/>
      <c r="B91" s="20"/>
      <c r="C91" s="20"/>
      <c r="D91" s="20"/>
      <c r="E91" s="20"/>
      <c r="F91" s="20"/>
      <c r="G91" s="56"/>
    </row>
    <row r="92" spans="1:7" x14ac:dyDescent="0.25">
      <c r="A92" s="20"/>
      <c r="B92" s="170"/>
      <c r="C92" s="20"/>
      <c r="D92" s="20"/>
      <c r="E92" s="20"/>
      <c r="F92" s="20"/>
      <c r="G92" s="56"/>
    </row>
    <row r="93" spans="1:7" x14ac:dyDescent="0.25">
      <c r="A93" s="20"/>
      <c r="B93" s="170"/>
      <c r="C93" s="20"/>
      <c r="D93" s="20"/>
      <c r="E93" s="20"/>
      <c r="F93" s="20"/>
      <c r="G93" s="56"/>
    </row>
    <row r="94" spans="1:7" x14ac:dyDescent="0.25">
      <c r="A94" s="20"/>
      <c r="B94" s="170"/>
      <c r="C94" s="20"/>
      <c r="D94" s="20"/>
      <c r="E94" s="20"/>
      <c r="F94" s="20"/>
      <c r="G94" s="56"/>
    </row>
    <row r="95" spans="1:7" x14ac:dyDescent="0.25">
      <c r="A95" s="20"/>
      <c r="G95" s="56"/>
    </row>
    <row r="96" spans="1:7" x14ac:dyDescent="0.25">
      <c r="G96" s="56"/>
    </row>
    <row r="97" spans="1:7" x14ac:dyDescent="0.25">
      <c r="A97" s="20"/>
      <c r="B97" s="20"/>
      <c r="C97" s="20"/>
      <c r="D97" s="20"/>
      <c r="E97" s="20"/>
      <c r="F97" s="20"/>
      <c r="G97" s="20"/>
    </row>
    <row r="98" spans="1:7" x14ac:dyDescent="0.25">
      <c r="A98" s="20"/>
      <c r="B98" s="20"/>
      <c r="C98" s="20"/>
      <c r="D98" s="20"/>
      <c r="E98" s="20"/>
      <c r="F98" s="20"/>
      <c r="G98" s="56"/>
    </row>
    <row r="99" spans="1:7" x14ac:dyDescent="0.25">
      <c r="A99" s="20"/>
      <c r="B99" s="20"/>
      <c r="C99" s="20"/>
      <c r="D99" s="20"/>
      <c r="E99" s="20"/>
      <c r="F99" s="20"/>
      <c r="G99" s="56"/>
    </row>
    <row r="100" spans="1:7" x14ac:dyDescent="0.25">
      <c r="A100" s="20"/>
      <c r="B100" s="20"/>
      <c r="C100" s="20"/>
      <c r="D100" s="20"/>
      <c r="E100" s="20"/>
      <c r="F100" s="20"/>
      <c r="G100" s="56"/>
    </row>
    <row r="101" spans="1:7" x14ac:dyDescent="0.25">
      <c r="A101" s="20"/>
      <c r="B101" s="20"/>
      <c r="C101" s="20"/>
      <c r="D101" s="20"/>
      <c r="E101" s="20"/>
      <c r="F101" s="20"/>
      <c r="G101" s="56"/>
    </row>
    <row r="102" spans="1:7" x14ac:dyDescent="0.25">
      <c r="A102" s="20"/>
      <c r="B102" s="20"/>
      <c r="C102" s="20"/>
      <c r="D102" s="20"/>
      <c r="E102" s="20"/>
      <c r="F102" s="20"/>
      <c r="G102" s="56"/>
    </row>
    <row r="103" spans="1:7" x14ac:dyDescent="0.25">
      <c r="A103" s="20"/>
      <c r="B103" s="20"/>
      <c r="C103" s="20"/>
      <c r="D103" s="20"/>
      <c r="E103" s="20"/>
      <c r="F103" s="20"/>
      <c r="G103" s="56"/>
    </row>
    <row r="104" spans="1:7" x14ac:dyDescent="0.25">
      <c r="A104" s="20"/>
      <c r="B104" s="20"/>
      <c r="C104" s="20"/>
      <c r="D104" s="20"/>
      <c r="E104" s="20"/>
      <c r="F104" s="20"/>
      <c r="G104" s="56"/>
    </row>
    <row r="105" spans="1:7" x14ac:dyDescent="0.25">
      <c r="A105" s="20"/>
      <c r="B105" s="20"/>
      <c r="C105" s="20"/>
      <c r="D105" s="20"/>
      <c r="E105" s="20"/>
      <c r="F105" s="20"/>
      <c r="G105" s="56"/>
    </row>
    <row r="106" spans="1:7" x14ac:dyDescent="0.25">
      <c r="A106" s="20"/>
      <c r="B106" s="20"/>
      <c r="C106" s="20"/>
      <c r="D106" s="20"/>
      <c r="E106" s="20"/>
      <c r="F106" s="20"/>
      <c r="G106" s="56"/>
    </row>
    <row r="107" spans="1:7" x14ac:dyDescent="0.25">
      <c r="A107" s="20"/>
      <c r="B107" s="20"/>
      <c r="C107" s="20"/>
      <c r="D107" s="20"/>
      <c r="E107" s="20"/>
      <c r="F107" s="20"/>
      <c r="G107" s="56"/>
    </row>
    <row r="108" spans="1:7" x14ac:dyDescent="0.25">
      <c r="A108" s="20"/>
      <c r="B108" s="170"/>
      <c r="C108" s="20"/>
      <c r="D108" s="20"/>
      <c r="E108" s="20"/>
      <c r="F108" s="20"/>
      <c r="G108" s="56"/>
    </row>
    <row r="109" spans="1:7" x14ac:dyDescent="0.25">
      <c r="A109" s="20"/>
      <c r="B109" s="170"/>
      <c r="C109" s="20"/>
      <c r="D109" s="20"/>
      <c r="E109" s="20"/>
      <c r="F109" s="20"/>
      <c r="G109" s="56"/>
    </row>
    <row r="110" spans="1:7" x14ac:dyDescent="0.25">
      <c r="A110" s="20"/>
      <c r="B110" s="170"/>
      <c r="C110" s="20"/>
      <c r="D110" s="20"/>
      <c r="E110" s="20"/>
      <c r="F110" s="20"/>
      <c r="G110" s="56"/>
    </row>
    <row r="111" spans="1:7" x14ac:dyDescent="0.25">
      <c r="A111" s="20"/>
      <c r="G111" s="56"/>
    </row>
    <row r="112" spans="1:7" x14ac:dyDescent="0.25">
      <c r="G112" s="56"/>
    </row>
    <row r="113" spans="1:7" x14ac:dyDescent="0.25">
      <c r="A113" s="20"/>
      <c r="B113" s="20"/>
      <c r="C113" s="20"/>
      <c r="D113" s="20"/>
      <c r="E113" s="20"/>
      <c r="F113" s="20"/>
      <c r="G113" s="20"/>
    </row>
    <row r="114" spans="1:7" x14ac:dyDescent="0.25">
      <c r="A114" s="20"/>
      <c r="B114" s="20"/>
      <c r="C114" s="20"/>
      <c r="D114" s="20"/>
      <c r="E114" s="20"/>
      <c r="F114" s="20"/>
      <c r="G114" s="56"/>
    </row>
    <row r="115" spans="1:7" x14ac:dyDescent="0.25">
      <c r="A115" s="20"/>
      <c r="B115" s="20"/>
      <c r="C115" s="20"/>
      <c r="D115" s="20"/>
      <c r="E115" s="20"/>
      <c r="F115" s="20"/>
      <c r="G115" s="56"/>
    </row>
    <row r="116" spans="1:7" x14ac:dyDescent="0.25">
      <c r="A116" s="20"/>
      <c r="B116" s="20"/>
      <c r="C116" s="20"/>
      <c r="D116" s="20"/>
      <c r="E116" s="20"/>
      <c r="F116" s="20"/>
      <c r="G116" s="56"/>
    </row>
    <row r="117" spans="1:7" x14ac:dyDescent="0.25">
      <c r="A117" s="20"/>
      <c r="B117" s="20"/>
      <c r="C117" s="20"/>
      <c r="D117" s="20"/>
      <c r="E117" s="20"/>
      <c r="F117" s="20"/>
      <c r="G117" s="56"/>
    </row>
    <row r="118" spans="1:7" x14ac:dyDescent="0.25">
      <c r="A118" s="20"/>
      <c r="B118" s="20"/>
      <c r="C118" s="20"/>
      <c r="D118" s="20"/>
      <c r="E118" s="20"/>
      <c r="F118" s="20"/>
      <c r="G118" s="56"/>
    </row>
    <row r="119" spans="1:7" x14ac:dyDescent="0.25">
      <c r="A119" s="20"/>
      <c r="B119" s="20"/>
      <c r="C119" s="20"/>
      <c r="D119" s="20"/>
      <c r="E119" s="20"/>
      <c r="F119" s="20"/>
      <c r="G119" s="56"/>
    </row>
    <row r="120" spans="1:7" x14ac:dyDescent="0.25">
      <c r="A120" s="20"/>
      <c r="B120" s="20"/>
      <c r="C120" s="20"/>
      <c r="D120" s="20"/>
      <c r="E120" s="20"/>
      <c r="F120" s="20"/>
      <c r="G120" s="56"/>
    </row>
    <row r="121" spans="1:7" x14ac:dyDescent="0.25">
      <c r="A121" s="20"/>
      <c r="B121" s="20"/>
      <c r="C121" s="20"/>
      <c r="D121" s="20"/>
      <c r="E121" s="20"/>
      <c r="F121" s="20"/>
      <c r="G121" s="56"/>
    </row>
    <row r="122" spans="1:7" x14ac:dyDescent="0.25">
      <c r="A122" s="20"/>
      <c r="B122" s="20"/>
      <c r="C122" s="20"/>
      <c r="D122" s="20"/>
      <c r="E122" s="20"/>
      <c r="F122" s="20"/>
      <c r="G122" s="56"/>
    </row>
    <row r="123" spans="1:7" x14ac:dyDescent="0.25">
      <c r="A123" s="20"/>
      <c r="B123" s="20"/>
      <c r="C123" s="20"/>
      <c r="D123" s="20"/>
      <c r="E123" s="20"/>
      <c r="F123" s="20"/>
      <c r="G123" s="56"/>
    </row>
    <row r="124" spans="1:7" x14ac:dyDescent="0.25">
      <c r="A124" s="20"/>
      <c r="B124" s="170"/>
      <c r="C124" s="20"/>
      <c r="D124" s="20"/>
      <c r="E124" s="20"/>
      <c r="F124" s="20"/>
      <c r="G124" s="56"/>
    </row>
    <row r="125" spans="1:7" x14ac:dyDescent="0.25">
      <c r="A125" s="20"/>
      <c r="B125" s="170"/>
      <c r="C125" s="20"/>
      <c r="D125" s="20"/>
      <c r="E125" s="20"/>
      <c r="F125" s="20"/>
      <c r="G125" s="56"/>
    </row>
    <row r="126" spans="1:7" x14ac:dyDescent="0.25">
      <c r="A126" s="20"/>
      <c r="B126" s="170"/>
      <c r="C126" s="20"/>
      <c r="D126" s="20"/>
      <c r="E126" s="20"/>
      <c r="F126" s="20"/>
      <c r="G126" s="56"/>
    </row>
    <row r="127" spans="1:7" x14ac:dyDescent="0.25">
      <c r="A127" s="20"/>
      <c r="G127" s="56"/>
    </row>
    <row r="128" spans="1:7" x14ac:dyDescent="0.25">
      <c r="G128" s="56"/>
    </row>
    <row r="129" spans="1:7" x14ac:dyDescent="0.25">
      <c r="A129" s="20"/>
      <c r="B129" s="20"/>
      <c r="C129" s="20"/>
      <c r="D129" s="20"/>
      <c r="E129" s="20"/>
      <c r="F129" s="20"/>
      <c r="G129" s="20"/>
    </row>
    <row r="130" spans="1:7" x14ac:dyDescent="0.25">
      <c r="A130" s="20"/>
      <c r="B130" s="20"/>
      <c r="C130" s="20"/>
      <c r="D130" s="20"/>
      <c r="E130" s="20"/>
      <c r="F130" s="20"/>
      <c r="G130" s="56"/>
    </row>
    <row r="131" spans="1:7" x14ac:dyDescent="0.25">
      <c r="A131" s="20"/>
      <c r="B131" s="20"/>
      <c r="C131" s="20"/>
      <c r="D131" s="20"/>
      <c r="E131" s="20"/>
      <c r="F131" s="20"/>
      <c r="G131" s="56"/>
    </row>
    <row r="132" spans="1:7" x14ac:dyDescent="0.25">
      <c r="A132" s="20"/>
      <c r="B132" s="20"/>
      <c r="C132" s="20"/>
      <c r="D132" s="20"/>
      <c r="E132" s="20"/>
      <c r="F132" s="20"/>
      <c r="G132" s="56"/>
    </row>
    <row r="133" spans="1:7" x14ac:dyDescent="0.25">
      <c r="A133" s="20"/>
      <c r="B133" s="20"/>
      <c r="C133" s="20"/>
      <c r="D133" s="20"/>
      <c r="E133" s="20"/>
      <c r="F133" s="20"/>
      <c r="G133" s="56"/>
    </row>
    <row r="134" spans="1:7" x14ac:dyDescent="0.25">
      <c r="A134" s="20"/>
      <c r="B134" s="20"/>
      <c r="C134" s="20"/>
      <c r="D134" s="20"/>
      <c r="E134" s="20"/>
      <c r="F134" s="20"/>
      <c r="G134" s="56"/>
    </row>
    <row r="135" spans="1:7" x14ac:dyDescent="0.25">
      <c r="A135" s="20"/>
      <c r="B135" s="20"/>
      <c r="C135" s="20"/>
      <c r="D135" s="20"/>
      <c r="E135" s="20"/>
      <c r="F135" s="20"/>
      <c r="G135" s="56"/>
    </row>
    <row r="136" spans="1:7" x14ac:dyDescent="0.25">
      <c r="A136" s="20"/>
      <c r="B136" s="20"/>
      <c r="C136" s="20"/>
      <c r="D136" s="20"/>
      <c r="E136" s="20"/>
      <c r="F136" s="20"/>
      <c r="G136" s="56"/>
    </row>
    <row r="137" spans="1:7" x14ac:dyDescent="0.25">
      <c r="A137" s="20"/>
      <c r="B137" s="20"/>
      <c r="C137" s="20"/>
      <c r="D137" s="20"/>
      <c r="E137" s="20"/>
      <c r="F137" s="20"/>
      <c r="G137" s="56"/>
    </row>
    <row r="138" spans="1:7" x14ac:dyDescent="0.25">
      <c r="A138" s="20"/>
      <c r="B138" s="20"/>
      <c r="C138" s="20"/>
      <c r="D138" s="20"/>
      <c r="E138" s="20"/>
      <c r="F138" s="20"/>
      <c r="G138" s="56"/>
    </row>
    <row r="139" spans="1:7" x14ac:dyDescent="0.25">
      <c r="A139" s="20"/>
      <c r="B139" s="20"/>
      <c r="C139" s="20"/>
      <c r="D139" s="20"/>
      <c r="E139" s="20"/>
      <c r="F139" s="20"/>
      <c r="G139" s="56"/>
    </row>
    <row r="140" spans="1:7" x14ac:dyDescent="0.25">
      <c r="A140" s="20"/>
      <c r="B140" s="170"/>
      <c r="C140" s="20"/>
      <c r="D140" s="20"/>
      <c r="E140" s="20"/>
      <c r="F140" s="20"/>
      <c r="G140" s="56"/>
    </row>
    <row r="141" spans="1:7" x14ac:dyDescent="0.25">
      <c r="A141" s="20"/>
      <c r="B141" s="170"/>
      <c r="C141" s="20"/>
      <c r="D141" s="20"/>
      <c r="E141" s="20"/>
      <c r="F141" s="20"/>
      <c r="G141" s="56"/>
    </row>
    <row r="142" spans="1:7" x14ac:dyDescent="0.25">
      <c r="A142" s="20"/>
      <c r="B142" s="170"/>
      <c r="C142" s="20"/>
      <c r="D142" s="20"/>
      <c r="E142" s="20"/>
      <c r="F142" s="20"/>
      <c r="G142" s="56"/>
    </row>
    <row r="143" spans="1:7" x14ac:dyDescent="0.25">
      <c r="A143" s="20"/>
      <c r="G143" s="56"/>
    </row>
    <row r="144" spans="1:7" x14ac:dyDescent="0.25">
      <c r="G144" s="56"/>
    </row>
    <row r="145" spans="1:7" x14ac:dyDescent="0.25">
      <c r="A145" s="20"/>
      <c r="B145" s="20"/>
      <c r="C145" s="20"/>
      <c r="D145" s="20"/>
      <c r="E145" s="20"/>
      <c r="F145" s="20"/>
      <c r="G145" s="20"/>
    </row>
    <row r="146" spans="1:7" x14ac:dyDescent="0.25">
      <c r="A146" s="20"/>
      <c r="B146" s="20"/>
      <c r="C146" s="20"/>
      <c r="D146" s="20"/>
      <c r="E146" s="20"/>
      <c r="F146" s="20"/>
      <c r="G146" s="56"/>
    </row>
    <row r="147" spans="1:7" x14ac:dyDescent="0.25">
      <c r="A147" s="20"/>
      <c r="B147" s="20"/>
      <c r="C147" s="20"/>
      <c r="D147" s="20"/>
      <c r="E147" s="20"/>
      <c r="F147" s="20"/>
      <c r="G147" s="56"/>
    </row>
    <row r="148" spans="1:7" x14ac:dyDescent="0.25">
      <c r="A148" s="20"/>
      <c r="B148" s="20"/>
      <c r="C148" s="20"/>
      <c r="D148" s="20"/>
      <c r="E148" s="20"/>
      <c r="F148" s="20"/>
      <c r="G148" s="56"/>
    </row>
    <row r="149" spans="1:7" x14ac:dyDescent="0.25">
      <c r="A149" s="20"/>
      <c r="B149" s="20"/>
      <c r="C149" s="20"/>
      <c r="D149" s="20"/>
      <c r="E149" s="20"/>
      <c r="F149" s="20"/>
      <c r="G149" s="56"/>
    </row>
    <row r="150" spans="1:7" x14ac:dyDescent="0.25">
      <c r="A150" s="20"/>
      <c r="B150" s="20"/>
      <c r="C150" s="20"/>
      <c r="D150" s="20"/>
      <c r="E150" s="20"/>
      <c r="F150" s="20"/>
      <c r="G150" s="56"/>
    </row>
    <row r="151" spans="1:7" x14ac:dyDescent="0.25">
      <c r="A151" s="20"/>
      <c r="B151" s="20"/>
      <c r="C151" s="20"/>
      <c r="D151" s="20"/>
      <c r="E151" s="20"/>
      <c r="F151" s="20"/>
      <c r="G151" s="56"/>
    </row>
    <row r="152" spans="1:7" x14ac:dyDescent="0.25">
      <c r="A152" s="20"/>
      <c r="B152" s="20"/>
      <c r="C152" s="20"/>
      <c r="D152" s="20"/>
      <c r="E152" s="20"/>
      <c r="F152" s="20"/>
      <c r="G152" s="56"/>
    </row>
    <row r="153" spans="1:7" x14ac:dyDescent="0.25">
      <c r="A153" s="20"/>
      <c r="B153" s="20"/>
      <c r="C153" s="20"/>
      <c r="D153" s="20"/>
      <c r="E153" s="20"/>
      <c r="F153" s="20"/>
      <c r="G153" s="56"/>
    </row>
    <row r="154" spans="1:7" x14ac:dyDescent="0.25">
      <c r="A154" s="20"/>
      <c r="B154" s="20"/>
      <c r="C154" s="20"/>
      <c r="D154" s="20"/>
      <c r="E154" s="20"/>
      <c r="F154" s="20"/>
      <c r="G154" s="56"/>
    </row>
    <row r="155" spans="1:7" x14ac:dyDescent="0.25">
      <c r="A155" s="20"/>
      <c r="B155" s="20"/>
      <c r="C155" s="20"/>
      <c r="D155" s="20"/>
      <c r="E155" s="20"/>
      <c r="F155" s="20"/>
      <c r="G155" s="56"/>
    </row>
    <row r="156" spans="1:7" x14ac:dyDescent="0.25">
      <c r="A156" s="20"/>
      <c r="B156" s="170"/>
      <c r="C156" s="20"/>
      <c r="D156" s="20"/>
      <c r="E156" s="20"/>
      <c r="F156" s="20"/>
      <c r="G156" s="56"/>
    </row>
    <row r="157" spans="1:7" x14ac:dyDescent="0.25">
      <c r="A157" s="20"/>
      <c r="B157" s="170"/>
      <c r="C157" s="20"/>
      <c r="D157" s="20"/>
      <c r="E157" s="20"/>
      <c r="F157" s="20"/>
      <c r="G157" s="56"/>
    </row>
    <row r="158" spans="1:7" x14ac:dyDescent="0.25">
      <c r="A158" s="20"/>
      <c r="B158" s="170"/>
      <c r="C158" s="20"/>
      <c r="D158" s="20"/>
      <c r="E158" s="20"/>
      <c r="F158" s="20"/>
      <c r="G158" s="56"/>
    </row>
    <row r="159" spans="1:7" x14ac:dyDescent="0.25">
      <c r="A159" s="20"/>
      <c r="G159" s="56"/>
    </row>
    <row r="160" spans="1:7" x14ac:dyDescent="0.25">
      <c r="G160" s="56"/>
    </row>
    <row r="161" spans="1:7" x14ac:dyDescent="0.25">
      <c r="A161" s="20"/>
      <c r="B161" s="20"/>
      <c r="C161" s="20"/>
      <c r="D161" s="20"/>
      <c r="E161" s="20"/>
      <c r="F161" s="20"/>
      <c r="G161" s="20"/>
    </row>
    <row r="162" spans="1:7" x14ac:dyDescent="0.25">
      <c r="A162" s="20"/>
      <c r="B162" s="20"/>
      <c r="C162" s="20"/>
      <c r="D162" s="20"/>
      <c r="E162" s="20"/>
      <c r="F162" s="20"/>
      <c r="G162" s="56"/>
    </row>
    <row r="163" spans="1:7" x14ac:dyDescent="0.25">
      <c r="A163" s="20"/>
      <c r="B163" s="20"/>
      <c r="C163" s="20"/>
      <c r="D163" s="20"/>
      <c r="E163" s="20"/>
      <c r="F163" s="20"/>
      <c r="G163" s="56"/>
    </row>
    <row r="164" spans="1:7" x14ac:dyDescent="0.25">
      <c r="A164" s="20"/>
      <c r="B164" s="20"/>
      <c r="C164" s="20"/>
      <c r="D164" s="20"/>
      <c r="E164" s="20"/>
      <c r="F164" s="20"/>
      <c r="G164" s="56"/>
    </row>
    <row r="165" spans="1:7" x14ac:dyDescent="0.25">
      <c r="A165" s="20"/>
      <c r="B165" s="20"/>
      <c r="C165" s="20"/>
      <c r="D165" s="20"/>
      <c r="E165" s="20"/>
      <c r="F165" s="20"/>
      <c r="G165" s="56"/>
    </row>
    <row r="166" spans="1:7" x14ac:dyDescent="0.25">
      <c r="A166" s="20"/>
      <c r="B166" s="20"/>
      <c r="C166" s="20"/>
      <c r="D166" s="20"/>
      <c r="E166" s="20"/>
      <c r="F166" s="20"/>
      <c r="G166" s="56"/>
    </row>
    <row r="167" spans="1:7" x14ac:dyDescent="0.25">
      <c r="A167" s="20"/>
      <c r="B167" s="20"/>
      <c r="C167" s="20"/>
      <c r="D167" s="20"/>
      <c r="E167" s="20"/>
      <c r="F167" s="20"/>
      <c r="G167" s="56"/>
    </row>
    <row r="168" spans="1:7" x14ac:dyDescent="0.25">
      <c r="A168" s="20"/>
      <c r="B168" s="20"/>
      <c r="C168" s="20"/>
      <c r="D168" s="20"/>
      <c r="E168" s="20"/>
      <c r="F168" s="20"/>
      <c r="G168" s="56"/>
    </row>
    <row r="169" spans="1:7" x14ac:dyDescent="0.25">
      <c r="A169" s="20"/>
      <c r="B169" s="20"/>
      <c r="C169" s="20"/>
      <c r="D169" s="20"/>
      <c r="E169" s="20"/>
      <c r="F169" s="20"/>
      <c r="G169" s="56"/>
    </row>
    <row r="170" spans="1:7" x14ac:dyDescent="0.25">
      <c r="A170" s="20"/>
      <c r="B170" s="20"/>
      <c r="C170" s="20"/>
      <c r="D170" s="20"/>
      <c r="E170" s="20"/>
      <c r="F170" s="20"/>
      <c r="G170" s="56"/>
    </row>
    <row r="171" spans="1:7" x14ac:dyDescent="0.25">
      <c r="A171" s="20"/>
      <c r="B171" s="20"/>
      <c r="C171" s="20"/>
      <c r="D171" s="20"/>
      <c r="E171" s="20"/>
      <c r="F171" s="20"/>
      <c r="G171" s="56"/>
    </row>
    <row r="172" spans="1:7" x14ac:dyDescent="0.25">
      <c r="A172" s="20"/>
      <c r="B172" s="170"/>
      <c r="C172" s="20"/>
      <c r="D172" s="20"/>
      <c r="E172" s="20"/>
      <c r="F172" s="20"/>
      <c r="G172" s="56"/>
    </row>
    <row r="173" spans="1:7" x14ac:dyDescent="0.25">
      <c r="A173" s="20"/>
      <c r="B173" s="170"/>
      <c r="C173" s="20"/>
      <c r="D173" s="20"/>
      <c r="E173" s="20"/>
      <c r="F173" s="20"/>
      <c r="G173" s="56"/>
    </row>
    <row r="174" spans="1:7" x14ac:dyDescent="0.25">
      <c r="A174" s="20"/>
      <c r="B174" s="170"/>
      <c r="C174" s="20"/>
      <c r="D174" s="20"/>
      <c r="E174" s="20"/>
      <c r="F174" s="20"/>
      <c r="G174" s="56"/>
    </row>
    <row r="175" spans="1:7" x14ac:dyDescent="0.25">
      <c r="A175" s="20"/>
      <c r="G175" s="56"/>
    </row>
    <row r="176" spans="1:7" x14ac:dyDescent="0.25">
      <c r="G176" s="56"/>
    </row>
    <row r="177" spans="1:7" x14ac:dyDescent="0.25">
      <c r="A177" s="20"/>
      <c r="B177" s="20"/>
      <c r="C177" s="20"/>
      <c r="D177" s="20"/>
      <c r="E177" s="20"/>
      <c r="F177" s="20"/>
      <c r="G177" s="20"/>
    </row>
    <row r="178" spans="1:7" x14ac:dyDescent="0.25">
      <c r="A178" s="20"/>
      <c r="B178" s="20"/>
      <c r="C178" s="20"/>
      <c r="D178" s="20"/>
      <c r="E178" s="20"/>
      <c r="F178" s="20"/>
      <c r="G178" s="56"/>
    </row>
    <row r="179" spans="1:7" x14ac:dyDescent="0.25">
      <c r="A179" s="20"/>
      <c r="B179" s="20"/>
      <c r="C179" s="20"/>
      <c r="D179" s="20"/>
      <c r="E179" s="20"/>
      <c r="F179" s="20"/>
      <c r="G179" s="56"/>
    </row>
    <row r="180" spans="1:7" x14ac:dyDescent="0.25">
      <c r="A180" s="20"/>
      <c r="B180" s="20"/>
      <c r="C180" s="20"/>
      <c r="D180" s="20"/>
      <c r="E180" s="20"/>
      <c r="F180" s="20"/>
      <c r="G180" s="56"/>
    </row>
    <row r="181" spans="1:7" x14ac:dyDescent="0.25">
      <c r="A181" s="20"/>
      <c r="B181" s="20"/>
      <c r="C181" s="20"/>
      <c r="D181" s="20"/>
      <c r="E181" s="20"/>
      <c r="F181" s="20"/>
      <c r="G181" s="56"/>
    </row>
    <row r="182" spans="1:7" x14ac:dyDescent="0.25">
      <c r="A182" s="20"/>
      <c r="B182" s="20"/>
      <c r="C182" s="20"/>
      <c r="D182" s="20"/>
      <c r="E182" s="20"/>
      <c r="F182" s="20"/>
      <c r="G182" s="56"/>
    </row>
    <row r="183" spans="1:7" x14ac:dyDescent="0.25">
      <c r="A183" s="20"/>
      <c r="B183" s="20"/>
      <c r="C183" s="20"/>
      <c r="D183" s="20"/>
      <c r="E183" s="20"/>
      <c r="F183" s="20"/>
      <c r="G183" s="56"/>
    </row>
    <row r="184" spans="1:7" x14ac:dyDescent="0.25">
      <c r="A184" s="20"/>
      <c r="B184" s="20"/>
      <c r="C184" s="20"/>
      <c r="D184" s="20"/>
      <c r="E184" s="20"/>
      <c r="F184" s="20"/>
      <c r="G184" s="56"/>
    </row>
    <row r="185" spans="1:7" x14ac:dyDescent="0.25">
      <c r="A185" s="20"/>
      <c r="B185" s="20"/>
      <c r="C185" s="20"/>
      <c r="D185" s="20"/>
      <c r="E185" s="20"/>
      <c r="F185" s="20"/>
      <c r="G185" s="56"/>
    </row>
    <row r="186" spans="1:7" x14ac:dyDescent="0.25">
      <c r="A186" s="20"/>
      <c r="B186" s="20"/>
      <c r="C186" s="20"/>
      <c r="D186" s="20"/>
      <c r="E186" s="20"/>
      <c r="F186" s="20"/>
      <c r="G186" s="56"/>
    </row>
    <row r="187" spans="1:7" x14ac:dyDescent="0.25">
      <c r="A187" s="20"/>
      <c r="B187" s="20"/>
      <c r="C187" s="20"/>
      <c r="D187" s="20"/>
      <c r="E187" s="20"/>
      <c r="F187" s="20"/>
      <c r="G187" s="56"/>
    </row>
    <row r="188" spans="1:7" x14ac:dyDescent="0.25">
      <c r="A188" s="20"/>
      <c r="B188" s="170"/>
      <c r="C188" s="20"/>
      <c r="D188" s="20"/>
      <c r="E188" s="20"/>
      <c r="F188" s="20"/>
      <c r="G188" s="56"/>
    </row>
    <row r="189" spans="1:7" x14ac:dyDescent="0.25">
      <c r="A189" s="20"/>
      <c r="B189" s="170"/>
      <c r="C189" s="20"/>
      <c r="D189" s="20"/>
      <c r="E189" s="20"/>
      <c r="F189" s="20"/>
      <c r="G189" s="56"/>
    </row>
    <row r="190" spans="1:7" x14ac:dyDescent="0.25">
      <c r="A190" s="20"/>
      <c r="B190" s="170"/>
      <c r="C190" s="20"/>
      <c r="D190" s="20"/>
      <c r="E190" s="20"/>
      <c r="F190" s="20"/>
      <c r="G190" s="56"/>
    </row>
    <row r="191" spans="1:7" x14ac:dyDescent="0.25">
      <c r="A191" s="20"/>
      <c r="G191" s="56"/>
    </row>
  </sheetData>
  <pageMargins left="0.25" right="0.25" top="0.75" bottom="0.75" header="0.3" footer="0.3"/>
  <pageSetup paperSize="17" orientation="landscape"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FDFB-D68E-46EC-8001-E3B2C88D9288}">
  <dimension ref="B3:L317"/>
  <sheetViews>
    <sheetView windowProtection="1" workbookViewId="0">
      <selection activeCell="D9" sqref="D9:J31"/>
    </sheetView>
  </sheetViews>
  <sheetFormatPr defaultRowHeight="15" x14ac:dyDescent="0.25"/>
  <cols>
    <col min="4" max="4" width="16.7109375" customWidth="1"/>
    <col min="5" max="7" width="24.7109375" customWidth="1"/>
    <col min="8" max="8" width="25.7109375" style="18" customWidth="1"/>
    <col min="9" max="9" width="20.7109375" style="56" customWidth="1"/>
    <col min="10" max="10" width="20.7109375" style="20" customWidth="1"/>
  </cols>
  <sheetData>
    <row r="3" spans="2:12" x14ac:dyDescent="0.25">
      <c r="B3" s="19" t="s">
        <v>785</v>
      </c>
      <c r="C3" s="19"/>
      <c r="D3" s="19"/>
      <c r="E3" s="19"/>
      <c r="F3" s="47" t="s">
        <v>786</v>
      </c>
      <c r="G3" s="47"/>
      <c r="H3" s="20"/>
      <c r="I3" s="182"/>
    </row>
    <row r="7" spans="2:12" ht="15.75" x14ac:dyDescent="0.25">
      <c r="B7" s="38" t="s">
        <v>775</v>
      </c>
      <c r="C7" s="38"/>
      <c r="D7" s="38" t="s">
        <v>777</v>
      </c>
      <c r="E7" s="38" t="s">
        <v>778</v>
      </c>
      <c r="F7" s="38" t="s">
        <v>779</v>
      </c>
      <c r="G7" s="38" t="s">
        <v>791</v>
      </c>
      <c r="H7" s="38" t="s">
        <v>789</v>
      </c>
      <c r="I7" s="91" t="s">
        <v>776</v>
      </c>
      <c r="J7" s="24" t="s">
        <v>780</v>
      </c>
    </row>
    <row r="8" spans="2:12" x14ac:dyDescent="0.25">
      <c r="B8" s="26"/>
      <c r="C8" s="26"/>
      <c r="D8" s="26"/>
      <c r="E8" s="26"/>
      <c r="F8" s="26"/>
      <c r="G8" s="24" t="s">
        <v>792</v>
      </c>
      <c r="H8" s="26"/>
      <c r="I8" s="91"/>
      <c r="J8" s="24"/>
    </row>
    <row r="9" spans="2:12" x14ac:dyDescent="0.25">
      <c r="B9" s="24" t="s">
        <v>258</v>
      </c>
      <c r="C9" s="24"/>
      <c r="D9" s="24"/>
      <c r="E9" s="24"/>
      <c r="F9" s="24"/>
      <c r="G9" s="24"/>
      <c r="H9" s="24"/>
      <c r="I9" s="91"/>
      <c r="J9" s="24"/>
      <c r="K9" s="19"/>
      <c r="L9" s="19"/>
    </row>
    <row r="10" spans="2:12" x14ac:dyDescent="0.25">
      <c r="B10" s="24"/>
      <c r="C10" s="24"/>
      <c r="D10" s="24"/>
      <c r="E10" s="24"/>
      <c r="F10" s="24"/>
      <c r="G10" s="24"/>
      <c r="H10" s="24"/>
      <c r="I10" s="91"/>
      <c r="J10" s="24"/>
      <c r="K10" s="19"/>
      <c r="L10" s="19"/>
    </row>
    <row r="11" spans="2:12" x14ac:dyDescent="0.25">
      <c r="B11" s="24" t="s">
        <v>259</v>
      </c>
      <c r="C11" s="24"/>
      <c r="D11" s="24"/>
      <c r="E11" s="24"/>
      <c r="F11" s="24"/>
      <c r="G11" s="24"/>
      <c r="H11" s="24"/>
      <c r="I11" s="91"/>
      <c r="J11" s="24"/>
      <c r="K11" s="19"/>
      <c r="L11" s="19"/>
    </row>
    <row r="12" spans="2:12" x14ac:dyDescent="0.25">
      <c r="B12" s="24"/>
      <c r="C12" s="24"/>
      <c r="D12" s="24"/>
      <c r="E12" s="24"/>
      <c r="F12" s="24"/>
      <c r="G12" s="24"/>
      <c r="H12" s="24"/>
      <c r="I12" s="91"/>
      <c r="J12" s="24"/>
      <c r="K12" s="19"/>
      <c r="L12" s="19"/>
    </row>
    <row r="13" spans="2:12" x14ac:dyDescent="0.25">
      <c r="B13" s="24" t="s">
        <v>254</v>
      </c>
      <c r="C13" s="24"/>
      <c r="D13" s="24"/>
      <c r="E13" s="24"/>
      <c r="F13" s="24"/>
      <c r="G13" s="24"/>
      <c r="H13" s="24"/>
      <c r="I13" s="91"/>
      <c r="J13" s="24"/>
      <c r="K13" s="19"/>
      <c r="L13" s="19"/>
    </row>
    <row r="14" spans="2:12" x14ac:dyDescent="0.25">
      <c r="B14" s="24"/>
      <c r="C14" s="24"/>
      <c r="D14" s="24"/>
      <c r="E14" s="24"/>
      <c r="F14" s="24"/>
      <c r="G14" s="24"/>
      <c r="H14" s="24"/>
      <c r="I14" s="91"/>
      <c r="J14" s="24"/>
      <c r="K14" s="19"/>
      <c r="L14" s="19"/>
    </row>
    <row r="15" spans="2:12" x14ac:dyDescent="0.25">
      <c r="B15" s="24" t="s">
        <v>255</v>
      </c>
      <c r="C15" s="24"/>
      <c r="D15" s="24"/>
      <c r="E15" s="24"/>
      <c r="F15" s="24"/>
      <c r="G15" s="24"/>
      <c r="H15" s="24"/>
      <c r="I15" s="91"/>
      <c r="J15" s="24"/>
      <c r="K15" s="19"/>
      <c r="L15" s="19"/>
    </row>
    <row r="16" spans="2:12" x14ac:dyDescent="0.25">
      <c r="B16" s="24"/>
      <c r="C16" s="24"/>
      <c r="D16" s="24"/>
      <c r="E16" s="24"/>
      <c r="F16" s="24"/>
      <c r="G16" s="24"/>
      <c r="H16" s="24"/>
      <c r="I16" s="91"/>
      <c r="J16" s="24"/>
      <c r="K16" s="19"/>
      <c r="L16" s="19"/>
    </row>
    <row r="17" spans="2:12" x14ac:dyDescent="0.25">
      <c r="B17" s="24" t="s">
        <v>257</v>
      </c>
      <c r="C17" s="24"/>
      <c r="D17" s="24"/>
      <c r="E17" s="24"/>
      <c r="F17" s="24"/>
      <c r="G17" s="24"/>
      <c r="H17" s="24"/>
      <c r="I17" s="91"/>
      <c r="J17" s="24"/>
      <c r="K17" s="19"/>
      <c r="L17" s="19"/>
    </row>
    <row r="18" spans="2:12" x14ac:dyDescent="0.25">
      <c r="B18" s="24"/>
      <c r="C18" s="24"/>
      <c r="D18" s="24"/>
      <c r="E18" s="24"/>
      <c r="F18" s="24"/>
      <c r="G18" s="24"/>
      <c r="H18" s="24"/>
      <c r="I18" s="91"/>
      <c r="J18" s="24"/>
      <c r="K18" s="19"/>
      <c r="L18" s="19"/>
    </row>
    <row r="19" spans="2:12" x14ac:dyDescent="0.25">
      <c r="B19" s="24" t="s">
        <v>256</v>
      </c>
      <c r="C19" s="24"/>
      <c r="D19" s="24"/>
      <c r="E19" s="24"/>
      <c r="F19" s="24"/>
      <c r="G19" s="24"/>
      <c r="H19" s="24"/>
      <c r="I19" s="91"/>
      <c r="J19" s="24"/>
      <c r="K19" s="19"/>
      <c r="L19" s="19"/>
    </row>
    <row r="20" spans="2:12" x14ac:dyDescent="0.25">
      <c r="B20" s="24"/>
      <c r="C20" s="24"/>
      <c r="D20" s="24"/>
      <c r="E20" s="24"/>
      <c r="F20" s="24"/>
      <c r="G20" s="24"/>
      <c r="H20" s="24"/>
      <c r="I20" s="91"/>
      <c r="J20" s="24"/>
      <c r="K20" s="19"/>
      <c r="L20" s="19"/>
    </row>
    <row r="21" spans="2:12" x14ac:dyDescent="0.25">
      <c r="B21" s="24" t="s">
        <v>250</v>
      </c>
      <c r="C21" s="24"/>
      <c r="D21" s="24"/>
      <c r="E21" s="24"/>
      <c r="F21" s="24"/>
      <c r="G21" s="24"/>
      <c r="H21" s="24"/>
      <c r="I21" s="91"/>
      <c r="J21" s="24"/>
      <c r="K21" s="19"/>
      <c r="L21" s="19"/>
    </row>
    <row r="22" spans="2:12" x14ac:dyDescent="0.25">
      <c r="B22" s="24"/>
      <c r="C22" s="24"/>
      <c r="D22" s="24"/>
      <c r="E22" s="24"/>
      <c r="F22" s="24"/>
      <c r="G22" s="24"/>
      <c r="H22" s="24"/>
      <c r="I22" s="91"/>
      <c r="J22" s="24"/>
      <c r="K22" s="19"/>
      <c r="L22" s="19"/>
    </row>
    <row r="23" spans="2:12" x14ac:dyDescent="0.25">
      <c r="B23" s="24" t="s">
        <v>253</v>
      </c>
      <c r="C23" s="24"/>
      <c r="D23" s="24"/>
      <c r="E23" s="24"/>
      <c r="F23" s="24"/>
      <c r="G23" s="24"/>
      <c r="H23" s="24"/>
      <c r="I23" s="91"/>
      <c r="J23" s="24"/>
      <c r="K23" s="19"/>
      <c r="L23" s="19"/>
    </row>
    <row r="24" spans="2:12" x14ac:dyDescent="0.25">
      <c r="B24" s="24"/>
      <c r="C24" s="24"/>
      <c r="D24" s="24"/>
      <c r="E24" s="24"/>
      <c r="F24" s="24"/>
      <c r="G24" s="24"/>
      <c r="H24" s="24"/>
      <c r="I24" s="91"/>
      <c r="J24" s="24"/>
      <c r="K24" s="19"/>
      <c r="L24" s="19"/>
    </row>
    <row r="25" spans="2:12" x14ac:dyDescent="0.25">
      <c r="B25" s="24" t="s">
        <v>252</v>
      </c>
      <c r="C25" s="24"/>
      <c r="D25" s="24"/>
      <c r="E25" s="24"/>
      <c r="F25" s="24"/>
      <c r="G25" s="24"/>
      <c r="H25" s="24"/>
      <c r="I25" s="91"/>
      <c r="J25" s="24"/>
      <c r="K25" s="19"/>
      <c r="L25" s="19"/>
    </row>
    <row r="26" spans="2:12" x14ac:dyDescent="0.25">
      <c r="B26" s="24"/>
      <c r="C26" s="24"/>
      <c r="D26" s="24"/>
      <c r="E26" s="24"/>
      <c r="F26" s="24"/>
      <c r="G26" s="24"/>
      <c r="H26" s="24"/>
      <c r="I26" s="91"/>
      <c r="J26" s="24"/>
      <c r="K26" s="19"/>
      <c r="L26" s="19"/>
    </row>
    <row r="27" spans="2:12" x14ac:dyDescent="0.25">
      <c r="B27" s="24" t="s">
        <v>249</v>
      </c>
      <c r="C27" s="24"/>
      <c r="D27" s="24"/>
      <c r="E27" s="24"/>
      <c r="F27" s="24"/>
      <c r="G27" s="24"/>
      <c r="H27" s="24"/>
      <c r="I27" s="91"/>
      <c r="J27" s="24"/>
      <c r="K27" s="19"/>
      <c r="L27" s="19"/>
    </row>
    <row r="28" spans="2:12" x14ac:dyDescent="0.25">
      <c r="B28" s="24"/>
      <c r="C28" s="24"/>
      <c r="D28" s="24"/>
      <c r="E28" s="24"/>
      <c r="F28" s="24"/>
      <c r="G28" s="24"/>
      <c r="H28" s="24"/>
      <c r="I28" s="91"/>
      <c r="J28" s="24"/>
      <c r="K28" s="19"/>
      <c r="L28" s="19"/>
    </row>
    <row r="29" spans="2:12" x14ac:dyDescent="0.25">
      <c r="B29" s="24" t="s">
        <v>251</v>
      </c>
      <c r="C29" s="24"/>
      <c r="D29" s="24"/>
      <c r="E29" s="24"/>
      <c r="F29" s="24"/>
      <c r="G29" s="24"/>
      <c r="H29" s="24"/>
      <c r="I29" s="91"/>
      <c r="J29" s="24"/>
      <c r="K29" s="19"/>
      <c r="L29" s="19"/>
    </row>
    <row r="30" spans="2:12" x14ac:dyDescent="0.25">
      <c r="B30" s="24"/>
      <c r="C30" s="24"/>
      <c r="D30" s="24"/>
      <c r="E30" s="24"/>
      <c r="F30" s="24"/>
      <c r="G30" s="24"/>
      <c r="H30" s="24"/>
      <c r="I30" s="91"/>
      <c r="J30" s="24"/>
      <c r="K30" s="19"/>
      <c r="L30" s="19"/>
    </row>
    <row r="31" spans="2:12" x14ac:dyDescent="0.25">
      <c r="B31" s="24" t="s">
        <v>589</v>
      </c>
      <c r="C31" s="24"/>
      <c r="D31" s="24"/>
      <c r="E31" s="24"/>
      <c r="F31" s="24"/>
      <c r="G31" s="24"/>
      <c r="H31" s="24"/>
      <c r="I31" s="91"/>
      <c r="J31" s="24"/>
      <c r="K31" s="19"/>
      <c r="L31" s="19"/>
    </row>
    <row r="32" spans="2:12" x14ac:dyDescent="0.25">
      <c r="B32" s="24"/>
      <c r="C32" s="24"/>
      <c r="D32" s="24"/>
      <c r="E32" s="24"/>
      <c r="F32" s="24"/>
      <c r="G32" s="24"/>
      <c r="H32" s="24"/>
      <c r="I32" s="91"/>
      <c r="J32" s="24"/>
      <c r="K32" s="19"/>
      <c r="L32" s="19"/>
    </row>
    <row r="33" spans="2:12" x14ac:dyDescent="0.25">
      <c r="B33" s="20"/>
      <c r="C33" s="20"/>
      <c r="D33" s="20"/>
      <c r="E33" s="20"/>
      <c r="F33" s="20"/>
      <c r="G33" s="20"/>
      <c r="H33" s="20"/>
      <c r="K33" s="19"/>
      <c r="L33" s="19"/>
    </row>
    <row r="34" spans="2:12" x14ac:dyDescent="0.25">
      <c r="B34" s="20"/>
      <c r="C34" s="20"/>
      <c r="D34" s="20"/>
      <c r="E34" s="20"/>
      <c r="F34" s="20"/>
      <c r="G34" s="20"/>
      <c r="H34" s="20"/>
      <c r="K34" s="19"/>
      <c r="L34" s="19"/>
    </row>
    <row r="35" spans="2:12" x14ac:dyDescent="0.25">
      <c r="B35" s="20"/>
      <c r="C35" s="183" t="s">
        <v>790</v>
      </c>
      <c r="D35" s="20"/>
      <c r="E35" s="20"/>
      <c r="F35" s="20"/>
      <c r="G35" s="20"/>
      <c r="H35" s="20"/>
      <c r="K35" s="19"/>
      <c r="L35" s="19"/>
    </row>
    <row r="36" spans="2:12" x14ac:dyDescent="0.25">
      <c r="B36" s="20"/>
      <c r="C36" s="20"/>
      <c r="D36" s="20"/>
      <c r="E36" s="20"/>
      <c r="F36" s="20"/>
      <c r="G36" s="20"/>
      <c r="H36" s="20"/>
      <c r="K36" s="19"/>
      <c r="L36" s="19"/>
    </row>
    <row r="37" spans="2:12" x14ac:dyDescent="0.25">
      <c r="B37" s="20"/>
      <c r="C37" s="20"/>
      <c r="D37" s="20"/>
      <c r="E37" s="20"/>
      <c r="F37" s="20"/>
      <c r="G37" s="20"/>
      <c r="H37" s="20"/>
      <c r="K37" s="19"/>
      <c r="L37" s="19"/>
    </row>
    <row r="38" spans="2:12" x14ac:dyDescent="0.25">
      <c r="B38" s="20"/>
      <c r="C38" s="20"/>
      <c r="D38" s="20"/>
      <c r="E38" s="20"/>
      <c r="F38" s="20"/>
      <c r="G38" s="20"/>
      <c r="H38" s="20"/>
      <c r="K38" s="19"/>
      <c r="L38" s="19"/>
    </row>
    <row r="39" spans="2:12" x14ac:dyDescent="0.25">
      <c r="B39" s="20"/>
      <c r="C39" s="20"/>
      <c r="D39" s="20"/>
      <c r="E39" s="20"/>
      <c r="F39" s="20"/>
      <c r="G39" s="20"/>
      <c r="H39" s="20"/>
      <c r="K39" s="19"/>
      <c r="L39" s="19"/>
    </row>
    <row r="40" spans="2:12" x14ac:dyDescent="0.25">
      <c r="B40" s="20"/>
      <c r="C40" s="20"/>
      <c r="D40" s="20"/>
      <c r="E40" s="20"/>
      <c r="F40" s="20"/>
      <c r="G40" s="20"/>
      <c r="H40" s="20"/>
      <c r="K40" s="19"/>
      <c r="L40" s="19"/>
    </row>
    <row r="41" spans="2:12" x14ac:dyDescent="0.25">
      <c r="B41" s="20"/>
      <c r="C41" s="20"/>
      <c r="D41" s="20"/>
      <c r="E41" s="20"/>
      <c r="F41" s="20"/>
      <c r="G41" s="20"/>
      <c r="H41" s="20"/>
      <c r="K41" s="19"/>
      <c r="L41" s="19"/>
    </row>
    <row r="42" spans="2:12" x14ac:dyDescent="0.25">
      <c r="B42" s="20"/>
      <c r="C42" s="20"/>
      <c r="D42" s="20"/>
      <c r="E42" s="20"/>
      <c r="F42" s="20"/>
      <c r="G42" s="20"/>
      <c r="H42" s="20"/>
      <c r="K42" s="19"/>
      <c r="L42" s="19"/>
    </row>
    <row r="43" spans="2:12" x14ac:dyDescent="0.25">
      <c r="B43" s="20"/>
      <c r="C43" s="20"/>
      <c r="D43" s="20"/>
      <c r="E43" s="20"/>
      <c r="F43" s="20"/>
      <c r="G43" s="20"/>
      <c r="H43" s="20"/>
      <c r="K43" s="19"/>
      <c r="L43" s="19"/>
    </row>
    <row r="44" spans="2:12" x14ac:dyDescent="0.25">
      <c r="B44" s="20"/>
      <c r="C44" s="20"/>
      <c r="D44" s="20"/>
      <c r="E44" s="20"/>
      <c r="F44" s="20"/>
      <c r="G44" s="20"/>
      <c r="H44" s="20"/>
      <c r="K44" s="19"/>
      <c r="L44" s="19"/>
    </row>
    <row r="45" spans="2:12" x14ac:dyDescent="0.25">
      <c r="B45" s="20"/>
      <c r="C45" s="20"/>
      <c r="D45" s="20"/>
      <c r="E45" s="20"/>
      <c r="F45" s="20"/>
      <c r="G45" s="20"/>
      <c r="H45" s="20"/>
      <c r="K45" s="19"/>
      <c r="L45" s="19"/>
    </row>
    <row r="46" spans="2:12" x14ac:dyDescent="0.25">
      <c r="B46" s="20"/>
      <c r="C46" s="20"/>
      <c r="D46" s="20"/>
      <c r="E46" s="20"/>
      <c r="F46" s="20"/>
      <c r="G46" s="20"/>
      <c r="H46" s="20"/>
      <c r="K46" s="19"/>
      <c r="L46" s="19"/>
    </row>
    <row r="47" spans="2:12" x14ac:dyDescent="0.25">
      <c r="B47" s="20"/>
      <c r="C47" s="20"/>
      <c r="D47" s="20"/>
      <c r="E47" s="20"/>
      <c r="F47" s="20"/>
      <c r="G47" s="20"/>
      <c r="H47" s="20"/>
      <c r="K47" s="19"/>
      <c r="L47" s="19"/>
    </row>
    <row r="48" spans="2:12" x14ac:dyDescent="0.25">
      <c r="B48" s="20"/>
      <c r="C48" s="20"/>
      <c r="D48" s="20"/>
      <c r="E48" s="20"/>
      <c r="F48" s="20"/>
      <c r="G48" s="20"/>
      <c r="H48" s="20"/>
      <c r="K48" s="19"/>
      <c r="L48" s="19"/>
    </row>
    <row r="49" spans="2:12" x14ac:dyDescent="0.25">
      <c r="B49" s="20"/>
      <c r="C49" s="20"/>
      <c r="D49" s="20"/>
      <c r="E49" s="20"/>
      <c r="F49" s="20"/>
      <c r="G49" s="20"/>
      <c r="H49" s="20"/>
      <c r="K49" s="19"/>
      <c r="L49" s="19"/>
    </row>
    <row r="50" spans="2:12" x14ac:dyDescent="0.25">
      <c r="B50" s="20"/>
      <c r="C50" s="20"/>
      <c r="D50" s="20"/>
      <c r="E50" s="20"/>
      <c r="F50" s="20"/>
      <c r="G50" s="20"/>
      <c r="H50" s="20"/>
      <c r="K50" s="19"/>
      <c r="L50" s="19"/>
    </row>
    <row r="51" spans="2:12" x14ac:dyDescent="0.25">
      <c r="B51" s="20"/>
      <c r="C51" s="20"/>
      <c r="D51" s="20"/>
      <c r="E51" s="20"/>
      <c r="F51" s="20"/>
      <c r="G51" s="20"/>
      <c r="H51" s="20"/>
      <c r="K51" s="19"/>
      <c r="L51" s="19"/>
    </row>
    <row r="52" spans="2:12" x14ac:dyDescent="0.25">
      <c r="B52" s="20"/>
      <c r="C52" s="20"/>
      <c r="D52" s="20"/>
      <c r="E52" s="20"/>
      <c r="F52" s="20"/>
      <c r="G52" s="20"/>
      <c r="H52" s="20"/>
      <c r="K52" s="19"/>
      <c r="L52" s="19"/>
    </row>
    <row r="53" spans="2:12" x14ac:dyDescent="0.25">
      <c r="B53" s="20"/>
      <c r="C53" s="20"/>
      <c r="D53" s="20"/>
      <c r="E53" s="20"/>
      <c r="F53" s="20"/>
      <c r="G53" s="20"/>
      <c r="H53" s="20"/>
      <c r="K53" s="19"/>
      <c r="L53" s="19"/>
    </row>
    <row r="54" spans="2:12" x14ac:dyDescent="0.25">
      <c r="B54" s="20"/>
      <c r="C54" s="20"/>
      <c r="D54" s="20"/>
      <c r="E54" s="20"/>
      <c r="F54" s="20"/>
      <c r="G54" s="20"/>
      <c r="H54" s="20"/>
      <c r="K54" s="19"/>
      <c r="L54" s="19"/>
    </row>
    <row r="55" spans="2:12" x14ac:dyDescent="0.25">
      <c r="B55" s="20"/>
      <c r="C55" s="20"/>
      <c r="D55" s="20"/>
      <c r="E55" s="20"/>
      <c r="F55" s="20"/>
      <c r="G55" s="20"/>
      <c r="H55" s="20"/>
      <c r="K55" s="19"/>
      <c r="L55" s="19"/>
    </row>
    <row r="56" spans="2:12" x14ac:dyDescent="0.25">
      <c r="B56" s="20"/>
      <c r="C56" s="20"/>
      <c r="D56" s="20"/>
      <c r="E56" s="20"/>
      <c r="F56" s="20"/>
      <c r="G56" s="20"/>
      <c r="H56" s="20"/>
      <c r="K56" s="19"/>
      <c r="L56" s="19"/>
    </row>
    <row r="57" spans="2:12" x14ac:dyDescent="0.25">
      <c r="B57" s="20"/>
      <c r="C57" s="20"/>
      <c r="D57" s="20"/>
      <c r="E57" s="20"/>
      <c r="F57" s="20"/>
      <c r="G57" s="20"/>
      <c r="H57" s="20"/>
      <c r="K57" s="19"/>
      <c r="L57" s="19"/>
    </row>
    <row r="58" spans="2:12" x14ac:dyDescent="0.25">
      <c r="B58" s="20"/>
      <c r="C58" s="20"/>
      <c r="D58" s="20"/>
      <c r="E58" s="20"/>
      <c r="F58" s="20"/>
      <c r="G58" s="20"/>
      <c r="H58" s="20"/>
      <c r="K58" s="19"/>
      <c r="L58" s="19"/>
    </row>
    <row r="59" spans="2:12" x14ac:dyDescent="0.25">
      <c r="B59" s="20"/>
      <c r="C59" s="20"/>
      <c r="D59" s="20"/>
      <c r="E59" s="20"/>
      <c r="F59" s="20"/>
      <c r="G59" s="20"/>
      <c r="H59" s="20"/>
      <c r="K59" s="19"/>
      <c r="L59" s="19"/>
    </row>
    <row r="60" spans="2:12" x14ac:dyDescent="0.25">
      <c r="B60" s="20"/>
      <c r="C60" s="20"/>
      <c r="D60" s="20"/>
      <c r="E60" s="20"/>
      <c r="F60" s="20"/>
      <c r="G60" s="20"/>
      <c r="H60" s="20"/>
      <c r="K60" s="19"/>
      <c r="L60" s="19"/>
    </row>
    <row r="61" spans="2:12" x14ac:dyDescent="0.25">
      <c r="B61" s="20"/>
      <c r="C61" s="20"/>
      <c r="D61" s="20"/>
      <c r="E61" s="20"/>
      <c r="F61" s="20"/>
      <c r="G61" s="20"/>
      <c r="H61" s="20"/>
      <c r="K61" s="19"/>
      <c r="L61" s="19"/>
    </row>
    <row r="62" spans="2:12" x14ac:dyDescent="0.25">
      <c r="B62" s="20"/>
      <c r="C62" s="20"/>
      <c r="D62" s="19"/>
      <c r="E62" s="20"/>
      <c r="F62" s="20"/>
      <c r="G62" s="20"/>
      <c r="H62" s="20"/>
      <c r="K62" s="19"/>
      <c r="L62" s="19"/>
    </row>
    <row r="63" spans="2:12" x14ac:dyDescent="0.25">
      <c r="B63" s="20"/>
      <c r="C63" s="20"/>
      <c r="D63" s="19"/>
      <c r="E63" s="20"/>
      <c r="F63" s="20"/>
      <c r="G63" s="20"/>
      <c r="H63" s="20"/>
      <c r="K63" s="19"/>
      <c r="L63" s="19"/>
    </row>
    <row r="64" spans="2:12" x14ac:dyDescent="0.25">
      <c r="B64" s="19"/>
      <c r="C64" s="19"/>
      <c r="D64" s="19"/>
      <c r="E64" s="19"/>
      <c r="F64" s="19"/>
      <c r="G64" s="19"/>
      <c r="H64" s="20"/>
      <c r="K64" s="19"/>
      <c r="L64" s="19"/>
    </row>
    <row r="65" spans="2:12" x14ac:dyDescent="0.25">
      <c r="B65" s="19"/>
      <c r="C65" s="19"/>
      <c r="D65" s="19"/>
      <c r="E65" s="19"/>
      <c r="F65" s="19"/>
      <c r="G65" s="19"/>
      <c r="H65" s="20"/>
      <c r="K65" s="19"/>
      <c r="L65" s="19"/>
    </row>
    <row r="66" spans="2:12" x14ac:dyDescent="0.25">
      <c r="B66" s="19"/>
      <c r="C66" s="19"/>
      <c r="D66" s="19"/>
      <c r="E66" s="19"/>
      <c r="F66" s="19"/>
      <c r="G66" s="19"/>
      <c r="H66" s="20"/>
      <c r="K66" s="19"/>
      <c r="L66" s="19"/>
    </row>
    <row r="67" spans="2:12" x14ac:dyDescent="0.25">
      <c r="B67" s="19"/>
      <c r="C67" s="19"/>
      <c r="D67" s="19"/>
      <c r="E67" s="19"/>
      <c r="F67" s="19"/>
      <c r="G67" s="19"/>
      <c r="H67" s="20"/>
      <c r="K67" s="19"/>
      <c r="L67" s="19"/>
    </row>
    <row r="68" spans="2:12" x14ac:dyDescent="0.25">
      <c r="B68" s="19"/>
      <c r="C68" s="19"/>
      <c r="D68" s="19"/>
      <c r="E68" s="19"/>
      <c r="F68" s="19"/>
      <c r="G68" s="19"/>
      <c r="H68" s="20"/>
      <c r="K68" s="19"/>
      <c r="L68" s="19"/>
    </row>
    <row r="69" spans="2:12" x14ac:dyDescent="0.25">
      <c r="B69" s="19"/>
      <c r="C69" s="19"/>
      <c r="D69" s="19"/>
      <c r="E69" s="19"/>
      <c r="F69" s="19"/>
      <c r="G69" s="19"/>
      <c r="H69" s="20"/>
      <c r="K69" s="19"/>
      <c r="L69" s="19"/>
    </row>
    <row r="70" spans="2:12" x14ac:dyDescent="0.25">
      <c r="B70" s="19"/>
      <c r="C70" s="19"/>
      <c r="D70" s="19"/>
      <c r="E70" s="19"/>
      <c r="F70" s="19"/>
      <c r="G70" s="19"/>
      <c r="H70" s="20"/>
      <c r="K70" s="19"/>
      <c r="L70" s="19"/>
    </row>
    <row r="71" spans="2:12" x14ac:dyDescent="0.25">
      <c r="B71" s="19"/>
      <c r="C71" s="19"/>
      <c r="D71" s="19"/>
      <c r="E71" s="19"/>
      <c r="F71" s="19"/>
      <c r="G71" s="19"/>
      <c r="H71" s="20"/>
      <c r="K71" s="19"/>
      <c r="L71" s="19"/>
    </row>
    <row r="72" spans="2:12" x14ac:dyDescent="0.25">
      <c r="B72" s="19"/>
      <c r="C72" s="19"/>
      <c r="D72" s="19"/>
      <c r="E72" s="19"/>
      <c r="F72" s="19"/>
      <c r="G72" s="19"/>
      <c r="H72" s="20"/>
      <c r="K72" s="19"/>
      <c r="L72" s="19"/>
    </row>
    <row r="73" spans="2:12" x14ac:dyDescent="0.25">
      <c r="B73" s="19"/>
      <c r="C73" s="19"/>
      <c r="D73" s="19"/>
      <c r="E73" s="19"/>
      <c r="F73" s="19"/>
      <c r="G73" s="19"/>
      <c r="H73" s="20"/>
      <c r="K73" s="19"/>
      <c r="L73" s="19"/>
    </row>
    <row r="74" spans="2:12" x14ac:dyDescent="0.25">
      <c r="B74" s="19"/>
      <c r="C74" s="19"/>
      <c r="D74" s="19"/>
      <c r="E74" s="19"/>
      <c r="F74" s="19"/>
      <c r="G74" s="19"/>
      <c r="H74" s="20"/>
      <c r="K74" s="19"/>
      <c r="L74" s="19"/>
    </row>
    <row r="75" spans="2:12" x14ac:dyDescent="0.25">
      <c r="B75" s="19"/>
      <c r="C75" s="19"/>
      <c r="D75" s="19"/>
      <c r="E75" s="19"/>
      <c r="F75" s="19"/>
      <c r="G75" s="19"/>
      <c r="H75" s="20"/>
      <c r="K75" s="19"/>
      <c r="L75" s="19"/>
    </row>
    <row r="76" spans="2:12" x14ac:dyDescent="0.25">
      <c r="B76" s="19"/>
      <c r="C76" s="19"/>
      <c r="D76" s="19"/>
      <c r="E76" s="19"/>
      <c r="F76" s="19"/>
      <c r="G76" s="19"/>
      <c r="H76" s="20"/>
      <c r="K76" s="19"/>
      <c r="L76" s="19"/>
    </row>
    <row r="77" spans="2:12" x14ac:dyDescent="0.25">
      <c r="B77" s="19"/>
      <c r="C77" s="19"/>
      <c r="D77" s="19"/>
      <c r="E77" s="19"/>
      <c r="F77" s="19"/>
      <c r="G77" s="19"/>
      <c r="H77" s="20"/>
      <c r="K77" s="19"/>
      <c r="L77" s="19"/>
    </row>
    <row r="78" spans="2:12" x14ac:dyDescent="0.25">
      <c r="B78" s="19"/>
      <c r="C78" s="19"/>
      <c r="D78" s="19"/>
      <c r="E78" s="19"/>
      <c r="F78" s="19"/>
      <c r="G78" s="19"/>
      <c r="H78" s="20"/>
      <c r="K78" s="19"/>
      <c r="L78" s="19"/>
    </row>
    <row r="79" spans="2:12" x14ac:dyDescent="0.25">
      <c r="B79" s="19"/>
      <c r="C79" s="19"/>
      <c r="D79" s="19"/>
      <c r="E79" s="19"/>
      <c r="F79" s="19"/>
      <c r="G79" s="19"/>
      <c r="H79" s="20"/>
      <c r="K79" s="19"/>
      <c r="L79" s="19"/>
    </row>
    <row r="80" spans="2:12" x14ac:dyDescent="0.25">
      <c r="B80" s="19"/>
      <c r="C80" s="19"/>
      <c r="D80" s="19"/>
      <c r="E80" s="19"/>
      <c r="F80" s="19"/>
      <c r="G80" s="19"/>
      <c r="H80" s="20"/>
      <c r="K80" s="19"/>
      <c r="L80" s="19"/>
    </row>
    <row r="81" spans="2:12" x14ac:dyDescent="0.25">
      <c r="B81" s="19"/>
      <c r="C81" s="19"/>
      <c r="D81" s="19"/>
      <c r="E81" s="19"/>
      <c r="F81" s="19"/>
      <c r="G81" s="19"/>
      <c r="H81" s="20"/>
      <c r="K81" s="19"/>
      <c r="L81" s="19"/>
    </row>
    <row r="82" spans="2:12" x14ac:dyDescent="0.25">
      <c r="B82" s="19"/>
      <c r="C82" s="19"/>
      <c r="D82" s="19"/>
      <c r="E82" s="19"/>
      <c r="F82" s="19"/>
      <c r="G82" s="19"/>
      <c r="H82" s="20"/>
      <c r="K82" s="19"/>
      <c r="L82" s="19"/>
    </row>
    <row r="83" spans="2:12" x14ac:dyDescent="0.25">
      <c r="B83" s="19"/>
      <c r="C83" s="19"/>
      <c r="D83" s="19"/>
      <c r="E83" s="19"/>
      <c r="F83" s="19"/>
      <c r="G83" s="19"/>
      <c r="H83" s="20"/>
      <c r="K83" s="19"/>
      <c r="L83" s="19"/>
    </row>
    <row r="84" spans="2:12" x14ac:dyDescent="0.25">
      <c r="B84" s="19"/>
      <c r="C84" s="19"/>
      <c r="D84" s="19"/>
      <c r="E84" s="19"/>
      <c r="F84" s="19"/>
      <c r="G84" s="19"/>
      <c r="H84" s="20"/>
      <c r="K84" s="19"/>
      <c r="L84" s="19"/>
    </row>
    <row r="85" spans="2:12" x14ac:dyDescent="0.25">
      <c r="B85" s="19"/>
      <c r="C85" s="19"/>
      <c r="D85" s="19"/>
      <c r="E85" s="19"/>
      <c r="F85" s="19"/>
      <c r="G85" s="19"/>
      <c r="H85" s="20"/>
      <c r="K85" s="19"/>
      <c r="L85" s="19"/>
    </row>
    <row r="86" spans="2:12" x14ac:dyDescent="0.25">
      <c r="B86" s="19"/>
      <c r="C86" s="19"/>
      <c r="D86" s="19"/>
      <c r="E86" s="19"/>
      <c r="F86" s="19"/>
      <c r="G86" s="19"/>
      <c r="H86" s="20"/>
      <c r="K86" s="19"/>
      <c r="L86" s="19"/>
    </row>
    <row r="87" spans="2:12" x14ac:dyDescent="0.25">
      <c r="B87" s="19"/>
      <c r="C87" s="19"/>
      <c r="D87" s="19"/>
      <c r="E87" s="19"/>
      <c r="F87" s="19"/>
      <c r="G87" s="19"/>
      <c r="H87" s="20"/>
      <c r="K87" s="19"/>
      <c r="L87" s="19"/>
    </row>
    <row r="88" spans="2:12" x14ac:dyDescent="0.25">
      <c r="B88" s="19"/>
      <c r="C88" s="19"/>
      <c r="D88" s="19"/>
      <c r="E88" s="19"/>
      <c r="F88" s="19"/>
      <c r="G88" s="19"/>
      <c r="H88" s="20"/>
      <c r="K88" s="19"/>
      <c r="L88" s="19"/>
    </row>
    <row r="89" spans="2:12" x14ac:dyDescent="0.25">
      <c r="B89" s="19"/>
      <c r="C89" s="19"/>
      <c r="D89" s="19"/>
      <c r="E89" s="19"/>
      <c r="F89" s="19"/>
      <c r="G89" s="19"/>
      <c r="H89" s="20"/>
      <c r="K89" s="19"/>
      <c r="L89" s="19"/>
    </row>
    <row r="90" spans="2:12" x14ac:dyDescent="0.25">
      <c r="B90" s="19"/>
      <c r="C90" s="19"/>
      <c r="D90" s="19"/>
      <c r="E90" s="19"/>
      <c r="F90" s="19"/>
      <c r="G90" s="19"/>
      <c r="H90" s="20"/>
      <c r="K90" s="19"/>
      <c r="L90" s="19"/>
    </row>
    <row r="91" spans="2:12" x14ac:dyDescent="0.25">
      <c r="B91" s="19"/>
      <c r="C91" s="19"/>
      <c r="D91" s="19"/>
      <c r="E91" s="19"/>
      <c r="F91" s="19"/>
      <c r="G91" s="19"/>
      <c r="H91" s="20"/>
      <c r="K91" s="19"/>
      <c r="L91" s="19"/>
    </row>
    <row r="92" spans="2:12" x14ac:dyDescent="0.25">
      <c r="B92" s="19"/>
      <c r="C92" s="19"/>
      <c r="D92" s="19"/>
      <c r="E92" s="19"/>
      <c r="F92" s="19"/>
      <c r="G92" s="19"/>
      <c r="H92" s="20"/>
      <c r="K92" s="19"/>
      <c r="L92" s="19"/>
    </row>
    <row r="93" spans="2:12" x14ac:dyDescent="0.25">
      <c r="B93" s="19"/>
      <c r="C93" s="19"/>
      <c r="D93" s="19"/>
      <c r="E93" s="19"/>
      <c r="F93" s="19"/>
      <c r="G93" s="19"/>
      <c r="H93" s="20"/>
      <c r="K93" s="19"/>
      <c r="L93" s="19"/>
    </row>
    <row r="94" spans="2:12" x14ac:dyDescent="0.25">
      <c r="B94" s="19"/>
      <c r="C94" s="19"/>
      <c r="D94" s="19"/>
      <c r="E94" s="19"/>
      <c r="F94" s="19"/>
      <c r="G94" s="19"/>
      <c r="H94" s="20"/>
      <c r="K94" s="19"/>
      <c r="L94" s="19"/>
    </row>
    <row r="95" spans="2:12" x14ac:dyDescent="0.25">
      <c r="B95" s="19"/>
      <c r="C95" s="19"/>
      <c r="D95" s="19"/>
      <c r="E95" s="19"/>
      <c r="F95" s="19"/>
      <c r="G95" s="19"/>
      <c r="H95" s="20"/>
      <c r="K95" s="19"/>
      <c r="L95" s="19"/>
    </row>
    <row r="96" spans="2:12" x14ac:dyDescent="0.25">
      <c r="B96" s="19"/>
      <c r="C96" s="19"/>
      <c r="D96" s="19"/>
      <c r="E96" s="19"/>
      <c r="F96" s="19"/>
      <c r="G96" s="19"/>
      <c r="H96" s="20"/>
      <c r="K96" s="19"/>
      <c r="L96" s="19"/>
    </row>
    <row r="97" spans="2:12" x14ac:dyDescent="0.25">
      <c r="B97" s="19"/>
      <c r="C97" s="19"/>
      <c r="D97" s="19"/>
      <c r="E97" s="19"/>
      <c r="F97" s="19"/>
      <c r="G97" s="19"/>
      <c r="H97" s="20"/>
      <c r="K97" s="19"/>
      <c r="L97" s="19"/>
    </row>
    <row r="98" spans="2:12" x14ac:dyDescent="0.25">
      <c r="B98" s="19"/>
      <c r="C98" s="19"/>
      <c r="D98" s="19"/>
      <c r="E98" s="19"/>
      <c r="F98" s="19"/>
      <c r="G98" s="19"/>
      <c r="H98" s="20"/>
      <c r="K98" s="19"/>
      <c r="L98" s="19"/>
    </row>
    <row r="99" spans="2:12" x14ac:dyDescent="0.25">
      <c r="B99" s="19"/>
      <c r="C99" s="19"/>
      <c r="D99" s="19"/>
      <c r="E99" s="19"/>
      <c r="F99" s="19"/>
      <c r="G99" s="19"/>
      <c r="H99" s="20"/>
      <c r="K99" s="19"/>
      <c r="L99" s="19"/>
    </row>
    <row r="100" spans="2:12" x14ac:dyDescent="0.25">
      <c r="B100" s="19"/>
      <c r="C100" s="19"/>
      <c r="D100" s="19"/>
      <c r="E100" s="19"/>
      <c r="F100" s="19"/>
      <c r="G100" s="19"/>
      <c r="H100" s="20"/>
      <c r="K100" s="19"/>
      <c r="L100" s="19"/>
    </row>
    <row r="101" spans="2:12" x14ac:dyDescent="0.25">
      <c r="B101" s="19"/>
      <c r="C101" s="19"/>
      <c r="D101" s="19"/>
      <c r="E101" s="19"/>
      <c r="F101" s="19"/>
      <c r="G101" s="19"/>
      <c r="H101" s="20"/>
      <c r="K101" s="19"/>
      <c r="L101" s="19"/>
    </row>
    <row r="102" spans="2:12" x14ac:dyDescent="0.25">
      <c r="B102" s="19"/>
      <c r="C102" s="19"/>
      <c r="D102" s="19"/>
      <c r="E102" s="19"/>
      <c r="F102" s="19"/>
      <c r="G102" s="19"/>
      <c r="H102" s="20"/>
      <c r="K102" s="19"/>
      <c r="L102" s="19"/>
    </row>
    <row r="103" spans="2:12" x14ac:dyDescent="0.25">
      <c r="B103" s="19"/>
      <c r="C103" s="19"/>
      <c r="D103" s="19"/>
      <c r="E103" s="19"/>
      <c r="F103" s="19"/>
      <c r="G103" s="19"/>
      <c r="H103" s="20"/>
      <c r="K103" s="19"/>
      <c r="L103" s="19"/>
    </row>
    <row r="104" spans="2:12" x14ac:dyDescent="0.25">
      <c r="B104" s="19"/>
      <c r="C104" s="19"/>
      <c r="D104" s="19"/>
      <c r="E104" s="19"/>
      <c r="F104" s="19"/>
      <c r="G104" s="19"/>
      <c r="H104" s="20"/>
      <c r="K104" s="19"/>
      <c r="L104" s="19"/>
    </row>
    <row r="105" spans="2:12" x14ac:dyDescent="0.25">
      <c r="B105" s="19"/>
      <c r="C105" s="19"/>
      <c r="D105" s="19"/>
      <c r="E105" s="19"/>
      <c r="F105" s="19"/>
      <c r="G105" s="19"/>
      <c r="H105" s="20"/>
      <c r="K105" s="19"/>
      <c r="L105" s="19"/>
    </row>
    <row r="106" spans="2:12" x14ac:dyDescent="0.25">
      <c r="B106" s="19"/>
      <c r="C106" s="19"/>
      <c r="D106" s="19"/>
      <c r="E106" s="19"/>
      <c r="F106" s="19"/>
      <c r="G106" s="19"/>
      <c r="H106" s="20"/>
      <c r="K106" s="19"/>
      <c r="L106" s="19"/>
    </row>
    <row r="107" spans="2:12" x14ac:dyDescent="0.25">
      <c r="B107" s="19"/>
      <c r="C107" s="19"/>
      <c r="D107" s="19"/>
      <c r="E107" s="19"/>
      <c r="F107" s="19"/>
      <c r="G107" s="19"/>
      <c r="H107" s="20"/>
      <c r="K107" s="19"/>
      <c r="L107" s="19"/>
    </row>
    <row r="108" spans="2:12" x14ac:dyDescent="0.25">
      <c r="B108" s="19"/>
      <c r="C108" s="19"/>
      <c r="D108" s="19"/>
      <c r="E108" s="19"/>
      <c r="F108" s="19"/>
      <c r="G108" s="19"/>
      <c r="H108" s="20"/>
      <c r="K108" s="19"/>
      <c r="L108" s="19"/>
    </row>
    <row r="109" spans="2:12" x14ac:dyDescent="0.25">
      <c r="B109" s="19"/>
      <c r="C109" s="19"/>
      <c r="D109" s="19"/>
      <c r="E109" s="19"/>
      <c r="F109" s="19"/>
      <c r="G109" s="19"/>
      <c r="H109" s="20"/>
      <c r="K109" s="19"/>
      <c r="L109" s="19"/>
    </row>
    <row r="110" spans="2:12" x14ac:dyDescent="0.25">
      <c r="B110" s="19"/>
      <c r="C110" s="19"/>
      <c r="D110" s="19"/>
      <c r="E110" s="19"/>
      <c r="F110" s="19"/>
      <c r="G110" s="19"/>
      <c r="H110" s="20"/>
      <c r="K110" s="19"/>
      <c r="L110" s="19"/>
    </row>
    <row r="111" spans="2:12" x14ac:dyDescent="0.25">
      <c r="B111" s="19"/>
      <c r="C111" s="19"/>
      <c r="D111" s="19"/>
      <c r="E111" s="19"/>
      <c r="F111" s="19"/>
      <c r="G111" s="19"/>
      <c r="H111" s="20"/>
      <c r="K111" s="19"/>
      <c r="L111" s="19"/>
    </row>
    <row r="112" spans="2:12" x14ac:dyDescent="0.25">
      <c r="B112" s="19"/>
      <c r="C112" s="19"/>
      <c r="D112" s="19"/>
      <c r="E112" s="19"/>
      <c r="F112" s="19"/>
      <c r="G112" s="19"/>
      <c r="H112" s="20"/>
      <c r="K112" s="19"/>
      <c r="L112" s="19"/>
    </row>
    <row r="113" spans="2:12" x14ac:dyDescent="0.25">
      <c r="B113" s="19"/>
      <c r="C113" s="19"/>
      <c r="D113" s="19"/>
      <c r="E113" s="19"/>
      <c r="F113" s="19"/>
      <c r="G113" s="19"/>
      <c r="H113" s="20"/>
      <c r="K113" s="19"/>
      <c r="L113" s="19"/>
    </row>
    <row r="114" spans="2:12" x14ac:dyDescent="0.25">
      <c r="B114" s="19"/>
      <c r="C114" s="19"/>
      <c r="D114" s="19"/>
      <c r="E114" s="19"/>
      <c r="F114" s="19"/>
      <c r="G114" s="19"/>
      <c r="H114" s="20"/>
      <c r="K114" s="19"/>
      <c r="L114" s="19"/>
    </row>
    <row r="115" spans="2:12" x14ac:dyDescent="0.25">
      <c r="B115" s="19"/>
      <c r="C115" s="19"/>
      <c r="D115" s="19"/>
      <c r="E115" s="19"/>
      <c r="F115" s="19"/>
      <c r="G115" s="19"/>
      <c r="H115" s="20"/>
      <c r="K115" s="19"/>
      <c r="L115" s="19"/>
    </row>
    <row r="116" spans="2:12" x14ac:dyDescent="0.25">
      <c r="B116" s="19"/>
      <c r="C116" s="19"/>
      <c r="D116" s="19"/>
      <c r="E116" s="19"/>
      <c r="F116" s="19"/>
      <c r="G116" s="19"/>
      <c r="H116" s="20"/>
      <c r="K116" s="19"/>
      <c r="L116" s="19"/>
    </row>
    <row r="117" spans="2:12" x14ac:dyDescent="0.25">
      <c r="B117" s="19"/>
      <c r="C117" s="19"/>
      <c r="D117" s="19"/>
      <c r="E117" s="19"/>
      <c r="F117" s="19"/>
      <c r="G117" s="19"/>
      <c r="H117" s="20"/>
      <c r="K117" s="19"/>
      <c r="L117" s="19"/>
    </row>
    <row r="118" spans="2:12" x14ac:dyDescent="0.25">
      <c r="B118" s="19"/>
      <c r="C118" s="19"/>
      <c r="D118" s="19"/>
      <c r="E118" s="19"/>
      <c r="F118" s="19"/>
      <c r="G118" s="19"/>
      <c r="H118" s="20"/>
      <c r="K118" s="19"/>
      <c r="L118" s="19"/>
    </row>
    <row r="119" spans="2:12" x14ac:dyDescent="0.25">
      <c r="B119" s="19"/>
      <c r="C119" s="19"/>
      <c r="D119" s="19"/>
      <c r="E119" s="19"/>
      <c r="F119" s="19"/>
      <c r="G119" s="19"/>
      <c r="H119" s="20"/>
      <c r="K119" s="19"/>
      <c r="L119" s="19"/>
    </row>
    <row r="120" spans="2:12" x14ac:dyDescent="0.25">
      <c r="B120" s="19"/>
      <c r="C120" s="19"/>
      <c r="D120" s="19"/>
      <c r="E120" s="19"/>
      <c r="F120" s="19"/>
      <c r="G120" s="19"/>
      <c r="H120" s="20"/>
      <c r="K120" s="19"/>
      <c r="L120" s="19"/>
    </row>
    <row r="121" spans="2:12" x14ac:dyDescent="0.25">
      <c r="B121" s="19"/>
      <c r="C121" s="19"/>
      <c r="D121" s="19"/>
      <c r="E121" s="19"/>
      <c r="F121" s="19"/>
      <c r="G121" s="19"/>
      <c r="H121" s="20"/>
      <c r="K121" s="19"/>
      <c r="L121" s="19"/>
    </row>
    <row r="122" spans="2:12" x14ac:dyDescent="0.25">
      <c r="B122" s="19"/>
      <c r="C122" s="19"/>
      <c r="D122" s="19"/>
      <c r="E122" s="19"/>
      <c r="F122" s="19"/>
      <c r="G122" s="19"/>
      <c r="H122" s="20"/>
      <c r="K122" s="19"/>
      <c r="L122" s="19"/>
    </row>
    <row r="123" spans="2:12" x14ac:dyDescent="0.25">
      <c r="B123" s="19"/>
      <c r="C123" s="19"/>
      <c r="D123" s="19"/>
      <c r="E123" s="19"/>
      <c r="F123" s="19"/>
      <c r="G123" s="19"/>
      <c r="H123" s="20"/>
      <c r="K123" s="19"/>
      <c r="L123" s="19"/>
    </row>
    <row r="124" spans="2:12" x14ac:dyDescent="0.25">
      <c r="B124" s="19"/>
      <c r="C124" s="19"/>
      <c r="D124" s="19"/>
      <c r="E124" s="19"/>
      <c r="F124" s="19"/>
      <c r="G124" s="19"/>
      <c r="H124" s="20"/>
      <c r="K124" s="19"/>
      <c r="L124" s="19"/>
    </row>
    <row r="125" spans="2:12" x14ac:dyDescent="0.25">
      <c r="B125" s="19"/>
      <c r="C125" s="19"/>
      <c r="D125" s="19"/>
      <c r="E125" s="19"/>
      <c r="F125" s="19"/>
      <c r="G125" s="19"/>
      <c r="H125" s="20"/>
      <c r="K125" s="19"/>
      <c r="L125" s="19"/>
    </row>
    <row r="126" spans="2:12" x14ac:dyDescent="0.25">
      <c r="B126" s="19"/>
      <c r="C126" s="19"/>
      <c r="D126" s="19"/>
      <c r="E126" s="19"/>
      <c r="F126" s="19"/>
      <c r="G126" s="19"/>
      <c r="H126" s="20"/>
      <c r="K126" s="19"/>
      <c r="L126" s="19"/>
    </row>
    <row r="127" spans="2:12" x14ac:dyDescent="0.25">
      <c r="B127" s="19"/>
      <c r="C127" s="19"/>
      <c r="D127" s="19"/>
      <c r="E127" s="19"/>
      <c r="F127" s="19"/>
      <c r="G127" s="19"/>
      <c r="H127" s="20"/>
      <c r="K127" s="19"/>
      <c r="L127" s="19"/>
    </row>
    <row r="128" spans="2:12" x14ac:dyDescent="0.25">
      <c r="B128" s="19"/>
      <c r="C128" s="19"/>
      <c r="D128" s="19"/>
      <c r="E128" s="19"/>
      <c r="F128" s="19"/>
      <c r="G128" s="19"/>
      <c r="H128" s="20"/>
      <c r="K128" s="19"/>
      <c r="L128" s="19"/>
    </row>
    <row r="129" spans="2:12" x14ac:dyDescent="0.25">
      <c r="B129" s="19"/>
      <c r="C129" s="19"/>
      <c r="D129" s="19"/>
      <c r="E129" s="19"/>
      <c r="F129" s="19"/>
      <c r="G129" s="19"/>
      <c r="H129" s="20"/>
      <c r="K129" s="19"/>
      <c r="L129" s="19"/>
    </row>
    <row r="130" spans="2:12" x14ac:dyDescent="0.25">
      <c r="B130" s="19"/>
      <c r="C130" s="19"/>
      <c r="D130" s="19"/>
      <c r="E130" s="19"/>
      <c r="F130" s="19"/>
      <c r="G130" s="19"/>
      <c r="H130" s="20"/>
      <c r="K130" s="19"/>
      <c r="L130" s="19"/>
    </row>
    <row r="131" spans="2:12" x14ac:dyDescent="0.25">
      <c r="B131" s="19"/>
      <c r="C131" s="19"/>
      <c r="D131" s="19"/>
      <c r="E131" s="19"/>
      <c r="F131" s="19"/>
      <c r="G131" s="19"/>
      <c r="H131" s="20"/>
      <c r="K131" s="19"/>
      <c r="L131" s="19"/>
    </row>
    <row r="132" spans="2:12" x14ac:dyDescent="0.25">
      <c r="B132" s="19"/>
      <c r="C132" s="19"/>
      <c r="D132" s="19"/>
      <c r="E132" s="19"/>
      <c r="F132" s="19"/>
      <c r="G132" s="19"/>
      <c r="H132" s="20"/>
      <c r="K132" s="19"/>
      <c r="L132" s="19"/>
    </row>
    <row r="133" spans="2:12" x14ac:dyDescent="0.25">
      <c r="B133" s="19"/>
      <c r="C133" s="19"/>
      <c r="D133" s="19"/>
      <c r="E133" s="19"/>
      <c r="F133" s="19"/>
      <c r="G133" s="19"/>
      <c r="H133" s="20"/>
      <c r="K133" s="19"/>
      <c r="L133" s="19"/>
    </row>
    <row r="134" spans="2:12" x14ac:dyDescent="0.25">
      <c r="B134" s="19"/>
      <c r="C134" s="19"/>
      <c r="D134" s="19"/>
      <c r="E134" s="19"/>
      <c r="F134" s="19"/>
      <c r="G134" s="19"/>
      <c r="H134" s="20"/>
      <c r="K134" s="19"/>
      <c r="L134" s="19"/>
    </row>
    <row r="135" spans="2:12" x14ac:dyDescent="0.25">
      <c r="B135" s="19"/>
      <c r="C135" s="19"/>
      <c r="D135" s="19"/>
      <c r="E135" s="19"/>
      <c r="F135" s="19"/>
      <c r="G135" s="19"/>
      <c r="H135" s="20"/>
      <c r="K135" s="19"/>
      <c r="L135" s="19"/>
    </row>
    <row r="136" spans="2:12" x14ac:dyDescent="0.25">
      <c r="B136" s="19"/>
      <c r="C136" s="19"/>
      <c r="D136" s="19"/>
      <c r="E136" s="19"/>
      <c r="F136" s="19"/>
      <c r="G136" s="19"/>
      <c r="H136" s="20"/>
      <c r="K136" s="19"/>
      <c r="L136" s="19"/>
    </row>
    <row r="137" spans="2:12" x14ac:dyDescent="0.25">
      <c r="B137" s="19"/>
      <c r="C137" s="19"/>
      <c r="D137" s="19"/>
      <c r="E137" s="19"/>
      <c r="F137" s="19"/>
      <c r="G137" s="19"/>
      <c r="H137" s="20"/>
      <c r="K137" s="19"/>
      <c r="L137" s="19"/>
    </row>
    <row r="138" spans="2:12" x14ac:dyDescent="0.25">
      <c r="B138" s="19"/>
      <c r="C138" s="19"/>
      <c r="D138" s="19"/>
      <c r="E138" s="19"/>
      <c r="F138" s="19"/>
      <c r="G138" s="19"/>
      <c r="H138" s="20"/>
      <c r="K138" s="19"/>
      <c r="L138" s="19"/>
    </row>
    <row r="139" spans="2:12" x14ac:dyDescent="0.25">
      <c r="B139" s="19"/>
      <c r="C139" s="19"/>
      <c r="D139" s="19"/>
      <c r="E139" s="19"/>
      <c r="F139" s="19"/>
      <c r="G139" s="19"/>
      <c r="H139" s="20"/>
      <c r="K139" s="19"/>
      <c r="L139" s="19"/>
    </row>
    <row r="140" spans="2:12" x14ac:dyDescent="0.25">
      <c r="B140" s="19"/>
      <c r="C140" s="19"/>
      <c r="D140" s="19"/>
      <c r="E140" s="19"/>
      <c r="F140" s="19"/>
      <c r="G140" s="19"/>
      <c r="H140" s="20"/>
      <c r="K140" s="19"/>
      <c r="L140" s="19"/>
    </row>
    <row r="141" spans="2:12" x14ac:dyDescent="0.25">
      <c r="B141" s="19"/>
      <c r="C141" s="19"/>
      <c r="D141" s="19"/>
      <c r="E141" s="19"/>
      <c r="F141" s="19"/>
      <c r="G141" s="19"/>
      <c r="H141" s="20"/>
      <c r="K141" s="19"/>
      <c r="L141" s="19"/>
    </row>
    <row r="142" spans="2:12" x14ac:dyDescent="0.25">
      <c r="B142" s="19"/>
      <c r="C142" s="19"/>
      <c r="D142" s="19"/>
      <c r="E142" s="19"/>
      <c r="F142" s="19"/>
      <c r="G142" s="19"/>
      <c r="H142" s="20"/>
      <c r="K142" s="19"/>
      <c r="L142" s="19"/>
    </row>
    <row r="143" spans="2:12" x14ac:dyDescent="0.25">
      <c r="B143" s="19"/>
      <c r="C143" s="19"/>
      <c r="D143" s="19"/>
      <c r="E143" s="19"/>
      <c r="F143" s="19"/>
      <c r="G143" s="19"/>
      <c r="H143" s="20"/>
      <c r="K143" s="19"/>
      <c r="L143" s="19"/>
    </row>
    <row r="144" spans="2:12" x14ac:dyDescent="0.25">
      <c r="B144" s="19"/>
      <c r="C144" s="19"/>
      <c r="D144" s="19"/>
      <c r="E144" s="19"/>
      <c r="F144" s="19"/>
      <c r="G144" s="19"/>
      <c r="H144" s="20"/>
      <c r="K144" s="19"/>
      <c r="L144" s="19"/>
    </row>
    <row r="145" spans="2:12" x14ac:dyDescent="0.25">
      <c r="B145" s="19"/>
      <c r="C145" s="19"/>
      <c r="D145" s="19"/>
      <c r="E145" s="19"/>
      <c r="F145" s="19"/>
      <c r="G145" s="19"/>
      <c r="H145" s="20"/>
      <c r="K145" s="19"/>
      <c r="L145" s="19"/>
    </row>
    <row r="146" spans="2:12" x14ac:dyDescent="0.25">
      <c r="B146" s="19"/>
      <c r="C146" s="19"/>
      <c r="D146" s="19"/>
      <c r="E146" s="19"/>
      <c r="F146" s="19"/>
      <c r="G146" s="19"/>
      <c r="H146" s="20"/>
      <c r="K146" s="19"/>
      <c r="L146" s="19"/>
    </row>
    <row r="147" spans="2:12" x14ac:dyDescent="0.25">
      <c r="B147" s="19"/>
      <c r="C147" s="19"/>
      <c r="D147" s="19"/>
      <c r="E147" s="19"/>
      <c r="F147" s="19"/>
      <c r="G147" s="19"/>
      <c r="H147" s="20"/>
      <c r="K147" s="19"/>
      <c r="L147" s="19"/>
    </row>
    <row r="148" spans="2:12" x14ac:dyDescent="0.25">
      <c r="B148" s="19"/>
      <c r="C148" s="19"/>
      <c r="D148" s="19"/>
      <c r="E148" s="19"/>
      <c r="F148" s="19"/>
      <c r="G148" s="19"/>
      <c r="H148" s="20"/>
      <c r="K148" s="19"/>
      <c r="L148" s="19"/>
    </row>
    <row r="149" spans="2:12" x14ac:dyDescent="0.25">
      <c r="B149" s="19"/>
      <c r="C149" s="19"/>
      <c r="D149" s="19"/>
      <c r="E149" s="19"/>
      <c r="F149" s="19"/>
      <c r="G149" s="19"/>
      <c r="H149" s="20"/>
      <c r="K149" s="19"/>
      <c r="L149" s="19"/>
    </row>
    <row r="150" spans="2:12" x14ac:dyDescent="0.25">
      <c r="B150" s="19"/>
      <c r="C150" s="19"/>
      <c r="D150" s="19"/>
      <c r="E150" s="19"/>
      <c r="F150" s="19"/>
      <c r="G150" s="19"/>
      <c r="H150" s="20"/>
      <c r="K150" s="19"/>
      <c r="L150" s="19"/>
    </row>
    <row r="151" spans="2:12" x14ac:dyDescent="0.25">
      <c r="B151" s="19"/>
      <c r="C151" s="19"/>
      <c r="D151" s="19"/>
      <c r="E151" s="19"/>
      <c r="F151" s="19"/>
      <c r="G151" s="19"/>
      <c r="H151" s="20"/>
      <c r="K151" s="19"/>
      <c r="L151" s="19"/>
    </row>
    <row r="152" spans="2:12" x14ac:dyDescent="0.25">
      <c r="B152" s="19"/>
      <c r="C152" s="19"/>
      <c r="D152" s="19"/>
      <c r="E152" s="19"/>
      <c r="F152" s="19"/>
      <c r="G152" s="19"/>
      <c r="H152" s="20"/>
      <c r="K152" s="19"/>
      <c r="L152" s="19"/>
    </row>
    <row r="153" spans="2:12" x14ac:dyDescent="0.25">
      <c r="B153" s="19"/>
      <c r="C153" s="19"/>
      <c r="D153" s="19"/>
      <c r="E153" s="19"/>
      <c r="F153" s="19"/>
      <c r="G153" s="19"/>
      <c r="H153" s="20"/>
      <c r="K153" s="19"/>
      <c r="L153" s="19"/>
    </row>
    <row r="154" spans="2:12" x14ac:dyDescent="0.25">
      <c r="B154" s="19"/>
      <c r="C154" s="19"/>
      <c r="D154" s="19"/>
      <c r="E154" s="19"/>
      <c r="F154" s="19"/>
      <c r="G154" s="19"/>
      <c r="H154" s="20"/>
      <c r="K154" s="19"/>
      <c r="L154" s="19"/>
    </row>
    <row r="155" spans="2:12" x14ac:dyDescent="0.25">
      <c r="B155" s="19"/>
      <c r="C155" s="19"/>
      <c r="D155" s="19"/>
      <c r="E155" s="19"/>
      <c r="F155" s="19"/>
      <c r="G155" s="19"/>
      <c r="H155" s="20"/>
      <c r="K155" s="19"/>
      <c r="L155" s="19"/>
    </row>
    <row r="156" spans="2:12" x14ac:dyDescent="0.25">
      <c r="B156" s="19"/>
      <c r="C156" s="19"/>
      <c r="D156" s="19"/>
      <c r="E156" s="19"/>
      <c r="F156" s="19"/>
      <c r="G156" s="19"/>
      <c r="H156" s="20"/>
      <c r="K156" s="19"/>
      <c r="L156" s="19"/>
    </row>
    <row r="157" spans="2:12" x14ac:dyDescent="0.25">
      <c r="B157" s="19"/>
      <c r="C157" s="19"/>
      <c r="D157" s="19"/>
      <c r="E157" s="19"/>
      <c r="F157" s="19"/>
      <c r="G157" s="19"/>
      <c r="H157" s="20"/>
      <c r="K157" s="19"/>
      <c r="L157" s="19"/>
    </row>
    <row r="158" spans="2:12" x14ac:dyDescent="0.25">
      <c r="B158" s="19"/>
      <c r="C158" s="19"/>
      <c r="D158" s="19"/>
      <c r="E158" s="19"/>
      <c r="F158" s="19"/>
      <c r="G158" s="19"/>
      <c r="H158" s="20"/>
      <c r="K158" s="19"/>
      <c r="L158" s="19"/>
    </row>
    <row r="159" spans="2:12" x14ac:dyDescent="0.25">
      <c r="B159" s="19"/>
      <c r="C159" s="19"/>
      <c r="D159" s="19"/>
      <c r="E159" s="19"/>
      <c r="F159" s="19"/>
      <c r="G159" s="19"/>
      <c r="H159" s="20"/>
      <c r="K159" s="19"/>
      <c r="L159" s="19"/>
    </row>
    <row r="160" spans="2:12" x14ac:dyDescent="0.25">
      <c r="B160" s="19"/>
      <c r="C160" s="19"/>
      <c r="D160" s="19"/>
      <c r="E160" s="19"/>
      <c r="F160" s="19"/>
      <c r="G160" s="19"/>
      <c r="H160" s="20"/>
      <c r="K160" s="19"/>
      <c r="L160" s="19"/>
    </row>
    <row r="161" spans="2:12" x14ac:dyDescent="0.25">
      <c r="B161" s="19"/>
      <c r="C161" s="19"/>
      <c r="D161" s="19"/>
      <c r="E161" s="19"/>
      <c r="F161" s="19"/>
      <c r="G161" s="19"/>
      <c r="H161" s="20"/>
      <c r="K161" s="19"/>
      <c r="L161" s="19"/>
    </row>
    <row r="162" spans="2:12" x14ac:dyDescent="0.25">
      <c r="B162" s="19"/>
      <c r="C162" s="19"/>
      <c r="D162" s="19"/>
      <c r="E162" s="19"/>
      <c r="F162" s="19"/>
      <c r="G162" s="19"/>
      <c r="H162" s="20"/>
      <c r="K162" s="19"/>
      <c r="L162" s="19"/>
    </row>
    <row r="163" spans="2:12" x14ac:dyDescent="0.25">
      <c r="B163" s="19"/>
      <c r="C163" s="19"/>
      <c r="D163" s="19"/>
      <c r="E163" s="19"/>
      <c r="F163" s="19"/>
      <c r="G163" s="19"/>
      <c r="H163" s="20"/>
      <c r="K163" s="19"/>
      <c r="L163" s="19"/>
    </row>
    <row r="164" spans="2:12" x14ac:dyDescent="0.25">
      <c r="B164" s="19"/>
      <c r="C164" s="19"/>
      <c r="D164" s="19"/>
      <c r="E164" s="19"/>
      <c r="F164" s="19"/>
      <c r="G164" s="19"/>
      <c r="H164" s="20"/>
      <c r="K164" s="19"/>
      <c r="L164" s="19"/>
    </row>
    <row r="165" spans="2:12" x14ac:dyDescent="0.25">
      <c r="B165" s="19"/>
      <c r="C165" s="19"/>
      <c r="D165" s="19"/>
      <c r="E165" s="19"/>
      <c r="F165" s="19"/>
      <c r="G165" s="19"/>
      <c r="H165" s="20"/>
      <c r="K165" s="19"/>
      <c r="L165" s="19"/>
    </row>
    <row r="166" spans="2:12" x14ac:dyDescent="0.25">
      <c r="B166" s="19"/>
      <c r="C166" s="19"/>
      <c r="D166" s="19"/>
      <c r="E166" s="19"/>
      <c r="F166" s="19"/>
      <c r="G166" s="19"/>
      <c r="H166" s="20"/>
      <c r="K166" s="19"/>
      <c r="L166" s="19"/>
    </row>
    <row r="167" spans="2:12" x14ac:dyDescent="0.25">
      <c r="B167" s="19"/>
      <c r="C167" s="19"/>
      <c r="D167" s="19"/>
      <c r="E167" s="19"/>
      <c r="F167" s="19"/>
      <c r="G167" s="19"/>
      <c r="H167" s="20"/>
      <c r="K167" s="19"/>
      <c r="L167" s="19"/>
    </row>
    <row r="168" spans="2:12" x14ac:dyDescent="0.25">
      <c r="B168" s="19"/>
      <c r="C168" s="19"/>
      <c r="D168" s="19"/>
      <c r="E168" s="19"/>
      <c r="F168" s="19"/>
      <c r="G168" s="19"/>
      <c r="H168" s="20"/>
      <c r="K168" s="19"/>
      <c r="L168" s="19"/>
    </row>
    <row r="169" spans="2:12" x14ac:dyDescent="0.25">
      <c r="B169" s="19"/>
      <c r="C169" s="19"/>
      <c r="D169" s="19"/>
      <c r="E169" s="19"/>
      <c r="F169" s="19"/>
      <c r="G169" s="19"/>
      <c r="H169" s="20"/>
      <c r="K169" s="19"/>
      <c r="L169" s="19"/>
    </row>
    <row r="170" spans="2:12" x14ac:dyDescent="0.25">
      <c r="B170" s="19"/>
      <c r="C170" s="19"/>
      <c r="D170" s="19"/>
      <c r="E170" s="19"/>
      <c r="F170" s="19"/>
      <c r="G170" s="19"/>
      <c r="H170" s="20"/>
      <c r="K170" s="19"/>
      <c r="L170" s="19"/>
    </row>
    <row r="171" spans="2:12" x14ac:dyDescent="0.25">
      <c r="B171" s="19"/>
      <c r="C171" s="19"/>
      <c r="D171" s="19"/>
      <c r="E171" s="19"/>
      <c r="F171" s="19"/>
      <c r="G171" s="19"/>
      <c r="H171" s="20"/>
      <c r="K171" s="19"/>
      <c r="L171" s="19"/>
    </row>
    <row r="172" spans="2:12" x14ac:dyDescent="0.25">
      <c r="B172" s="19"/>
      <c r="C172" s="19"/>
      <c r="D172" s="19"/>
      <c r="E172" s="19"/>
      <c r="F172" s="19"/>
      <c r="G172" s="19"/>
      <c r="H172" s="20"/>
      <c r="K172" s="19"/>
      <c r="L172" s="19"/>
    </row>
    <row r="173" spans="2:12" x14ac:dyDescent="0.25">
      <c r="B173" s="19"/>
      <c r="C173" s="19"/>
      <c r="D173" s="19"/>
      <c r="E173" s="19"/>
      <c r="F173" s="19"/>
      <c r="G173" s="19"/>
      <c r="H173" s="20"/>
      <c r="K173" s="19"/>
      <c r="L173" s="19"/>
    </row>
    <row r="174" spans="2:12" x14ac:dyDescent="0.25">
      <c r="B174" s="19"/>
      <c r="C174" s="19"/>
      <c r="D174" s="19"/>
      <c r="E174" s="19"/>
      <c r="F174" s="19"/>
      <c r="G174" s="19"/>
      <c r="H174" s="20"/>
      <c r="K174" s="19"/>
      <c r="L174" s="19"/>
    </row>
    <row r="175" spans="2:12" x14ac:dyDescent="0.25">
      <c r="B175" s="19"/>
      <c r="C175" s="19"/>
      <c r="D175" s="19"/>
      <c r="E175" s="19"/>
      <c r="F175" s="19"/>
      <c r="G175" s="19"/>
      <c r="H175" s="20"/>
      <c r="K175" s="19"/>
      <c r="L175" s="19"/>
    </row>
    <row r="176" spans="2:12" x14ac:dyDescent="0.25">
      <c r="B176" s="19"/>
      <c r="C176" s="19"/>
      <c r="D176" s="19"/>
      <c r="E176" s="19"/>
      <c r="F176" s="19"/>
      <c r="G176" s="19"/>
      <c r="H176" s="20"/>
      <c r="K176" s="19"/>
      <c r="L176" s="19"/>
    </row>
    <row r="177" spans="2:12" x14ac:dyDescent="0.25">
      <c r="B177" s="19"/>
      <c r="C177" s="19"/>
      <c r="D177" s="19"/>
      <c r="E177" s="19"/>
      <c r="F177" s="19"/>
      <c r="G177" s="19"/>
      <c r="H177" s="20"/>
      <c r="K177" s="19"/>
      <c r="L177" s="19"/>
    </row>
    <row r="178" spans="2:12" x14ac:dyDescent="0.25">
      <c r="B178" s="19"/>
      <c r="C178" s="19"/>
      <c r="D178" s="19"/>
      <c r="E178" s="19"/>
      <c r="F178" s="19"/>
      <c r="G178" s="19"/>
      <c r="H178" s="20"/>
      <c r="K178" s="19"/>
      <c r="L178" s="19"/>
    </row>
    <row r="179" spans="2:12" x14ac:dyDescent="0.25">
      <c r="B179" s="19"/>
      <c r="C179" s="19"/>
      <c r="D179" s="19"/>
      <c r="E179" s="19"/>
      <c r="F179" s="19"/>
      <c r="G179" s="19"/>
      <c r="H179" s="20"/>
      <c r="K179" s="19"/>
      <c r="L179" s="19"/>
    </row>
    <row r="180" spans="2:12" x14ac:dyDescent="0.25">
      <c r="B180" s="19"/>
      <c r="C180" s="19"/>
      <c r="D180" s="19"/>
      <c r="E180" s="19"/>
      <c r="F180" s="19"/>
      <c r="G180" s="19"/>
      <c r="H180" s="20"/>
      <c r="K180" s="19"/>
      <c r="L180" s="19"/>
    </row>
    <row r="181" spans="2:12" x14ac:dyDescent="0.25">
      <c r="B181" s="19"/>
      <c r="C181" s="19"/>
      <c r="D181" s="19"/>
      <c r="E181" s="19"/>
      <c r="F181" s="19"/>
      <c r="G181" s="19"/>
      <c r="H181" s="20"/>
      <c r="K181" s="19"/>
      <c r="L181" s="19"/>
    </row>
    <row r="182" spans="2:12" x14ac:dyDescent="0.25">
      <c r="B182" s="19"/>
      <c r="C182" s="19"/>
      <c r="D182" s="19"/>
      <c r="E182" s="19"/>
      <c r="F182" s="19"/>
      <c r="G182" s="19"/>
      <c r="H182" s="20"/>
      <c r="K182" s="19"/>
      <c r="L182" s="19"/>
    </row>
    <row r="183" spans="2:12" x14ac:dyDescent="0.25">
      <c r="B183" s="19"/>
      <c r="C183" s="19"/>
      <c r="D183" s="19"/>
      <c r="E183" s="19"/>
      <c r="F183" s="19"/>
      <c r="G183" s="19"/>
      <c r="H183" s="20"/>
      <c r="K183" s="19"/>
      <c r="L183" s="19"/>
    </row>
    <row r="184" spans="2:12" x14ac:dyDescent="0.25">
      <c r="B184" s="19"/>
      <c r="C184" s="19"/>
      <c r="D184" s="19"/>
      <c r="E184" s="19"/>
      <c r="F184" s="19"/>
      <c r="G184" s="19"/>
      <c r="H184" s="20"/>
      <c r="K184" s="19"/>
      <c r="L184" s="19"/>
    </row>
    <row r="185" spans="2:12" x14ac:dyDescent="0.25">
      <c r="B185" s="19"/>
      <c r="C185" s="19"/>
      <c r="D185" s="19"/>
      <c r="E185" s="19"/>
      <c r="F185" s="19"/>
      <c r="G185" s="19"/>
      <c r="H185" s="20"/>
      <c r="K185" s="19"/>
      <c r="L185" s="19"/>
    </row>
    <row r="186" spans="2:12" x14ac:dyDescent="0.25">
      <c r="B186" s="19"/>
      <c r="C186" s="19"/>
      <c r="D186" s="19"/>
      <c r="E186" s="19"/>
      <c r="F186" s="19"/>
      <c r="G186" s="19"/>
      <c r="H186" s="20"/>
      <c r="K186" s="19"/>
      <c r="L186" s="19"/>
    </row>
    <row r="187" spans="2:12" x14ac:dyDescent="0.25">
      <c r="B187" s="19"/>
      <c r="C187" s="19"/>
      <c r="D187" s="19"/>
      <c r="E187" s="19"/>
      <c r="F187" s="19"/>
      <c r="G187" s="19"/>
      <c r="H187" s="20"/>
      <c r="K187" s="19"/>
      <c r="L187" s="19"/>
    </row>
    <row r="188" spans="2:12" x14ac:dyDescent="0.25">
      <c r="B188" s="19"/>
      <c r="C188" s="19"/>
      <c r="D188" s="19"/>
      <c r="E188" s="19"/>
      <c r="F188" s="19"/>
      <c r="G188" s="19"/>
      <c r="H188" s="20"/>
      <c r="K188" s="19"/>
      <c r="L188" s="19"/>
    </row>
    <row r="189" spans="2:12" x14ac:dyDescent="0.25">
      <c r="B189" s="19"/>
      <c r="C189" s="19"/>
      <c r="D189" s="19"/>
      <c r="E189" s="19"/>
      <c r="F189" s="19"/>
      <c r="G189" s="19"/>
      <c r="H189" s="20"/>
      <c r="K189" s="19"/>
      <c r="L189" s="19"/>
    </row>
    <row r="190" spans="2:12" x14ac:dyDescent="0.25">
      <c r="B190" s="19"/>
      <c r="C190" s="19"/>
      <c r="D190" s="19"/>
      <c r="E190" s="19"/>
      <c r="F190" s="19"/>
      <c r="G190" s="19"/>
      <c r="H190" s="20"/>
      <c r="K190" s="19"/>
      <c r="L190" s="19"/>
    </row>
    <row r="191" spans="2:12" x14ac:dyDescent="0.25">
      <c r="B191" s="19"/>
      <c r="C191" s="19"/>
      <c r="D191" s="19"/>
      <c r="E191" s="19"/>
      <c r="F191" s="19"/>
      <c r="G191" s="19"/>
      <c r="H191" s="20"/>
      <c r="K191" s="19"/>
      <c r="L191" s="19"/>
    </row>
    <row r="192" spans="2:12" x14ac:dyDescent="0.25">
      <c r="B192" s="19"/>
      <c r="C192" s="19"/>
      <c r="D192" s="19"/>
      <c r="E192" s="19"/>
      <c r="F192" s="19"/>
      <c r="G192" s="19"/>
      <c r="H192" s="20"/>
      <c r="K192" s="19"/>
      <c r="L192" s="19"/>
    </row>
    <row r="193" spans="2:12" x14ac:dyDescent="0.25">
      <c r="B193" s="19"/>
      <c r="C193" s="19"/>
      <c r="D193" s="19"/>
      <c r="E193" s="19"/>
      <c r="F193" s="19"/>
      <c r="G193" s="19"/>
      <c r="H193" s="20"/>
      <c r="K193" s="19"/>
      <c r="L193" s="19"/>
    </row>
    <row r="194" spans="2:12" x14ac:dyDescent="0.25">
      <c r="B194" s="19"/>
      <c r="C194" s="19"/>
      <c r="D194" s="19"/>
      <c r="E194" s="19"/>
      <c r="F194" s="19"/>
      <c r="G194" s="19"/>
      <c r="H194" s="20"/>
      <c r="K194" s="19"/>
      <c r="L194" s="19"/>
    </row>
    <row r="195" spans="2:12" x14ac:dyDescent="0.25">
      <c r="B195" s="19"/>
      <c r="C195" s="19"/>
      <c r="D195" s="19"/>
      <c r="E195" s="19"/>
      <c r="F195" s="19"/>
      <c r="G195" s="19"/>
      <c r="H195" s="20"/>
      <c r="K195" s="19"/>
      <c r="L195" s="19"/>
    </row>
    <row r="196" spans="2:12" x14ac:dyDescent="0.25">
      <c r="B196" s="19"/>
      <c r="C196" s="19"/>
      <c r="D196" s="19"/>
      <c r="E196" s="19"/>
      <c r="F196" s="19"/>
      <c r="G196" s="19"/>
      <c r="H196" s="20"/>
      <c r="K196" s="19"/>
      <c r="L196" s="19"/>
    </row>
    <row r="197" spans="2:12" x14ac:dyDescent="0.25">
      <c r="B197" s="19"/>
      <c r="C197" s="19"/>
      <c r="D197" s="19"/>
      <c r="E197" s="19"/>
      <c r="F197" s="19"/>
      <c r="G197" s="19"/>
      <c r="H197" s="20"/>
      <c r="K197" s="19"/>
      <c r="L197" s="19"/>
    </row>
    <row r="198" spans="2:12" x14ac:dyDescent="0.25">
      <c r="B198" s="19"/>
      <c r="C198" s="19"/>
      <c r="D198" s="19"/>
      <c r="E198" s="19"/>
      <c r="F198" s="19"/>
      <c r="G198" s="19"/>
      <c r="H198" s="20"/>
      <c r="K198" s="19"/>
      <c r="L198" s="19"/>
    </row>
    <row r="199" spans="2:12" x14ac:dyDescent="0.25">
      <c r="B199" s="19"/>
      <c r="C199" s="19"/>
      <c r="D199" s="19"/>
      <c r="E199" s="19"/>
      <c r="F199" s="19"/>
      <c r="G199" s="19"/>
      <c r="H199" s="20"/>
      <c r="K199" s="19"/>
      <c r="L199" s="19"/>
    </row>
    <row r="200" spans="2:12" x14ac:dyDescent="0.25">
      <c r="B200" s="19"/>
      <c r="C200" s="19"/>
      <c r="D200" s="19"/>
      <c r="E200" s="19"/>
      <c r="F200" s="19"/>
      <c r="G200" s="19"/>
      <c r="H200" s="20"/>
      <c r="K200" s="19"/>
      <c r="L200" s="19"/>
    </row>
    <row r="201" spans="2:12" x14ac:dyDescent="0.25">
      <c r="B201" s="19"/>
      <c r="C201" s="19"/>
      <c r="D201" s="19"/>
      <c r="E201" s="19"/>
      <c r="F201" s="19"/>
      <c r="G201" s="19"/>
      <c r="H201" s="20"/>
      <c r="K201" s="19"/>
      <c r="L201" s="19"/>
    </row>
    <row r="202" spans="2:12" x14ac:dyDescent="0.25">
      <c r="B202" s="19"/>
      <c r="C202" s="19"/>
      <c r="D202" s="19"/>
      <c r="E202" s="19"/>
      <c r="F202" s="19"/>
      <c r="G202" s="19"/>
      <c r="H202" s="20"/>
      <c r="K202" s="19"/>
      <c r="L202" s="19"/>
    </row>
    <row r="203" spans="2:12" x14ac:dyDescent="0.25">
      <c r="B203" s="19"/>
      <c r="C203" s="19"/>
      <c r="D203" s="19"/>
      <c r="E203" s="19"/>
      <c r="F203" s="19"/>
      <c r="G203" s="19"/>
      <c r="H203" s="20"/>
      <c r="K203" s="19"/>
      <c r="L203" s="19"/>
    </row>
    <row r="204" spans="2:12" x14ac:dyDescent="0.25">
      <c r="B204" s="19"/>
      <c r="C204" s="19"/>
      <c r="D204" s="19"/>
      <c r="E204" s="19"/>
      <c r="F204" s="19"/>
      <c r="G204" s="19"/>
      <c r="H204" s="20"/>
      <c r="K204" s="19"/>
      <c r="L204" s="19"/>
    </row>
    <row r="205" spans="2:12" x14ac:dyDescent="0.25">
      <c r="B205" s="19"/>
      <c r="C205" s="19"/>
      <c r="D205" s="19"/>
      <c r="E205" s="19"/>
      <c r="F205" s="19"/>
      <c r="G205" s="19"/>
      <c r="H205" s="20"/>
      <c r="K205" s="19"/>
      <c r="L205" s="19"/>
    </row>
    <row r="206" spans="2:12" x14ac:dyDescent="0.25">
      <c r="B206" s="19"/>
      <c r="C206" s="19"/>
      <c r="D206" s="19"/>
      <c r="E206" s="19"/>
      <c r="F206" s="19"/>
      <c r="G206" s="19"/>
      <c r="H206" s="20"/>
      <c r="K206" s="19"/>
      <c r="L206" s="19"/>
    </row>
    <row r="207" spans="2:12" x14ac:dyDescent="0.25">
      <c r="B207" s="19"/>
      <c r="C207" s="19"/>
      <c r="D207" s="19"/>
      <c r="E207" s="19"/>
      <c r="F207" s="19"/>
      <c r="G207" s="19"/>
      <c r="H207" s="20"/>
      <c r="K207" s="19"/>
      <c r="L207" s="19"/>
    </row>
    <row r="208" spans="2:12" x14ac:dyDescent="0.25">
      <c r="B208" s="19"/>
      <c r="C208" s="19"/>
      <c r="D208" s="19"/>
      <c r="E208" s="19"/>
      <c r="F208" s="19"/>
      <c r="G208" s="19"/>
      <c r="H208" s="20"/>
      <c r="K208" s="19"/>
      <c r="L208" s="19"/>
    </row>
    <row r="209" spans="2:12" x14ac:dyDescent="0.25">
      <c r="B209" s="19"/>
      <c r="C209" s="19"/>
      <c r="D209" s="19"/>
      <c r="E209" s="19"/>
      <c r="F209" s="19"/>
      <c r="G209" s="19"/>
      <c r="H209" s="20"/>
      <c r="K209" s="19"/>
      <c r="L209" s="19"/>
    </row>
    <row r="210" spans="2:12" x14ac:dyDescent="0.25">
      <c r="B210" s="19"/>
      <c r="C210" s="19"/>
      <c r="D210" s="19"/>
      <c r="E210" s="19"/>
      <c r="F210" s="19"/>
      <c r="G210" s="19"/>
      <c r="H210" s="20"/>
      <c r="K210" s="19"/>
      <c r="L210" s="19"/>
    </row>
    <row r="211" spans="2:12" x14ac:dyDescent="0.25">
      <c r="B211" s="19"/>
      <c r="C211" s="19"/>
      <c r="D211" s="19"/>
      <c r="E211" s="19"/>
      <c r="F211" s="19"/>
      <c r="G211" s="19"/>
      <c r="H211" s="20"/>
      <c r="K211" s="19"/>
      <c r="L211" s="19"/>
    </row>
    <row r="212" spans="2:12" x14ac:dyDescent="0.25">
      <c r="B212" s="19"/>
      <c r="C212" s="19"/>
      <c r="D212" s="19"/>
      <c r="E212" s="19"/>
      <c r="F212" s="19"/>
      <c r="G212" s="19"/>
      <c r="H212" s="20"/>
      <c r="K212" s="19"/>
      <c r="L212" s="19"/>
    </row>
    <row r="213" spans="2:12" x14ac:dyDescent="0.25">
      <c r="B213" s="19"/>
      <c r="C213" s="19"/>
      <c r="D213" s="19"/>
      <c r="E213" s="19"/>
      <c r="F213" s="19"/>
      <c r="G213" s="19"/>
      <c r="H213" s="20"/>
      <c r="K213" s="19"/>
      <c r="L213" s="19"/>
    </row>
    <row r="214" spans="2:12" x14ac:dyDescent="0.25">
      <c r="B214" s="19"/>
      <c r="C214" s="19"/>
      <c r="D214" s="19"/>
      <c r="E214" s="19"/>
      <c r="F214" s="19"/>
      <c r="G214" s="19"/>
      <c r="H214" s="20"/>
      <c r="K214" s="19"/>
      <c r="L214" s="19"/>
    </row>
    <row r="215" spans="2:12" x14ac:dyDescent="0.25">
      <c r="B215" s="19"/>
      <c r="C215" s="19"/>
      <c r="D215" s="19"/>
      <c r="E215" s="19"/>
      <c r="F215" s="19"/>
      <c r="G215" s="19"/>
      <c r="H215" s="20"/>
      <c r="K215" s="19"/>
      <c r="L215" s="19"/>
    </row>
    <row r="216" spans="2:12" x14ac:dyDescent="0.25">
      <c r="B216" s="19"/>
      <c r="C216" s="19"/>
      <c r="D216" s="19"/>
      <c r="E216" s="19"/>
      <c r="F216" s="19"/>
      <c r="G216" s="19"/>
      <c r="H216" s="20"/>
      <c r="K216" s="19"/>
      <c r="L216" s="19"/>
    </row>
    <row r="217" spans="2:12" x14ac:dyDescent="0.25">
      <c r="B217" s="19"/>
      <c r="C217" s="19"/>
      <c r="D217" s="19"/>
      <c r="E217" s="19"/>
      <c r="F217" s="19"/>
      <c r="G217" s="19"/>
      <c r="H217" s="20"/>
      <c r="K217" s="19"/>
      <c r="L217" s="19"/>
    </row>
    <row r="218" spans="2:12" x14ac:dyDescent="0.25">
      <c r="B218" s="19"/>
      <c r="C218" s="19"/>
      <c r="D218" s="19"/>
      <c r="E218" s="19"/>
      <c r="F218" s="19"/>
      <c r="G218" s="19"/>
      <c r="H218" s="20"/>
      <c r="K218" s="19"/>
      <c r="L218" s="19"/>
    </row>
    <row r="219" spans="2:12" x14ac:dyDescent="0.25">
      <c r="B219" s="19"/>
      <c r="C219" s="19"/>
      <c r="D219" s="19"/>
      <c r="E219" s="19"/>
      <c r="F219" s="19"/>
      <c r="G219" s="19"/>
      <c r="H219" s="20"/>
      <c r="K219" s="19"/>
      <c r="L219" s="19"/>
    </row>
    <row r="220" spans="2:12" x14ac:dyDescent="0.25">
      <c r="B220" s="19"/>
      <c r="C220" s="19"/>
      <c r="D220" s="19"/>
      <c r="E220" s="19"/>
      <c r="F220" s="19"/>
      <c r="G220" s="19"/>
      <c r="H220" s="20"/>
      <c r="K220" s="19"/>
      <c r="L220" s="19"/>
    </row>
    <row r="221" spans="2:12" x14ac:dyDescent="0.25">
      <c r="B221" s="19"/>
      <c r="C221" s="19"/>
      <c r="D221" s="19"/>
      <c r="E221" s="19"/>
      <c r="F221" s="19"/>
      <c r="G221" s="19"/>
      <c r="H221" s="20"/>
      <c r="K221" s="19"/>
      <c r="L221" s="19"/>
    </row>
    <row r="222" spans="2:12" x14ac:dyDescent="0.25">
      <c r="B222" s="19"/>
      <c r="C222" s="19"/>
      <c r="D222" s="19"/>
      <c r="E222" s="19"/>
      <c r="F222" s="19"/>
      <c r="G222" s="19"/>
      <c r="H222" s="20"/>
      <c r="K222" s="19"/>
      <c r="L222" s="19"/>
    </row>
    <row r="223" spans="2:12" x14ac:dyDescent="0.25">
      <c r="B223" s="19"/>
      <c r="C223" s="19"/>
      <c r="D223" s="19"/>
      <c r="E223" s="19"/>
      <c r="F223" s="19"/>
      <c r="G223" s="19"/>
      <c r="H223" s="20"/>
      <c r="K223" s="19"/>
      <c r="L223" s="19"/>
    </row>
    <row r="224" spans="2:12" x14ac:dyDescent="0.25">
      <c r="B224" s="19"/>
      <c r="C224" s="19"/>
      <c r="D224" s="19"/>
      <c r="E224" s="19"/>
      <c r="F224" s="19"/>
      <c r="G224" s="19"/>
      <c r="H224" s="20"/>
      <c r="K224" s="19"/>
      <c r="L224" s="19"/>
    </row>
    <row r="225" spans="2:12" x14ac:dyDescent="0.25">
      <c r="B225" s="19"/>
      <c r="C225" s="19"/>
      <c r="D225" s="19"/>
      <c r="E225" s="19"/>
      <c r="F225" s="19"/>
      <c r="G225" s="19"/>
      <c r="H225" s="20"/>
      <c r="K225" s="19"/>
      <c r="L225" s="19"/>
    </row>
    <row r="226" spans="2:12" x14ac:dyDescent="0.25">
      <c r="B226" s="19"/>
      <c r="C226" s="19"/>
      <c r="D226" s="19"/>
      <c r="E226" s="19"/>
      <c r="F226" s="19"/>
      <c r="G226" s="19"/>
      <c r="H226" s="20"/>
      <c r="K226" s="19"/>
      <c r="L226" s="19"/>
    </row>
    <row r="227" spans="2:12" x14ac:dyDescent="0.25">
      <c r="B227" s="19"/>
      <c r="C227" s="19"/>
      <c r="D227" s="19"/>
      <c r="E227" s="19"/>
      <c r="F227" s="19"/>
      <c r="G227" s="19"/>
      <c r="H227" s="20"/>
      <c r="K227" s="19"/>
      <c r="L227" s="19"/>
    </row>
    <row r="228" spans="2:12" x14ac:dyDescent="0.25">
      <c r="B228" s="19"/>
      <c r="C228" s="19"/>
      <c r="D228" s="19"/>
      <c r="E228" s="19"/>
      <c r="F228" s="19"/>
      <c r="G228" s="19"/>
      <c r="H228" s="20"/>
      <c r="K228" s="19"/>
      <c r="L228" s="19"/>
    </row>
    <row r="229" spans="2:12" x14ac:dyDescent="0.25">
      <c r="B229" s="19"/>
      <c r="C229" s="19"/>
      <c r="D229" s="19"/>
      <c r="E229" s="19"/>
      <c r="F229" s="19"/>
      <c r="G229" s="19"/>
      <c r="H229" s="20"/>
      <c r="K229" s="19"/>
      <c r="L229" s="19"/>
    </row>
    <row r="230" spans="2:12" x14ac:dyDescent="0.25">
      <c r="B230" s="19"/>
      <c r="C230" s="19"/>
      <c r="D230" s="19"/>
      <c r="E230" s="19"/>
      <c r="F230" s="19"/>
      <c r="G230" s="19"/>
      <c r="H230" s="20"/>
      <c r="K230" s="19"/>
      <c r="L230" s="19"/>
    </row>
    <row r="231" spans="2:12" x14ac:dyDescent="0.25">
      <c r="B231" s="19"/>
      <c r="C231" s="19"/>
      <c r="D231" s="19"/>
      <c r="E231" s="19"/>
      <c r="F231" s="19"/>
      <c r="G231" s="19"/>
      <c r="H231" s="20"/>
      <c r="K231" s="19"/>
      <c r="L231" s="19"/>
    </row>
    <row r="232" spans="2:12" x14ac:dyDescent="0.25">
      <c r="B232" s="19"/>
      <c r="C232" s="19"/>
      <c r="D232" s="19"/>
      <c r="E232" s="19"/>
      <c r="F232" s="19"/>
      <c r="G232" s="19"/>
      <c r="H232" s="20"/>
      <c r="K232" s="19"/>
      <c r="L232" s="19"/>
    </row>
    <row r="233" spans="2:12" x14ac:dyDescent="0.25">
      <c r="B233" s="19"/>
      <c r="C233" s="19"/>
      <c r="D233" s="19"/>
      <c r="E233" s="19"/>
      <c r="F233" s="19"/>
      <c r="G233" s="19"/>
      <c r="H233" s="20"/>
      <c r="K233" s="19"/>
      <c r="L233" s="19"/>
    </row>
    <row r="234" spans="2:12" x14ac:dyDescent="0.25">
      <c r="B234" s="19"/>
      <c r="C234" s="19"/>
      <c r="D234" s="19"/>
      <c r="E234" s="19"/>
      <c r="F234" s="19"/>
      <c r="G234" s="19"/>
      <c r="H234" s="20"/>
      <c r="K234" s="19"/>
      <c r="L234" s="19"/>
    </row>
    <row r="235" spans="2:12" x14ac:dyDescent="0.25">
      <c r="B235" s="19"/>
      <c r="C235" s="19"/>
      <c r="D235" s="19"/>
      <c r="E235" s="19"/>
      <c r="F235" s="19"/>
      <c r="G235" s="19"/>
      <c r="H235" s="20"/>
      <c r="K235" s="19"/>
      <c r="L235" s="19"/>
    </row>
    <row r="236" spans="2:12" x14ac:dyDescent="0.25">
      <c r="B236" s="19"/>
      <c r="C236" s="19"/>
      <c r="D236" s="19"/>
      <c r="E236" s="19"/>
      <c r="F236" s="19"/>
      <c r="G236" s="19"/>
      <c r="H236" s="20"/>
      <c r="K236" s="19"/>
      <c r="L236" s="19"/>
    </row>
    <row r="237" spans="2:12" x14ac:dyDescent="0.25">
      <c r="B237" s="19"/>
      <c r="C237" s="19"/>
      <c r="D237" s="19"/>
      <c r="E237" s="19"/>
      <c r="F237" s="19"/>
      <c r="G237" s="19"/>
      <c r="H237" s="20"/>
      <c r="K237" s="19"/>
      <c r="L237" s="19"/>
    </row>
    <row r="238" spans="2:12" x14ac:dyDescent="0.25">
      <c r="B238" s="19"/>
      <c r="C238" s="19"/>
      <c r="D238" s="19"/>
      <c r="E238" s="19"/>
      <c r="F238" s="19"/>
      <c r="G238" s="19"/>
      <c r="H238" s="20"/>
      <c r="K238" s="19"/>
      <c r="L238" s="19"/>
    </row>
    <row r="239" spans="2:12" x14ac:dyDescent="0.25">
      <c r="B239" s="19"/>
      <c r="C239" s="19"/>
      <c r="D239" s="19"/>
      <c r="E239" s="19"/>
      <c r="F239" s="19"/>
      <c r="G239" s="19"/>
      <c r="H239" s="20"/>
      <c r="K239" s="19"/>
      <c r="L239" s="19"/>
    </row>
    <row r="240" spans="2:12" x14ac:dyDescent="0.25">
      <c r="B240" s="19"/>
      <c r="C240" s="19"/>
      <c r="D240" s="19"/>
      <c r="E240" s="19"/>
      <c r="F240" s="19"/>
      <c r="G240" s="19"/>
      <c r="H240" s="20"/>
      <c r="K240" s="19"/>
      <c r="L240" s="19"/>
    </row>
    <row r="241" spans="2:12" x14ac:dyDescent="0.25">
      <c r="B241" s="19"/>
      <c r="C241" s="19"/>
      <c r="D241" s="19"/>
      <c r="E241" s="19"/>
      <c r="F241" s="19"/>
      <c r="G241" s="19"/>
      <c r="H241" s="20"/>
      <c r="K241" s="19"/>
      <c r="L241" s="19"/>
    </row>
    <row r="242" spans="2:12" x14ac:dyDescent="0.25">
      <c r="B242" s="19"/>
      <c r="C242" s="19"/>
      <c r="D242" s="19"/>
      <c r="E242" s="19"/>
      <c r="F242" s="19"/>
      <c r="G242" s="19"/>
      <c r="H242" s="20"/>
      <c r="K242" s="19"/>
      <c r="L242" s="19"/>
    </row>
    <row r="243" spans="2:12" x14ac:dyDescent="0.25">
      <c r="B243" s="19"/>
      <c r="C243" s="19"/>
      <c r="D243" s="19"/>
      <c r="E243" s="19"/>
      <c r="F243" s="19"/>
      <c r="G243" s="19"/>
      <c r="H243" s="20"/>
      <c r="K243" s="19"/>
      <c r="L243" s="19"/>
    </row>
    <row r="244" spans="2:12" x14ac:dyDescent="0.25">
      <c r="B244" s="19"/>
      <c r="C244" s="19"/>
      <c r="D244" s="19"/>
      <c r="E244" s="19"/>
      <c r="F244" s="19"/>
      <c r="G244" s="19"/>
      <c r="H244" s="20"/>
      <c r="K244" s="19"/>
      <c r="L244" s="19"/>
    </row>
    <row r="245" spans="2:12" x14ac:dyDescent="0.25">
      <c r="B245" s="19"/>
      <c r="C245" s="19"/>
      <c r="D245" s="19"/>
      <c r="E245" s="19"/>
      <c r="F245" s="19"/>
      <c r="G245" s="19"/>
      <c r="H245" s="20"/>
      <c r="K245" s="19"/>
      <c r="L245" s="19"/>
    </row>
    <row r="246" spans="2:12" x14ac:dyDescent="0.25">
      <c r="B246" s="19"/>
      <c r="C246" s="19"/>
      <c r="D246" s="19"/>
      <c r="E246" s="19"/>
      <c r="F246" s="19"/>
      <c r="G246" s="19"/>
      <c r="H246" s="20"/>
      <c r="K246" s="19"/>
      <c r="L246" s="19"/>
    </row>
    <row r="247" spans="2:12" x14ac:dyDescent="0.25">
      <c r="B247" s="19"/>
      <c r="C247" s="19"/>
      <c r="D247" s="19"/>
      <c r="E247" s="19"/>
      <c r="F247" s="19"/>
      <c r="G247" s="19"/>
      <c r="H247" s="20"/>
      <c r="K247" s="19"/>
      <c r="L247" s="19"/>
    </row>
    <row r="248" spans="2:12" x14ac:dyDescent="0.25">
      <c r="B248" s="19"/>
      <c r="C248" s="19"/>
      <c r="D248" s="19"/>
      <c r="E248" s="19"/>
      <c r="F248" s="19"/>
      <c r="G248" s="19"/>
      <c r="H248" s="20"/>
      <c r="K248" s="19"/>
      <c r="L248" s="19"/>
    </row>
    <row r="249" spans="2:12" x14ac:dyDescent="0.25">
      <c r="B249" s="19"/>
      <c r="C249" s="19"/>
      <c r="D249" s="19"/>
      <c r="E249" s="19"/>
      <c r="F249" s="19"/>
      <c r="G249" s="19"/>
      <c r="H249" s="20"/>
      <c r="K249" s="19"/>
      <c r="L249" s="19"/>
    </row>
    <row r="250" spans="2:12" x14ac:dyDescent="0.25">
      <c r="B250" s="19"/>
      <c r="C250" s="19"/>
      <c r="D250" s="19"/>
      <c r="E250" s="19"/>
      <c r="F250" s="19"/>
      <c r="G250" s="19"/>
      <c r="H250" s="20"/>
      <c r="K250" s="19"/>
      <c r="L250" s="19"/>
    </row>
    <row r="251" spans="2:12" x14ac:dyDescent="0.25">
      <c r="B251" s="19"/>
      <c r="C251" s="19"/>
      <c r="D251" s="19"/>
      <c r="E251" s="19"/>
      <c r="F251" s="19"/>
      <c r="G251" s="19"/>
      <c r="H251" s="20"/>
      <c r="K251" s="19"/>
      <c r="L251" s="19"/>
    </row>
    <row r="252" spans="2:12" x14ac:dyDescent="0.25">
      <c r="B252" s="19"/>
      <c r="C252" s="19"/>
      <c r="D252" s="19"/>
      <c r="E252" s="19"/>
      <c r="F252" s="19"/>
      <c r="G252" s="19"/>
      <c r="H252" s="20"/>
      <c r="K252" s="19"/>
      <c r="L252" s="19"/>
    </row>
    <row r="253" spans="2:12" x14ac:dyDescent="0.25">
      <c r="B253" s="19"/>
      <c r="C253" s="19"/>
      <c r="D253" s="19"/>
      <c r="E253" s="19"/>
      <c r="F253" s="19"/>
      <c r="G253" s="19"/>
      <c r="H253" s="20"/>
      <c r="K253" s="19"/>
      <c r="L253" s="19"/>
    </row>
    <row r="254" spans="2:12" x14ac:dyDescent="0.25">
      <c r="B254" s="19"/>
      <c r="C254" s="19"/>
      <c r="D254" s="19"/>
      <c r="E254" s="19"/>
      <c r="F254" s="19"/>
      <c r="G254" s="19"/>
      <c r="H254" s="20"/>
      <c r="K254" s="19"/>
      <c r="L254" s="19"/>
    </row>
    <row r="255" spans="2:12" x14ac:dyDescent="0.25">
      <c r="B255" s="19"/>
      <c r="C255" s="19"/>
      <c r="D255" s="19"/>
      <c r="E255" s="19"/>
      <c r="F255" s="19"/>
      <c r="G255" s="19"/>
      <c r="H255" s="20"/>
      <c r="K255" s="19"/>
      <c r="L255" s="19"/>
    </row>
    <row r="256" spans="2:12" x14ac:dyDescent="0.25">
      <c r="B256" s="19"/>
      <c r="C256" s="19"/>
      <c r="D256" s="19"/>
      <c r="E256" s="19"/>
      <c r="F256" s="19"/>
      <c r="G256" s="19"/>
      <c r="H256" s="20"/>
      <c r="K256" s="19"/>
      <c r="L256" s="19"/>
    </row>
    <row r="257" spans="2:12" x14ac:dyDescent="0.25">
      <c r="B257" s="19"/>
      <c r="C257" s="19"/>
      <c r="D257" s="19"/>
      <c r="E257" s="19"/>
      <c r="F257" s="19"/>
      <c r="G257" s="19"/>
      <c r="H257" s="20"/>
      <c r="K257" s="19"/>
      <c r="L257" s="19"/>
    </row>
    <row r="258" spans="2:12" x14ac:dyDescent="0.25">
      <c r="B258" s="19"/>
      <c r="C258" s="19"/>
      <c r="D258" s="19"/>
      <c r="E258" s="19"/>
      <c r="F258" s="19"/>
      <c r="G258" s="19"/>
      <c r="H258" s="20"/>
      <c r="K258" s="19"/>
      <c r="L258" s="19"/>
    </row>
    <row r="259" spans="2:12" x14ac:dyDescent="0.25">
      <c r="B259" s="19"/>
      <c r="C259" s="19"/>
      <c r="D259" s="19"/>
      <c r="E259" s="19"/>
      <c r="F259" s="19"/>
      <c r="G259" s="19"/>
      <c r="H259" s="20"/>
      <c r="K259" s="19"/>
      <c r="L259" s="19"/>
    </row>
    <row r="260" spans="2:12" x14ac:dyDescent="0.25">
      <c r="B260" s="19"/>
      <c r="C260" s="19"/>
      <c r="D260" s="19"/>
      <c r="E260" s="19"/>
      <c r="F260" s="19"/>
      <c r="G260" s="19"/>
      <c r="H260" s="20"/>
      <c r="K260" s="19"/>
      <c r="L260" s="19"/>
    </row>
    <row r="261" spans="2:12" x14ac:dyDescent="0.25">
      <c r="B261" s="19"/>
      <c r="C261" s="19"/>
      <c r="D261" s="19"/>
      <c r="E261" s="19"/>
      <c r="F261" s="19"/>
      <c r="G261" s="19"/>
      <c r="H261" s="20"/>
      <c r="K261" s="19"/>
      <c r="L261" s="19"/>
    </row>
    <row r="262" spans="2:12" x14ac:dyDescent="0.25">
      <c r="B262" s="19"/>
      <c r="C262" s="19"/>
      <c r="D262" s="19"/>
      <c r="E262" s="19"/>
      <c r="F262" s="19"/>
      <c r="G262" s="19"/>
      <c r="H262" s="20"/>
      <c r="K262" s="19"/>
      <c r="L262" s="19"/>
    </row>
    <row r="263" spans="2:12" x14ac:dyDescent="0.25">
      <c r="B263" s="19"/>
      <c r="C263" s="19"/>
      <c r="D263" s="19"/>
      <c r="E263" s="19"/>
      <c r="F263" s="19"/>
      <c r="G263" s="19"/>
      <c r="H263" s="20"/>
      <c r="K263" s="19"/>
      <c r="L263" s="19"/>
    </row>
    <row r="264" spans="2:12" x14ac:dyDescent="0.25">
      <c r="B264" s="19"/>
      <c r="C264" s="19"/>
      <c r="D264" s="19"/>
      <c r="E264" s="19"/>
      <c r="F264" s="19"/>
      <c r="G264" s="19"/>
      <c r="H264" s="20"/>
      <c r="K264" s="19"/>
      <c r="L264" s="19"/>
    </row>
    <row r="265" spans="2:12" x14ac:dyDescent="0.25">
      <c r="B265" s="19"/>
      <c r="C265" s="19"/>
      <c r="D265" s="19"/>
      <c r="E265" s="19"/>
      <c r="F265" s="19"/>
      <c r="G265" s="19"/>
      <c r="H265" s="20"/>
      <c r="K265" s="19"/>
      <c r="L265" s="19"/>
    </row>
    <row r="266" spans="2:12" x14ac:dyDescent="0.25">
      <c r="B266" s="19"/>
      <c r="C266" s="19"/>
      <c r="D266" s="19"/>
      <c r="E266" s="19"/>
      <c r="F266" s="19"/>
      <c r="G266" s="19"/>
      <c r="H266" s="20"/>
      <c r="K266" s="19"/>
      <c r="L266" s="19"/>
    </row>
    <row r="267" spans="2:12" x14ac:dyDescent="0.25">
      <c r="B267" s="19"/>
      <c r="C267" s="19"/>
      <c r="D267" s="19"/>
      <c r="E267" s="19"/>
      <c r="F267" s="19"/>
      <c r="G267" s="19"/>
      <c r="H267" s="20"/>
      <c r="K267" s="19"/>
      <c r="L267" s="19"/>
    </row>
    <row r="268" spans="2:12" x14ac:dyDescent="0.25">
      <c r="B268" s="19"/>
      <c r="C268" s="19"/>
      <c r="D268" s="19"/>
      <c r="E268" s="19"/>
      <c r="F268" s="19"/>
      <c r="G268" s="19"/>
      <c r="H268" s="20"/>
      <c r="K268" s="19"/>
      <c r="L268" s="19"/>
    </row>
    <row r="269" spans="2:12" x14ac:dyDescent="0.25">
      <c r="B269" s="19"/>
      <c r="C269" s="19"/>
      <c r="D269" s="19"/>
      <c r="E269" s="19"/>
      <c r="F269" s="19"/>
      <c r="G269" s="19"/>
      <c r="H269" s="20"/>
      <c r="K269" s="19"/>
      <c r="L269" s="19"/>
    </row>
    <row r="270" spans="2:12" x14ac:dyDescent="0.25">
      <c r="B270" s="19"/>
      <c r="C270" s="19"/>
      <c r="D270" s="19"/>
      <c r="E270" s="19"/>
      <c r="F270" s="19"/>
      <c r="G270" s="19"/>
      <c r="H270" s="20"/>
      <c r="K270" s="19"/>
      <c r="L270" s="19"/>
    </row>
    <row r="271" spans="2:12" x14ac:dyDescent="0.25">
      <c r="B271" s="19"/>
      <c r="C271" s="19"/>
      <c r="D271" s="19"/>
      <c r="E271" s="19"/>
      <c r="F271" s="19"/>
      <c r="G271" s="19"/>
      <c r="H271" s="20"/>
      <c r="K271" s="19"/>
      <c r="L271" s="19"/>
    </row>
    <row r="272" spans="2:12" x14ac:dyDescent="0.25">
      <c r="B272" s="19"/>
      <c r="C272" s="19"/>
      <c r="D272" s="19"/>
      <c r="E272" s="19"/>
      <c r="F272" s="19"/>
      <c r="G272" s="19"/>
      <c r="H272" s="20"/>
      <c r="K272" s="19"/>
      <c r="L272" s="19"/>
    </row>
    <row r="273" spans="2:12" x14ac:dyDescent="0.25">
      <c r="B273" s="19"/>
      <c r="C273" s="19"/>
      <c r="D273" s="19"/>
      <c r="E273" s="19"/>
      <c r="F273" s="19"/>
      <c r="G273" s="19"/>
      <c r="H273" s="20"/>
      <c r="K273" s="19"/>
      <c r="L273" s="19"/>
    </row>
    <row r="274" spans="2:12" x14ac:dyDescent="0.25">
      <c r="B274" s="19"/>
      <c r="C274" s="19"/>
      <c r="D274" s="19"/>
      <c r="E274" s="19"/>
      <c r="F274" s="19"/>
      <c r="G274" s="19"/>
      <c r="H274" s="20"/>
      <c r="K274" s="19"/>
      <c r="L274" s="19"/>
    </row>
    <row r="275" spans="2:12" x14ac:dyDescent="0.25">
      <c r="B275" s="19"/>
      <c r="C275" s="19"/>
      <c r="D275" s="19"/>
      <c r="E275" s="19"/>
      <c r="F275" s="19"/>
      <c r="G275" s="19"/>
      <c r="H275" s="20"/>
      <c r="K275" s="19"/>
      <c r="L275" s="19"/>
    </row>
    <row r="276" spans="2:12" x14ac:dyDescent="0.25">
      <c r="B276" s="19"/>
      <c r="C276" s="19"/>
      <c r="D276" s="19"/>
      <c r="E276" s="19"/>
      <c r="F276" s="19"/>
      <c r="G276" s="19"/>
      <c r="H276" s="20"/>
      <c r="K276" s="19"/>
      <c r="L276" s="19"/>
    </row>
    <row r="277" spans="2:12" x14ac:dyDescent="0.25">
      <c r="B277" s="19"/>
      <c r="C277" s="19"/>
      <c r="D277" s="19"/>
      <c r="E277" s="19"/>
      <c r="F277" s="19"/>
      <c r="G277" s="19"/>
      <c r="H277" s="20"/>
      <c r="K277" s="19"/>
      <c r="L277" s="19"/>
    </row>
    <row r="278" spans="2:12" x14ac:dyDescent="0.25">
      <c r="B278" s="19"/>
      <c r="C278" s="19"/>
      <c r="D278" s="19"/>
      <c r="E278" s="19"/>
      <c r="F278" s="19"/>
      <c r="G278" s="19"/>
      <c r="H278" s="20"/>
      <c r="K278" s="19"/>
      <c r="L278" s="19"/>
    </row>
    <row r="279" spans="2:12" x14ac:dyDescent="0.25">
      <c r="B279" s="19"/>
      <c r="C279" s="19"/>
      <c r="D279" s="19"/>
      <c r="E279" s="19"/>
      <c r="F279" s="19"/>
      <c r="G279" s="19"/>
      <c r="H279" s="20"/>
      <c r="K279" s="19"/>
      <c r="L279" s="19"/>
    </row>
    <row r="280" spans="2:12" x14ac:dyDescent="0.25">
      <c r="B280" s="19"/>
      <c r="C280" s="19"/>
      <c r="D280" s="19"/>
      <c r="E280" s="19"/>
      <c r="F280" s="19"/>
      <c r="G280" s="19"/>
      <c r="H280" s="20"/>
      <c r="K280" s="19"/>
      <c r="L280" s="19"/>
    </row>
    <row r="281" spans="2:12" x14ac:dyDescent="0.25">
      <c r="B281" s="19"/>
      <c r="C281" s="19"/>
      <c r="D281" s="19"/>
      <c r="E281" s="19"/>
      <c r="F281" s="19"/>
      <c r="G281" s="19"/>
      <c r="H281" s="20"/>
      <c r="K281" s="19"/>
      <c r="L281" s="19"/>
    </row>
    <row r="282" spans="2:12" x14ac:dyDescent="0.25">
      <c r="B282" s="19"/>
      <c r="C282" s="19"/>
      <c r="D282" s="19"/>
      <c r="E282" s="19"/>
      <c r="F282" s="19"/>
      <c r="G282" s="19"/>
      <c r="H282" s="20"/>
      <c r="K282" s="19"/>
      <c r="L282" s="19"/>
    </row>
    <row r="283" spans="2:12" x14ac:dyDescent="0.25">
      <c r="B283" s="19"/>
      <c r="C283" s="19"/>
      <c r="D283" s="19"/>
      <c r="E283" s="19"/>
      <c r="F283" s="19"/>
      <c r="G283" s="19"/>
      <c r="H283" s="20"/>
      <c r="K283" s="19"/>
      <c r="L283" s="19"/>
    </row>
    <row r="284" spans="2:12" x14ac:dyDescent="0.25">
      <c r="B284" s="19"/>
      <c r="C284" s="19"/>
      <c r="D284" s="19"/>
      <c r="E284" s="19"/>
      <c r="F284" s="19"/>
      <c r="G284" s="19"/>
      <c r="H284" s="20"/>
      <c r="K284" s="19"/>
      <c r="L284" s="19"/>
    </row>
    <row r="285" spans="2:12" x14ac:dyDescent="0.25">
      <c r="B285" s="19"/>
      <c r="C285" s="19"/>
      <c r="D285" s="19"/>
      <c r="E285" s="19"/>
      <c r="F285" s="19"/>
      <c r="G285" s="19"/>
      <c r="H285" s="20"/>
      <c r="K285" s="19"/>
      <c r="L285" s="19"/>
    </row>
    <row r="286" spans="2:12" x14ac:dyDescent="0.25">
      <c r="B286" s="19"/>
      <c r="C286" s="19"/>
      <c r="D286" s="19"/>
      <c r="E286" s="19"/>
      <c r="F286" s="19"/>
      <c r="G286" s="19"/>
      <c r="H286" s="20"/>
      <c r="K286" s="19"/>
      <c r="L286" s="19"/>
    </row>
    <row r="287" spans="2:12" x14ac:dyDescent="0.25">
      <c r="B287" s="19"/>
      <c r="C287" s="19"/>
      <c r="D287" s="19"/>
      <c r="E287" s="19"/>
      <c r="F287" s="19"/>
      <c r="G287" s="19"/>
      <c r="H287" s="20"/>
      <c r="K287" s="19"/>
      <c r="L287" s="19"/>
    </row>
    <row r="288" spans="2:12" x14ac:dyDescent="0.25">
      <c r="B288" s="19"/>
      <c r="C288" s="19"/>
      <c r="D288" s="19"/>
      <c r="E288" s="19"/>
      <c r="F288" s="19"/>
      <c r="G288" s="19"/>
      <c r="H288" s="20"/>
      <c r="K288" s="19"/>
      <c r="L288" s="19"/>
    </row>
    <row r="289" spans="2:12" x14ac:dyDescent="0.25">
      <c r="B289" s="19"/>
      <c r="C289" s="19"/>
      <c r="D289" s="19"/>
      <c r="E289" s="19"/>
      <c r="F289" s="19"/>
      <c r="G289" s="19"/>
      <c r="H289" s="20"/>
      <c r="K289" s="19"/>
      <c r="L289" s="19"/>
    </row>
    <row r="290" spans="2:12" x14ac:dyDescent="0.25">
      <c r="B290" s="19"/>
      <c r="C290" s="19"/>
      <c r="D290" s="19"/>
      <c r="E290" s="19"/>
      <c r="F290" s="19"/>
      <c r="G290" s="19"/>
      <c r="H290" s="20"/>
      <c r="K290" s="19"/>
      <c r="L290" s="19"/>
    </row>
    <row r="291" spans="2:12" x14ac:dyDescent="0.25">
      <c r="B291" s="19"/>
      <c r="C291" s="19"/>
      <c r="D291" s="19"/>
      <c r="E291" s="19"/>
      <c r="F291" s="19"/>
      <c r="G291" s="19"/>
      <c r="H291" s="20"/>
      <c r="K291" s="19"/>
      <c r="L291" s="19"/>
    </row>
    <row r="292" spans="2:12" x14ac:dyDescent="0.25">
      <c r="B292" s="19"/>
      <c r="C292" s="19"/>
      <c r="D292" s="19"/>
      <c r="E292" s="19"/>
      <c r="F292" s="19"/>
      <c r="G292" s="19"/>
      <c r="H292" s="20"/>
      <c r="K292" s="19"/>
      <c r="L292" s="19"/>
    </row>
    <row r="293" spans="2:12" x14ac:dyDescent="0.25">
      <c r="B293" s="19"/>
      <c r="C293" s="19"/>
      <c r="D293" s="19"/>
      <c r="E293" s="19"/>
      <c r="F293" s="19"/>
      <c r="G293" s="19"/>
      <c r="H293" s="20"/>
      <c r="K293" s="19"/>
      <c r="L293" s="19"/>
    </row>
    <row r="294" spans="2:12" x14ac:dyDescent="0.25">
      <c r="B294" s="19"/>
      <c r="C294" s="19"/>
      <c r="D294" s="19"/>
      <c r="E294" s="19"/>
      <c r="F294" s="19"/>
      <c r="G294" s="19"/>
      <c r="H294" s="20"/>
      <c r="K294" s="19"/>
      <c r="L294" s="19"/>
    </row>
    <row r="295" spans="2:12" x14ac:dyDescent="0.25">
      <c r="B295" s="19"/>
      <c r="C295" s="19"/>
      <c r="D295" s="19"/>
      <c r="E295" s="19"/>
      <c r="F295" s="19"/>
      <c r="G295" s="19"/>
      <c r="H295" s="20"/>
      <c r="K295" s="19"/>
      <c r="L295" s="19"/>
    </row>
    <row r="296" spans="2:12" x14ac:dyDescent="0.25">
      <c r="B296" s="19"/>
      <c r="C296" s="19"/>
      <c r="D296" s="19"/>
      <c r="E296" s="19"/>
      <c r="F296" s="19"/>
      <c r="G296" s="19"/>
      <c r="H296" s="20"/>
      <c r="K296" s="19"/>
      <c r="L296" s="19"/>
    </row>
    <row r="297" spans="2:12" x14ac:dyDescent="0.25">
      <c r="B297" s="19"/>
      <c r="C297" s="19"/>
      <c r="D297" s="19"/>
      <c r="E297" s="19"/>
      <c r="F297" s="19"/>
      <c r="G297" s="19"/>
      <c r="H297" s="20"/>
      <c r="K297" s="19"/>
      <c r="L297" s="19"/>
    </row>
    <row r="298" spans="2:12" x14ac:dyDescent="0.25">
      <c r="B298" s="19"/>
      <c r="C298" s="19"/>
      <c r="D298" s="19"/>
      <c r="E298" s="19"/>
      <c r="F298" s="19"/>
      <c r="G298" s="19"/>
      <c r="H298" s="20"/>
      <c r="K298" s="19"/>
      <c r="L298" s="19"/>
    </row>
    <row r="299" spans="2:12" x14ac:dyDescent="0.25">
      <c r="B299" s="19"/>
      <c r="C299" s="19"/>
      <c r="D299" s="19"/>
      <c r="E299" s="19"/>
      <c r="F299" s="19"/>
      <c r="G299" s="19"/>
      <c r="H299" s="20"/>
      <c r="K299" s="19"/>
      <c r="L299" s="19"/>
    </row>
    <row r="300" spans="2:12" x14ac:dyDescent="0.25">
      <c r="B300" s="19"/>
      <c r="C300" s="19"/>
      <c r="D300" s="19"/>
      <c r="E300" s="19"/>
      <c r="F300" s="19"/>
      <c r="G300" s="19"/>
      <c r="H300" s="20"/>
      <c r="K300" s="19"/>
      <c r="L300" s="19"/>
    </row>
    <row r="301" spans="2:12" x14ac:dyDescent="0.25">
      <c r="B301" s="19"/>
      <c r="C301" s="19"/>
      <c r="D301" s="19"/>
      <c r="E301" s="19"/>
      <c r="F301" s="19"/>
      <c r="G301" s="19"/>
      <c r="H301" s="20"/>
      <c r="K301" s="19"/>
      <c r="L301" s="19"/>
    </row>
    <row r="302" spans="2:12" x14ac:dyDescent="0.25">
      <c r="B302" s="19"/>
      <c r="C302" s="19"/>
      <c r="D302" s="19"/>
      <c r="E302" s="19"/>
      <c r="F302" s="19"/>
      <c r="G302" s="19"/>
      <c r="H302" s="20"/>
      <c r="K302" s="19"/>
      <c r="L302" s="19"/>
    </row>
    <row r="303" spans="2:12" x14ac:dyDescent="0.25">
      <c r="B303" s="19"/>
      <c r="C303" s="19"/>
      <c r="D303" s="19"/>
      <c r="E303" s="19"/>
      <c r="F303" s="19"/>
      <c r="G303" s="19"/>
      <c r="H303" s="20"/>
      <c r="K303" s="19"/>
      <c r="L303" s="19"/>
    </row>
    <row r="304" spans="2:12" x14ac:dyDescent="0.25">
      <c r="B304" s="19"/>
      <c r="C304" s="19"/>
      <c r="D304" s="19"/>
      <c r="E304" s="19"/>
      <c r="F304" s="19"/>
      <c r="G304" s="19"/>
      <c r="H304" s="20"/>
      <c r="K304" s="19"/>
      <c r="L304" s="19"/>
    </row>
    <row r="305" spans="2:12" x14ac:dyDescent="0.25">
      <c r="B305" s="19"/>
      <c r="C305" s="19"/>
      <c r="D305" s="19"/>
      <c r="E305" s="19"/>
      <c r="F305" s="19"/>
      <c r="G305" s="19"/>
      <c r="H305" s="20"/>
      <c r="K305" s="19"/>
      <c r="L305" s="19"/>
    </row>
    <row r="306" spans="2:12" x14ac:dyDescent="0.25">
      <c r="B306" s="19"/>
      <c r="C306" s="19"/>
      <c r="D306" s="19"/>
      <c r="E306" s="19"/>
      <c r="F306" s="19"/>
      <c r="G306" s="19"/>
      <c r="H306" s="20"/>
      <c r="K306" s="19"/>
      <c r="L306" s="19"/>
    </row>
    <row r="307" spans="2:12" x14ac:dyDescent="0.25">
      <c r="B307" s="19"/>
      <c r="C307" s="19"/>
      <c r="D307" s="19"/>
      <c r="E307" s="19"/>
      <c r="F307" s="19"/>
      <c r="G307" s="19"/>
      <c r="H307" s="20"/>
      <c r="K307" s="19"/>
      <c r="L307" s="19"/>
    </row>
    <row r="308" spans="2:12" x14ac:dyDescent="0.25">
      <c r="B308" s="19"/>
      <c r="C308" s="19"/>
      <c r="D308" s="19"/>
      <c r="E308" s="19"/>
      <c r="F308" s="19"/>
      <c r="G308" s="19"/>
      <c r="H308" s="20"/>
      <c r="K308" s="19"/>
      <c r="L308" s="19"/>
    </row>
    <row r="309" spans="2:12" x14ac:dyDescent="0.25">
      <c r="B309" s="19"/>
      <c r="C309" s="19"/>
      <c r="D309" s="19"/>
      <c r="E309" s="19"/>
      <c r="F309" s="19"/>
      <c r="G309" s="19"/>
      <c r="H309" s="20"/>
      <c r="K309" s="19"/>
      <c r="L309" s="19"/>
    </row>
    <row r="310" spans="2:12" x14ac:dyDescent="0.25">
      <c r="B310" s="19"/>
      <c r="C310" s="19"/>
      <c r="D310" s="19"/>
      <c r="E310" s="19"/>
      <c r="F310" s="19"/>
      <c r="G310" s="19"/>
      <c r="H310" s="20"/>
      <c r="K310" s="19"/>
      <c r="L310" s="19"/>
    </row>
    <row r="311" spans="2:12" x14ac:dyDescent="0.25">
      <c r="B311" s="19"/>
      <c r="C311" s="19"/>
      <c r="D311" s="19"/>
      <c r="E311" s="19"/>
      <c r="F311" s="19"/>
      <c r="G311" s="19"/>
      <c r="H311" s="20"/>
      <c r="K311" s="19"/>
      <c r="L311" s="19"/>
    </row>
    <row r="312" spans="2:12" x14ac:dyDescent="0.25">
      <c r="B312" s="19"/>
      <c r="C312" s="19"/>
      <c r="D312" s="19"/>
      <c r="E312" s="19"/>
      <c r="F312" s="19"/>
      <c r="G312" s="19"/>
      <c r="H312" s="20"/>
      <c r="K312" s="19"/>
      <c r="L312" s="19"/>
    </row>
    <row r="313" spans="2:12" x14ac:dyDescent="0.25">
      <c r="B313" s="19"/>
      <c r="C313" s="19"/>
      <c r="D313" s="19"/>
      <c r="E313" s="19"/>
      <c r="F313" s="19"/>
      <c r="G313" s="19"/>
      <c r="H313" s="20"/>
      <c r="K313" s="19"/>
      <c r="L313" s="19"/>
    </row>
    <row r="314" spans="2:12" x14ac:dyDescent="0.25">
      <c r="B314" s="19"/>
      <c r="C314" s="19"/>
      <c r="D314" s="19"/>
      <c r="E314" s="19"/>
      <c r="F314" s="19"/>
      <c r="G314" s="19"/>
      <c r="H314" s="20"/>
      <c r="K314" s="19"/>
      <c r="L314" s="19"/>
    </row>
    <row r="315" spans="2:12" x14ac:dyDescent="0.25">
      <c r="B315" s="19"/>
      <c r="C315" s="19"/>
      <c r="D315" s="19"/>
      <c r="E315" s="19"/>
      <c r="F315" s="19"/>
      <c r="G315" s="19"/>
      <c r="H315" s="20"/>
      <c r="K315" s="19"/>
      <c r="L315" s="19"/>
    </row>
    <row r="316" spans="2:12" x14ac:dyDescent="0.25">
      <c r="B316" s="19"/>
      <c r="C316" s="19"/>
      <c r="D316" s="19"/>
      <c r="E316" s="19"/>
      <c r="F316" s="19"/>
      <c r="G316" s="19"/>
      <c r="H316" s="20"/>
      <c r="K316" s="19"/>
      <c r="L316" s="19"/>
    </row>
    <row r="317" spans="2:12" x14ac:dyDescent="0.25">
      <c r="B317" s="19"/>
      <c r="C317" s="19"/>
      <c r="D317" s="19"/>
      <c r="E317" s="19"/>
      <c r="F317" s="19"/>
      <c r="G317" s="19"/>
      <c r="H317" s="20"/>
      <c r="K317" s="19"/>
      <c r="L317" s="19"/>
    </row>
  </sheetData>
  <pageMargins left="0.7" right="0.7" top="0.75" bottom="0.75" header="0.3" footer="0.3"/>
  <pageSetup paperSize="17"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9997-5B24-4EB9-A426-D339DA883332}">
  <sheetPr>
    <pageSetUpPr fitToPage="1"/>
  </sheetPr>
  <dimension ref="A2:O197"/>
  <sheetViews>
    <sheetView windowProtection="1" topLeftCell="A45" workbookViewId="0">
      <selection activeCell="K13" sqref="K13"/>
    </sheetView>
  </sheetViews>
  <sheetFormatPr defaultRowHeight="15" x14ac:dyDescent="0.25"/>
  <cols>
    <col min="1" max="1" width="20.7109375" customWidth="1"/>
    <col min="3" max="3" width="16.7109375" customWidth="1"/>
    <col min="4" max="6" width="24.7109375" style="56" customWidth="1"/>
    <col min="7" max="7" width="16.7109375" customWidth="1"/>
    <col min="9" max="9" width="9.140625" style="20"/>
    <col min="11" max="11" width="20.7109375" style="47" customWidth="1"/>
    <col min="12" max="14" width="20.7109375" style="20" customWidth="1"/>
    <col min="15" max="15" width="16.7109375" style="20" customWidth="1"/>
  </cols>
  <sheetData>
    <row r="2" spans="1:15" s="251" customFormat="1" ht="24.95" customHeight="1" x14ac:dyDescent="0.25">
      <c r="A2" s="252"/>
      <c r="C2" s="252" t="s">
        <v>875</v>
      </c>
      <c r="D2" s="174"/>
      <c r="E2" s="174"/>
      <c r="F2" s="174"/>
      <c r="G2" s="252"/>
      <c r="I2" s="174"/>
      <c r="K2" s="252"/>
      <c r="L2" s="174"/>
      <c r="M2" s="174"/>
      <c r="N2" s="174"/>
      <c r="O2" s="174"/>
    </row>
    <row r="3" spans="1:15" x14ac:dyDescent="0.25">
      <c r="A3" s="56"/>
      <c r="B3" s="172"/>
      <c r="C3" s="173"/>
      <c r="D3" s="173"/>
      <c r="E3" s="173"/>
      <c r="F3" s="173"/>
      <c r="G3" s="56"/>
    </row>
    <row r="4" spans="1:15" x14ac:dyDescent="0.25">
      <c r="A4" s="56"/>
      <c r="B4" s="172"/>
      <c r="C4" s="173"/>
      <c r="D4" s="173"/>
      <c r="E4" s="173"/>
      <c r="F4" s="173"/>
      <c r="G4" s="56"/>
    </row>
    <row r="5" spans="1:15" x14ac:dyDescent="0.25">
      <c r="A5" s="56"/>
      <c r="B5" s="172"/>
      <c r="C5" s="173"/>
      <c r="D5" s="173"/>
      <c r="E5" s="173"/>
      <c r="F5" s="173"/>
      <c r="G5" s="56"/>
    </row>
    <row r="6" spans="1:15" x14ac:dyDescent="0.25">
      <c r="A6" s="56"/>
      <c r="B6" s="56"/>
      <c r="C6" s="56"/>
      <c r="G6" s="56"/>
    </row>
    <row r="7" spans="1:15" x14ac:dyDescent="0.25">
      <c r="A7" s="56" t="s">
        <v>723</v>
      </c>
      <c r="B7" s="24" t="s">
        <v>42</v>
      </c>
      <c r="C7" s="24" t="s">
        <v>724</v>
      </c>
      <c r="D7" s="24" t="s">
        <v>680</v>
      </c>
      <c r="E7" s="24" t="s">
        <v>681</v>
      </c>
      <c r="F7" s="24" t="s">
        <v>725</v>
      </c>
      <c r="G7" s="24" t="s">
        <v>93</v>
      </c>
      <c r="K7" s="53" t="s">
        <v>878</v>
      </c>
      <c r="L7" s="24"/>
      <c r="M7" s="24"/>
      <c r="N7" s="24"/>
      <c r="O7" s="24" t="s">
        <v>724</v>
      </c>
    </row>
    <row r="8" spans="1:15" x14ac:dyDescent="0.25">
      <c r="A8" s="56"/>
      <c r="B8" s="24" t="s">
        <v>679</v>
      </c>
      <c r="C8" s="24" t="s">
        <v>876</v>
      </c>
      <c r="D8" s="24">
        <v>0</v>
      </c>
      <c r="E8" s="24">
        <v>2001</v>
      </c>
      <c r="F8" s="24">
        <v>2001</v>
      </c>
      <c r="G8" s="91"/>
      <c r="K8" s="47" t="s">
        <v>881</v>
      </c>
      <c r="O8" s="20" t="s">
        <v>879</v>
      </c>
    </row>
    <row r="9" spans="1:15" x14ac:dyDescent="0.25">
      <c r="A9" s="56"/>
      <c r="B9" s="24">
        <v>2</v>
      </c>
      <c r="C9" s="24" t="s">
        <v>876</v>
      </c>
      <c r="D9" s="24">
        <v>2001</v>
      </c>
      <c r="E9" s="24">
        <v>3985</v>
      </c>
      <c r="F9" s="24">
        <v>1984</v>
      </c>
      <c r="G9" s="91"/>
      <c r="K9" s="47" t="s">
        <v>885</v>
      </c>
    </row>
    <row r="10" spans="1:15" x14ac:dyDescent="0.25">
      <c r="A10" s="56"/>
      <c r="B10" s="24">
        <v>3</v>
      </c>
      <c r="C10" s="24" t="s">
        <v>876</v>
      </c>
      <c r="D10" s="24">
        <v>3985</v>
      </c>
      <c r="E10" s="24">
        <v>5983</v>
      </c>
      <c r="F10" s="24">
        <v>1998</v>
      </c>
      <c r="G10" s="91"/>
    </row>
    <row r="11" spans="1:15" x14ac:dyDescent="0.25">
      <c r="A11" s="56"/>
      <c r="B11" s="24">
        <v>4</v>
      </c>
      <c r="C11" s="24" t="s">
        <v>876</v>
      </c>
      <c r="D11" s="24">
        <v>5983</v>
      </c>
      <c r="E11" s="24">
        <v>7884</v>
      </c>
      <c r="F11" s="24">
        <v>1901</v>
      </c>
      <c r="G11" s="91"/>
    </row>
    <row r="12" spans="1:15" x14ac:dyDescent="0.25">
      <c r="A12" s="56"/>
      <c r="B12" s="24">
        <v>5</v>
      </c>
      <c r="C12" s="24" t="s">
        <v>876</v>
      </c>
      <c r="D12" s="24">
        <v>7884</v>
      </c>
      <c r="E12" s="24">
        <v>9810</v>
      </c>
      <c r="F12" s="24">
        <v>1926</v>
      </c>
      <c r="G12" s="91"/>
    </row>
    <row r="13" spans="1:15" x14ac:dyDescent="0.25">
      <c r="A13" s="91" t="s">
        <v>826</v>
      </c>
      <c r="B13" s="24">
        <v>6</v>
      </c>
      <c r="C13" s="24" t="s">
        <v>876</v>
      </c>
      <c r="D13" s="24">
        <v>9810</v>
      </c>
      <c r="E13" s="24">
        <v>11707</v>
      </c>
      <c r="F13" s="24">
        <v>1897</v>
      </c>
      <c r="G13" s="91"/>
      <c r="I13" s="20">
        <v>1</v>
      </c>
    </row>
    <row r="14" spans="1:15" x14ac:dyDescent="0.25">
      <c r="A14" s="56" t="s">
        <v>589</v>
      </c>
      <c r="B14" s="24">
        <v>7</v>
      </c>
      <c r="C14" s="24" t="s">
        <v>876</v>
      </c>
      <c r="D14" s="24">
        <v>11707</v>
      </c>
      <c r="E14" s="24">
        <v>13487</v>
      </c>
      <c r="F14" s="24">
        <v>1780</v>
      </c>
      <c r="G14" s="91"/>
    </row>
    <row r="15" spans="1:15" x14ac:dyDescent="0.25">
      <c r="A15" s="56"/>
      <c r="B15" s="24">
        <v>8</v>
      </c>
      <c r="C15" s="24" t="s">
        <v>876</v>
      </c>
      <c r="D15" s="24">
        <v>13487</v>
      </c>
      <c r="E15" s="24">
        <v>15476</v>
      </c>
      <c r="F15" s="24">
        <v>1989</v>
      </c>
      <c r="G15" s="91"/>
    </row>
    <row r="16" spans="1:15" x14ac:dyDescent="0.25">
      <c r="A16" s="56"/>
      <c r="B16" s="24">
        <v>9</v>
      </c>
      <c r="C16" s="24" t="s">
        <v>876</v>
      </c>
      <c r="D16" s="24">
        <v>15476</v>
      </c>
      <c r="E16" s="24">
        <v>17507</v>
      </c>
      <c r="F16" s="24">
        <v>2031</v>
      </c>
      <c r="G16" s="91"/>
    </row>
    <row r="17" spans="1:15" x14ac:dyDescent="0.25">
      <c r="A17" s="56"/>
      <c r="B17" s="24">
        <v>10</v>
      </c>
      <c r="C17" s="24" t="s">
        <v>876</v>
      </c>
      <c r="D17" s="24">
        <v>17507</v>
      </c>
      <c r="E17" s="24">
        <v>19056</v>
      </c>
      <c r="F17" s="41">
        <v>1549</v>
      </c>
      <c r="G17" s="91"/>
    </row>
    <row r="18" spans="1:15" x14ac:dyDescent="0.25">
      <c r="A18" s="56"/>
      <c r="B18" s="24">
        <v>11</v>
      </c>
      <c r="C18" s="24" t="s">
        <v>876</v>
      </c>
      <c r="D18" s="24">
        <v>19056</v>
      </c>
      <c r="E18" s="24">
        <v>20934</v>
      </c>
      <c r="F18" s="24">
        <v>1878</v>
      </c>
      <c r="G18" s="91"/>
    </row>
    <row r="19" spans="1:15" x14ac:dyDescent="0.25">
      <c r="A19" s="56"/>
      <c r="B19" s="24">
        <v>12</v>
      </c>
      <c r="C19" s="24" t="s">
        <v>876</v>
      </c>
      <c r="D19" s="24">
        <v>20934</v>
      </c>
      <c r="E19" s="24">
        <v>23101</v>
      </c>
      <c r="F19" s="24">
        <v>2167</v>
      </c>
      <c r="G19" s="91"/>
    </row>
    <row r="20" spans="1:15" x14ac:dyDescent="0.25">
      <c r="A20" s="56"/>
      <c r="B20" s="24">
        <v>13</v>
      </c>
      <c r="C20" s="24" t="s">
        <v>876</v>
      </c>
      <c r="D20" s="24">
        <v>23101</v>
      </c>
      <c r="E20" s="24">
        <v>25161</v>
      </c>
      <c r="F20" s="24">
        <v>2060</v>
      </c>
      <c r="G20" s="91"/>
    </row>
    <row r="21" spans="1:15" x14ac:dyDescent="0.25">
      <c r="A21" s="56"/>
      <c r="B21" s="24">
        <v>14</v>
      </c>
      <c r="C21" s="24" t="s">
        <v>877</v>
      </c>
      <c r="D21" s="91"/>
      <c r="E21" s="91"/>
      <c r="F21" s="91"/>
      <c r="G21" s="91"/>
    </row>
    <row r="22" spans="1:15" x14ac:dyDescent="0.25">
      <c r="A22" s="56"/>
      <c r="C22" s="24"/>
      <c r="G22" s="56"/>
    </row>
    <row r="23" spans="1:15" x14ac:dyDescent="0.25">
      <c r="A23" s="56" t="s">
        <v>723</v>
      </c>
      <c r="B23" s="24" t="s">
        <v>42</v>
      </c>
      <c r="C23" s="24" t="s">
        <v>724</v>
      </c>
      <c r="D23" s="24" t="s">
        <v>680</v>
      </c>
      <c r="E23" s="24" t="s">
        <v>681</v>
      </c>
      <c r="F23" s="24" t="s">
        <v>725</v>
      </c>
      <c r="G23" s="24" t="s">
        <v>93</v>
      </c>
      <c r="K23" s="53" t="s">
        <v>878</v>
      </c>
      <c r="L23" s="24"/>
      <c r="M23" s="24"/>
      <c r="N23" s="24"/>
      <c r="O23" s="24" t="s">
        <v>724</v>
      </c>
    </row>
    <row r="24" spans="1:15" x14ac:dyDescent="0.25">
      <c r="A24" s="56"/>
      <c r="B24" s="24" t="s">
        <v>679</v>
      </c>
      <c r="C24" s="24" t="s">
        <v>880</v>
      </c>
      <c r="D24" s="24">
        <v>0</v>
      </c>
      <c r="E24" s="24">
        <v>2040</v>
      </c>
      <c r="F24" s="24">
        <v>2040</v>
      </c>
      <c r="G24" s="91"/>
      <c r="K24" s="47" t="s">
        <v>882</v>
      </c>
    </row>
    <row r="25" spans="1:15" x14ac:dyDescent="0.25">
      <c r="A25" s="56"/>
      <c r="B25" s="24">
        <v>2</v>
      </c>
      <c r="C25" s="24" t="s">
        <v>880</v>
      </c>
      <c r="D25" s="24">
        <v>2040</v>
      </c>
      <c r="E25" s="24">
        <v>4041</v>
      </c>
      <c r="F25" s="24">
        <v>2001</v>
      </c>
      <c r="G25" s="91"/>
    </row>
    <row r="26" spans="1:15" x14ac:dyDescent="0.25">
      <c r="A26" s="56"/>
      <c r="B26" s="24">
        <v>3</v>
      </c>
      <c r="C26" s="24" t="s">
        <v>880</v>
      </c>
      <c r="D26" s="24">
        <v>4041</v>
      </c>
      <c r="E26" s="24">
        <v>5988</v>
      </c>
      <c r="F26" s="24">
        <v>1947</v>
      </c>
      <c r="G26" s="91"/>
    </row>
    <row r="27" spans="1:15" x14ac:dyDescent="0.25">
      <c r="A27" s="56"/>
      <c r="B27" s="24">
        <v>4</v>
      </c>
      <c r="C27" s="24" t="s">
        <v>880</v>
      </c>
      <c r="D27" s="24">
        <v>5988</v>
      </c>
      <c r="E27" s="24">
        <v>7949</v>
      </c>
      <c r="F27" s="24">
        <v>1961</v>
      </c>
      <c r="G27" s="91"/>
    </row>
    <row r="28" spans="1:15" x14ac:dyDescent="0.25">
      <c r="A28" s="56"/>
      <c r="B28" s="24">
        <v>5</v>
      </c>
      <c r="C28" s="24" t="s">
        <v>880</v>
      </c>
      <c r="D28" s="24">
        <v>7949</v>
      </c>
      <c r="E28" s="24">
        <v>9822</v>
      </c>
      <c r="F28" s="24">
        <v>1873</v>
      </c>
      <c r="G28" s="91"/>
    </row>
    <row r="29" spans="1:15" x14ac:dyDescent="0.25">
      <c r="A29" s="91" t="s">
        <v>810</v>
      </c>
      <c r="B29" s="24">
        <v>6</v>
      </c>
      <c r="C29" s="24" t="s">
        <v>880</v>
      </c>
      <c r="D29" s="24">
        <v>9822</v>
      </c>
      <c r="E29" s="24">
        <v>11728</v>
      </c>
      <c r="F29" s="24">
        <v>1906</v>
      </c>
      <c r="G29" s="91"/>
      <c r="I29" s="20">
        <v>2</v>
      </c>
    </row>
    <row r="30" spans="1:15" x14ac:dyDescent="0.25">
      <c r="A30" s="56" t="s">
        <v>252</v>
      </c>
      <c r="B30" s="24">
        <v>7</v>
      </c>
      <c r="C30" s="24" t="s">
        <v>880</v>
      </c>
      <c r="D30" s="24">
        <v>11728</v>
      </c>
      <c r="E30" s="24">
        <v>13610</v>
      </c>
      <c r="F30" s="24">
        <v>1882</v>
      </c>
      <c r="G30" s="91"/>
    </row>
    <row r="31" spans="1:15" x14ac:dyDescent="0.25">
      <c r="A31" s="56"/>
      <c r="B31" s="24">
        <v>8</v>
      </c>
      <c r="C31" s="24" t="s">
        <v>880</v>
      </c>
      <c r="D31" s="24">
        <v>13610</v>
      </c>
      <c r="E31" s="24">
        <v>15677</v>
      </c>
      <c r="F31" s="24">
        <v>2067</v>
      </c>
      <c r="G31" s="91"/>
    </row>
    <row r="32" spans="1:15" x14ac:dyDescent="0.25">
      <c r="A32" s="56"/>
      <c r="B32" s="24">
        <v>9</v>
      </c>
      <c r="C32" s="24" t="s">
        <v>880</v>
      </c>
      <c r="D32" s="24">
        <v>15677</v>
      </c>
      <c r="E32" s="24">
        <v>17571</v>
      </c>
      <c r="F32" s="24">
        <v>1894</v>
      </c>
      <c r="G32" s="91"/>
    </row>
    <row r="33" spans="1:15" x14ac:dyDescent="0.25">
      <c r="A33" s="56"/>
      <c r="B33" s="24">
        <v>10</v>
      </c>
      <c r="C33" s="24" t="s">
        <v>880</v>
      </c>
      <c r="D33" s="24">
        <v>17571</v>
      </c>
      <c r="E33" s="24">
        <v>19474</v>
      </c>
      <c r="F33" s="24">
        <v>1903</v>
      </c>
      <c r="G33" s="91"/>
    </row>
    <row r="34" spans="1:15" x14ac:dyDescent="0.25">
      <c r="A34" s="56"/>
      <c r="B34" s="24">
        <v>11</v>
      </c>
      <c r="C34" s="24" t="s">
        <v>880</v>
      </c>
      <c r="D34" s="24">
        <v>19474</v>
      </c>
      <c r="E34" s="24">
        <v>21253</v>
      </c>
      <c r="F34" s="24">
        <v>1779</v>
      </c>
      <c r="G34" s="91"/>
    </row>
    <row r="35" spans="1:15" x14ac:dyDescent="0.25">
      <c r="A35" s="56"/>
      <c r="B35" s="24">
        <v>12</v>
      </c>
      <c r="C35" s="24" t="s">
        <v>880</v>
      </c>
      <c r="D35" s="24">
        <v>21253</v>
      </c>
      <c r="E35" s="24">
        <v>23016</v>
      </c>
      <c r="F35" s="24">
        <v>1763</v>
      </c>
      <c r="G35" s="91"/>
    </row>
    <row r="36" spans="1:15" x14ac:dyDescent="0.25">
      <c r="A36" s="56"/>
      <c r="B36" s="24">
        <v>13</v>
      </c>
      <c r="C36" s="24" t="s">
        <v>880</v>
      </c>
      <c r="D36" s="24">
        <v>23016</v>
      </c>
      <c r="E36" s="24">
        <v>25092</v>
      </c>
      <c r="F36" s="24">
        <v>2076</v>
      </c>
      <c r="G36" s="91"/>
    </row>
    <row r="37" spans="1:15" x14ac:dyDescent="0.25">
      <c r="A37" s="56"/>
      <c r="B37" s="24">
        <v>14</v>
      </c>
      <c r="C37" s="24" t="s">
        <v>877</v>
      </c>
      <c r="D37" s="91"/>
      <c r="E37" s="91"/>
      <c r="F37" s="91"/>
      <c r="G37" s="91"/>
    </row>
    <row r="38" spans="1:15" x14ac:dyDescent="0.25">
      <c r="A38" s="56"/>
      <c r="G38" s="56"/>
    </row>
    <row r="39" spans="1:15" x14ac:dyDescent="0.25">
      <c r="A39" s="56" t="s">
        <v>723</v>
      </c>
      <c r="B39" s="24" t="s">
        <v>42</v>
      </c>
      <c r="C39" s="24" t="s">
        <v>724</v>
      </c>
      <c r="D39" s="24" t="s">
        <v>680</v>
      </c>
      <c r="E39" s="24" t="s">
        <v>681</v>
      </c>
      <c r="F39" s="24" t="s">
        <v>725</v>
      </c>
      <c r="G39" s="24" t="s">
        <v>93</v>
      </c>
      <c r="K39" s="53" t="s">
        <v>878</v>
      </c>
      <c r="L39" s="24"/>
      <c r="M39" s="24"/>
      <c r="N39" s="24"/>
      <c r="O39" s="24" t="s">
        <v>724</v>
      </c>
    </row>
    <row r="40" spans="1:15" x14ac:dyDescent="0.25">
      <c r="A40" s="56"/>
      <c r="B40" s="24" t="s">
        <v>679</v>
      </c>
      <c r="C40" s="24" t="s">
        <v>883</v>
      </c>
      <c r="D40" s="24">
        <v>25172</v>
      </c>
      <c r="E40" s="24">
        <v>23223</v>
      </c>
      <c r="F40" s="24">
        <v>1949</v>
      </c>
      <c r="G40" s="91"/>
      <c r="K40" s="47" t="s">
        <v>881</v>
      </c>
      <c r="O40" s="20" t="s">
        <v>884</v>
      </c>
    </row>
    <row r="41" spans="1:15" x14ac:dyDescent="0.25">
      <c r="A41" s="56"/>
      <c r="B41" s="24">
        <v>2</v>
      </c>
      <c r="C41" s="24" t="s">
        <v>883</v>
      </c>
      <c r="D41" s="24">
        <v>23223</v>
      </c>
      <c r="E41" s="24">
        <v>21264</v>
      </c>
      <c r="F41" s="24">
        <v>1959</v>
      </c>
      <c r="G41" s="91"/>
      <c r="K41" s="47" t="s">
        <v>905</v>
      </c>
    </row>
    <row r="42" spans="1:15" x14ac:dyDescent="0.25">
      <c r="A42" s="56"/>
      <c r="B42" s="24">
        <v>3</v>
      </c>
      <c r="C42" s="24" t="s">
        <v>883</v>
      </c>
      <c r="D42" s="24">
        <v>21264</v>
      </c>
      <c r="E42" s="24">
        <v>19156</v>
      </c>
      <c r="F42" s="24">
        <v>2108</v>
      </c>
      <c r="G42" s="91"/>
    </row>
    <row r="43" spans="1:15" x14ac:dyDescent="0.25">
      <c r="A43" s="56"/>
      <c r="B43" s="24">
        <v>4</v>
      </c>
      <c r="C43" s="24" t="s">
        <v>883</v>
      </c>
      <c r="D43" s="24">
        <v>19156</v>
      </c>
      <c r="E43" s="24">
        <v>16994</v>
      </c>
      <c r="F43" s="24">
        <v>2162</v>
      </c>
      <c r="G43" s="91"/>
    </row>
    <row r="44" spans="1:15" x14ac:dyDescent="0.25">
      <c r="A44" s="56"/>
      <c r="B44" s="24">
        <v>5</v>
      </c>
      <c r="C44" s="24" t="s">
        <v>883</v>
      </c>
      <c r="D44" s="24">
        <v>16994</v>
      </c>
      <c r="E44" s="24">
        <v>15708</v>
      </c>
      <c r="F44" s="27">
        <v>1286</v>
      </c>
      <c r="G44" s="91"/>
    </row>
    <row r="45" spans="1:15" x14ac:dyDescent="0.25">
      <c r="A45" s="91" t="s">
        <v>865</v>
      </c>
      <c r="B45" s="24">
        <v>6</v>
      </c>
      <c r="C45" s="24" t="s">
        <v>883</v>
      </c>
      <c r="D45" s="24">
        <v>15708</v>
      </c>
      <c r="E45" s="24">
        <v>14223</v>
      </c>
      <c r="F45" s="41">
        <v>1485</v>
      </c>
      <c r="G45" s="91"/>
      <c r="I45" s="20">
        <v>3</v>
      </c>
    </row>
    <row r="46" spans="1:15" x14ac:dyDescent="0.25">
      <c r="A46" s="56" t="s">
        <v>249</v>
      </c>
      <c r="B46" s="24">
        <v>7</v>
      </c>
      <c r="C46" s="24" t="s">
        <v>883</v>
      </c>
      <c r="D46" s="24">
        <v>14223</v>
      </c>
      <c r="E46" s="24">
        <v>12205</v>
      </c>
      <c r="F46" s="24">
        <v>2018</v>
      </c>
      <c r="G46" s="91"/>
    </row>
    <row r="47" spans="1:15" x14ac:dyDescent="0.25">
      <c r="A47" s="56"/>
      <c r="B47" s="24">
        <v>8</v>
      </c>
      <c r="C47" s="24" t="s">
        <v>883</v>
      </c>
      <c r="D47" s="24">
        <v>12205</v>
      </c>
      <c r="E47" s="24">
        <v>10394</v>
      </c>
      <c r="F47" s="24">
        <v>1811</v>
      </c>
      <c r="G47" s="91"/>
    </row>
    <row r="48" spans="1:15" x14ac:dyDescent="0.25">
      <c r="A48" s="56"/>
      <c r="B48" s="24">
        <v>9</v>
      </c>
      <c r="C48" s="24" t="s">
        <v>883</v>
      </c>
      <c r="D48" s="24">
        <v>10394</v>
      </c>
      <c r="E48" s="24">
        <v>8651</v>
      </c>
      <c r="F48" s="24">
        <v>1743</v>
      </c>
      <c r="G48" s="91"/>
    </row>
    <row r="49" spans="1:15" x14ac:dyDescent="0.25">
      <c r="A49" s="56"/>
      <c r="B49" s="24">
        <v>10</v>
      </c>
      <c r="C49" s="24" t="s">
        <v>883</v>
      </c>
      <c r="D49" s="24">
        <v>8651</v>
      </c>
      <c r="E49" s="24">
        <v>6862</v>
      </c>
      <c r="F49" s="24">
        <v>1789</v>
      </c>
      <c r="G49" s="91"/>
    </row>
    <row r="50" spans="1:15" x14ac:dyDescent="0.25">
      <c r="A50" s="56"/>
      <c r="B50" s="24">
        <v>11</v>
      </c>
      <c r="C50" s="24" t="s">
        <v>883</v>
      </c>
      <c r="D50" s="24">
        <v>6862</v>
      </c>
      <c r="E50" s="24">
        <v>5432</v>
      </c>
      <c r="F50" s="41">
        <v>1430</v>
      </c>
      <c r="G50" s="91"/>
    </row>
    <row r="51" spans="1:15" x14ac:dyDescent="0.25">
      <c r="A51" s="56"/>
      <c r="B51" s="24">
        <v>12</v>
      </c>
      <c r="C51" s="24" t="s">
        <v>883</v>
      </c>
      <c r="D51" s="24">
        <v>5432</v>
      </c>
      <c r="E51" s="24">
        <v>3921</v>
      </c>
      <c r="F51" s="41">
        <v>1511</v>
      </c>
      <c r="G51" s="91"/>
    </row>
    <row r="52" spans="1:15" x14ac:dyDescent="0.25">
      <c r="A52" s="56"/>
      <c r="B52" s="24">
        <v>13</v>
      </c>
      <c r="C52" s="24" t="s">
        <v>883</v>
      </c>
      <c r="D52" s="24">
        <v>3921</v>
      </c>
      <c r="E52" s="24">
        <v>1973</v>
      </c>
      <c r="F52" s="24">
        <v>1948</v>
      </c>
      <c r="G52" s="91"/>
    </row>
    <row r="53" spans="1:15" x14ac:dyDescent="0.25">
      <c r="A53" s="56"/>
      <c r="B53" s="24">
        <v>14</v>
      </c>
      <c r="C53" s="24" t="s">
        <v>883</v>
      </c>
      <c r="D53" s="91">
        <v>1973</v>
      </c>
      <c r="E53" s="91">
        <v>0</v>
      </c>
      <c r="F53" s="91">
        <v>1973</v>
      </c>
      <c r="G53" s="91"/>
    </row>
    <row r="54" spans="1:15" x14ac:dyDescent="0.25">
      <c r="A54" s="56"/>
      <c r="G54" s="56"/>
    </row>
    <row r="55" spans="1:15" x14ac:dyDescent="0.25">
      <c r="A55" s="56" t="s">
        <v>723</v>
      </c>
      <c r="B55" s="24" t="s">
        <v>42</v>
      </c>
      <c r="C55" s="24" t="s">
        <v>724</v>
      </c>
      <c r="D55" s="24" t="s">
        <v>680</v>
      </c>
      <c r="E55" s="24" t="s">
        <v>681</v>
      </c>
      <c r="F55" s="24" t="s">
        <v>725</v>
      </c>
      <c r="G55" s="24" t="s">
        <v>93</v>
      </c>
      <c r="K55" s="53" t="s">
        <v>878</v>
      </c>
      <c r="L55" s="24"/>
      <c r="M55" s="24"/>
      <c r="N55" s="24"/>
      <c r="O55" s="24" t="s">
        <v>724</v>
      </c>
    </row>
    <row r="56" spans="1:15" x14ac:dyDescent="0.25">
      <c r="A56" s="56"/>
      <c r="B56" s="24" t="s">
        <v>679</v>
      </c>
      <c r="C56" s="24" t="s">
        <v>886</v>
      </c>
      <c r="D56" s="24">
        <v>25216</v>
      </c>
      <c r="E56" s="24">
        <v>23649</v>
      </c>
      <c r="F56" s="27">
        <v>1567</v>
      </c>
      <c r="G56" s="91"/>
      <c r="K56" s="47" t="s">
        <v>904</v>
      </c>
      <c r="O56" s="20" t="s">
        <v>887</v>
      </c>
    </row>
    <row r="57" spans="1:15" x14ac:dyDescent="0.25">
      <c r="A57" s="56"/>
      <c r="B57" s="24">
        <v>2</v>
      </c>
      <c r="C57" s="24" t="s">
        <v>886</v>
      </c>
      <c r="D57" s="24">
        <v>23649</v>
      </c>
      <c r="E57" s="24">
        <v>22016</v>
      </c>
      <c r="F57" s="41">
        <v>1633</v>
      </c>
      <c r="G57" s="91"/>
    </row>
    <row r="58" spans="1:15" x14ac:dyDescent="0.25">
      <c r="A58" s="56"/>
      <c r="B58" s="24">
        <v>3</v>
      </c>
      <c r="C58" s="24" t="s">
        <v>886</v>
      </c>
      <c r="D58" s="24">
        <v>22016</v>
      </c>
      <c r="E58" s="24">
        <v>20596</v>
      </c>
      <c r="F58" s="27">
        <v>1420</v>
      </c>
      <c r="G58" s="91"/>
    </row>
    <row r="59" spans="1:15" x14ac:dyDescent="0.25">
      <c r="A59" s="56"/>
      <c r="B59" s="24">
        <v>4</v>
      </c>
      <c r="C59" s="24" t="s">
        <v>886</v>
      </c>
      <c r="D59" s="24">
        <v>20596</v>
      </c>
      <c r="E59" s="24">
        <v>18573</v>
      </c>
      <c r="F59" s="24">
        <v>2023</v>
      </c>
      <c r="G59" s="91"/>
    </row>
    <row r="60" spans="1:15" x14ac:dyDescent="0.25">
      <c r="A60" s="56"/>
      <c r="B60" s="24">
        <v>5</v>
      </c>
      <c r="C60" s="24" t="s">
        <v>886</v>
      </c>
      <c r="D60" s="24">
        <v>18573</v>
      </c>
      <c r="E60" s="24">
        <v>18163</v>
      </c>
      <c r="F60" s="27">
        <v>406</v>
      </c>
      <c r="G60" s="91"/>
    </row>
    <row r="61" spans="1:15" x14ac:dyDescent="0.25">
      <c r="A61" s="91" t="s">
        <v>863</v>
      </c>
      <c r="B61" s="24">
        <v>6</v>
      </c>
      <c r="C61" s="24" t="s">
        <v>886</v>
      </c>
      <c r="D61" s="24">
        <v>18163</v>
      </c>
      <c r="E61" s="24">
        <v>15992</v>
      </c>
      <c r="F61" s="24">
        <v>2171</v>
      </c>
      <c r="G61" s="91"/>
      <c r="I61" s="20">
        <v>4</v>
      </c>
    </row>
    <row r="62" spans="1:15" x14ac:dyDescent="0.25">
      <c r="A62" s="56" t="s">
        <v>257</v>
      </c>
      <c r="B62" s="24">
        <v>7</v>
      </c>
      <c r="C62" s="24" t="s">
        <v>886</v>
      </c>
      <c r="D62" s="24">
        <v>15992</v>
      </c>
      <c r="E62" s="24">
        <v>14318</v>
      </c>
      <c r="F62" s="41">
        <v>1674</v>
      </c>
      <c r="G62" s="91"/>
    </row>
    <row r="63" spans="1:15" x14ac:dyDescent="0.25">
      <c r="A63" s="56"/>
      <c r="B63" s="24">
        <v>8</v>
      </c>
      <c r="C63" s="24" t="s">
        <v>886</v>
      </c>
      <c r="D63" s="24">
        <v>14318</v>
      </c>
      <c r="E63" s="24">
        <v>12025</v>
      </c>
      <c r="F63" s="24">
        <v>2293</v>
      </c>
      <c r="G63" s="91"/>
    </row>
    <row r="64" spans="1:15" x14ac:dyDescent="0.25">
      <c r="A64" s="56"/>
      <c r="B64" s="24">
        <v>9</v>
      </c>
      <c r="C64" s="24" t="s">
        <v>886</v>
      </c>
      <c r="D64" s="24">
        <v>12025</v>
      </c>
      <c r="E64" s="24">
        <v>9988</v>
      </c>
      <c r="F64" s="24">
        <v>2037</v>
      </c>
      <c r="G64" s="91"/>
    </row>
    <row r="65" spans="1:15" x14ac:dyDescent="0.25">
      <c r="A65" s="56"/>
      <c r="B65" s="24">
        <v>10</v>
      </c>
      <c r="C65" s="24" t="s">
        <v>886</v>
      </c>
      <c r="D65" s="24">
        <v>9988</v>
      </c>
      <c r="E65" s="24">
        <v>7852</v>
      </c>
      <c r="F65" s="24">
        <v>2136</v>
      </c>
      <c r="G65" s="91"/>
    </row>
    <row r="66" spans="1:15" x14ac:dyDescent="0.25">
      <c r="A66" s="56"/>
      <c r="B66" s="24">
        <v>11</v>
      </c>
      <c r="C66" s="24" t="s">
        <v>886</v>
      </c>
      <c r="D66" s="24">
        <v>7852</v>
      </c>
      <c r="E66" s="24">
        <v>5866</v>
      </c>
      <c r="F66" s="24">
        <v>1986</v>
      </c>
      <c r="G66" s="91"/>
    </row>
    <row r="67" spans="1:15" x14ac:dyDescent="0.25">
      <c r="A67" s="56"/>
      <c r="B67" s="24">
        <v>12</v>
      </c>
      <c r="C67" s="24" t="s">
        <v>886</v>
      </c>
      <c r="D67" s="24">
        <v>5866</v>
      </c>
      <c r="E67" s="24">
        <v>3886</v>
      </c>
      <c r="F67" s="24">
        <v>1980</v>
      </c>
      <c r="G67" s="91"/>
    </row>
    <row r="68" spans="1:15" x14ac:dyDescent="0.25">
      <c r="A68" s="56"/>
      <c r="B68" s="24">
        <v>13</v>
      </c>
      <c r="C68" s="24" t="s">
        <v>886</v>
      </c>
      <c r="D68" s="24">
        <v>3886</v>
      </c>
      <c r="E68" s="24">
        <v>1735</v>
      </c>
      <c r="F68" s="24">
        <v>2151</v>
      </c>
      <c r="G68" s="91"/>
    </row>
    <row r="69" spans="1:15" x14ac:dyDescent="0.25">
      <c r="A69" s="56"/>
      <c r="B69" s="24">
        <v>14</v>
      </c>
      <c r="C69" s="24" t="s">
        <v>886</v>
      </c>
      <c r="D69" s="91">
        <v>1735</v>
      </c>
      <c r="E69" s="91">
        <v>0</v>
      </c>
      <c r="F69" s="91">
        <v>1735</v>
      </c>
      <c r="G69" s="91"/>
    </row>
    <row r="70" spans="1:15" x14ac:dyDescent="0.25">
      <c r="A70" s="56"/>
      <c r="G70" s="56"/>
    </row>
    <row r="71" spans="1:15" x14ac:dyDescent="0.25">
      <c r="A71" s="56" t="s">
        <v>723</v>
      </c>
      <c r="B71" s="24" t="s">
        <v>42</v>
      </c>
      <c r="C71" s="24" t="s">
        <v>724</v>
      </c>
      <c r="D71" s="24" t="s">
        <v>680</v>
      </c>
      <c r="E71" s="24" t="s">
        <v>681</v>
      </c>
      <c r="F71" s="24" t="s">
        <v>725</v>
      </c>
      <c r="G71" s="24" t="s">
        <v>93</v>
      </c>
      <c r="K71" s="53" t="s">
        <v>878</v>
      </c>
      <c r="L71" s="24"/>
      <c r="M71" s="24"/>
      <c r="N71" s="24"/>
      <c r="O71" s="24" t="s">
        <v>724</v>
      </c>
    </row>
    <row r="72" spans="1:15" x14ac:dyDescent="0.25">
      <c r="A72" s="56"/>
      <c r="B72" s="24" t="s">
        <v>679</v>
      </c>
      <c r="C72" s="24" t="s">
        <v>888</v>
      </c>
      <c r="D72" s="24">
        <v>25441</v>
      </c>
      <c r="E72" s="24">
        <v>22948</v>
      </c>
      <c r="F72" s="24">
        <v>2493</v>
      </c>
      <c r="G72" s="91"/>
      <c r="K72" s="47" t="s">
        <v>891</v>
      </c>
      <c r="O72" s="20" t="s">
        <v>893</v>
      </c>
    </row>
    <row r="73" spans="1:15" x14ac:dyDescent="0.25">
      <c r="A73" s="56"/>
      <c r="B73" s="24">
        <v>2</v>
      </c>
      <c r="C73" s="24" t="s">
        <v>888</v>
      </c>
      <c r="D73" s="24">
        <v>22948</v>
      </c>
      <c r="E73" s="24">
        <v>22931</v>
      </c>
      <c r="F73" s="27" t="s">
        <v>889</v>
      </c>
      <c r="G73" s="91"/>
      <c r="K73" s="47" t="s">
        <v>892</v>
      </c>
      <c r="O73" s="20" t="s">
        <v>894</v>
      </c>
    </row>
    <row r="74" spans="1:15" x14ac:dyDescent="0.25">
      <c r="A74" s="56"/>
      <c r="B74" s="24">
        <v>3</v>
      </c>
      <c r="C74" s="24" t="s">
        <v>888</v>
      </c>
      <c r="D74" s="24">
        <v>22931</v>
      </c>
      <c r="E74" s="24">
        <v>20468</v>
      </c>
      <c r="F74" s="24">
        <v>2463</v>
      </c>
      <c r="G74" s="91"/>
    </row>
    <row r="75" spans="1:15" x14ac:dyDescent="0.25">
      <c r="A75" s="56"/>
      <c r="B75" s="24">
        <v>4</v>
      </c>
      <c r="C75" s="24" t="s">
        <v>888</v>
      </c>
      <c r="D75" s="24">
        <v>20468</v>
      </c>
      <c r="E75" s="24">
        <v>20468</v>
      </c>
      <c r="F75" s="27" t="s">
        <v>890</v>
      </c>
      <c r="G75" s="91"/>
    </row>
    <row r="76" spans="1:15" x14ac:dyDescent="0.25">
      <c r="A76" s="56"/>
      <c r="B76" s="24">
        <v>5</v>
      </c>
      <c r="C76" s="24" t="s">
        <v>888</v>
      </c>
      <c r="D76" s="24">
        <v>20468</v>
      </c>
      <c r="E76" s="24">
        <v>17855</v>
      </c>
      <c r="F76" s="24">
        <v>2613</v>
      </c>
      <c r="G76" s="91"/>
    </row>
    <row r="77" spans="1:15" x14ac:dyDescent="0.25">
      <c r="A77" s="91" t="s">
        <v>796</v>
      </c>
      <c r="B77" s="24">
        <v>6</v>
      </c>
      <c r="C77" s="24" t="s">
        <v>888</v>
      </c>
      <c r="D77" s="24">
        <v>17855</v>
      </c>
      <c r="E77" s="24">
        <v>17855</v>
      </c>
      <c r="F77" s="27" t="s">
        <v>890</v>
      </c>
      <c r="G77" s="91"/>
      <c r="I77" s="20">
        <v>5</v>
      </c>
    </row>
    <row r="78" spans="1:15" x14ac:dyDescent="0.25">
      <c r="A78" s="56" t="s">
        <v>253</v>
      </c>
      <c r="B78" s="24">
        <v>7</v>
      </c>
      <c r="C78" s="24" t="s">
        <v>888</v>
      </c>
      <c r="D78" s="24">
        <v>17855</v>
      </c>
      <c r="E78" s="24">
        <v>15305</v>
      </c>
      <c r="F78" s="24">
        <v>2550</v>
      </c>
      <c r="G78" s="91"/>
    </row>
    <row r="79" spans="1:15" x14ac:dyDescent="0.25">
      <c r="A79" s="56"/>
      <c r="B79" s="24">
        <v>8</v>
      </c>
      <c r="C79" s="24" t="s">
        <v>888</v>
      </c>
      <c r="D79" s="24">
        <v>15305</v>
      </c>
      <c r="E79" s="24">
        <v>12733</v>
      </c>
      <c r="F79" s="24">
        <v>2572</v>
      </c>
      <c r="G79" s="91"/>
    </row>
    <row r="80" spans="1:15" x14ac:dyDescent="0.25">
      <c r="A80" s="56"/>
      <c r="B80" s="24">
        <v>9</v>
      </c>
      <c r="C80" s="24" t="s">
        <v>888</v>
      </c>
      <c r="D80" s="24">
        <v>12233</v>
      </c>
      <c r="E80" s="24">
        <v>10355</v>
      </c>
      <c r="F80" s="24">
        <v>1878</v>
      </c>
      <c r="G80" s="91"/>
    </row>
    <row r="81" spans="1:15" x14ac:dyDescent="0.25">
      <c r="A81" s="56"/>
      <c r="B81" s="24">
        <v>10</v>
      </c>
      <c r="C81" s="24" t="s">
        <v>888</v>
      </c>
      <c r="D81" s="24">
        <v>10355</v>
      </c>
      <c r="E81" s="24">
        <v>7830</v>
      </c>
      <c r="F81" s="24">
        <v>2525</v>
      </c>
      <c r="G81" s="91"/>
    </row>
    <row r="82" spans="1:15" x14ac:dyDescent="0.25">
      <c r="A82" s="56"/>
      <c r="B82" s="24">
        <v>11</v>
      </c>
      <c r="C82" s="24" t="s">
        <v>888</v>
      </c>
      <c r="D82" s="24">
        <v>7830</v>
      </c>
      <c r="E82" s="24">
        <v>5350</v>
      </c>
      <c r="F82" s="24">
        <v>2480</v>
      </c>
      <c r="G82" s="91"/>
    </row>
    <row r="83" spans="1:15" x14ac:dyDescent="0.25">
      <c r="A83" s="56"/>
      <c r="B83" s="24">
        <v>12</v>
      </c>
      <c r="C83" s="24" t="s">
        <v>888</v>
      </c>
      <c r="D83" s="24">
        <v>5350</v>
      </c>
      <c r="E83" s="24">
        <v>2664</v>
      </c>
      <c r="F83" s="24">
        <v>2686</v>
      </c>
      <c r="G83" s="91"/>
    </row>
    <row r="84" spans="1:15" x14ac:dyDescent="0.25">
      <c r="A84" s="56"/>
      <c r="B84" s="24">
        <v>13</v>
      </c>
      <c r="C84" s="24" t="s">
        <v>888</v>
      </c>
      <c r="D84" s="24">
        <v>2664</v>
      </c>
      <c r="E84" s="24">
        <v>0</v>
      </c>
      <c r="F84" s="24">
        <v>2664</v>
      </c>
      <c r="G84" s="91"/>
    </row>
    <row r="85" spans="1:15" x14ac:dyDescent="0.25">
      <c r="A85" s="56"/>
      <c r="B85" s="24">
        <v>14</v>
      </c>
      <c r="C85" s="24" t="s">
        <v>877</v>
      </c>
      <c r="D85" s="91"/>
      <c r="E85" s="91"/>
      <c r="F85" s="91"/>
      <c r="G85" s="91"/>
    </row>
    <row r="86" spans="1:15" x14ac:dyDescent="0.25">
      <c r="A86" s="56"/>
      <c r="G86" s="56"/>
    </row>
    <row r="87" spans="1:15" x14ac:dyDescent="0.25">
      <c r="A87" s="56" t="s">
        <v>723</v>
      </c>
      <c r="B87" s="24" t="s">
        <v>42</v>
      </c>
      <c r="C87" s="24" t="s">
        <v>724</v>
      </c>
      <c r="D87" s="24" t="s">
        <v>680</v>
      </c>
      <c r="E87" s="24" t="s">
        <v>681</v>
      </c>
      <c r="F87" s="24" t="s">
        <v>725</v>
      </c>
      <c r="G87" s="24" t="s">
        <v>93</v>
      </c>
      <c r="K87" s="53" t="s">
        <v>878</v>
      </c>
      <c r="L87" s="24"/>
      <c r="M87" s="24"/>
      <c r="N87" s="24"/>
      <c r="O87" s="24" t="s">
        <v>724</v>
      </c>
    </row>
    <row r="88" spans="1:15" x14ac:dyDescent="0.25">
      <c r="A88" s="56"/>
      <c r="B88" s="24" t="s">
        <v>679</v>
      </c>
      <c r="C88" s="24" t="s">
        <v>895</v>
      </c>
      <c r="D88" s="24">
        <v>25178</v>
      </c>
      <c r="E88" s="24">
        <v>23411</v>
      </c>
      <c r="F88" s="24">
        <v>1767</v>
      </c>
      <c r="G88" s="91"/>
      <c r="K88" s="47" t="s">
        <v>891</v>
      </c>
      <c r="O88" s="20" t="s">
        <v>896</v>
      </c>
    </row>
    <row r="89" spans="1:15" x14ac:dyDescent="0.25">
      <c r="A89" s="56"/>
      <c r="B89" s="24">
        <v>2</v>
      </c>
      <c r="C89" s="24" t="s">
        <v>895</v>
      </c>
      <c r="D89" s="24">
        <v>23411</v>
      </c>
      <c r="E89" s="24">
        <v>21585</v>
      </c>
      <c r="F89" s="24">
        <v>1826</v>
      </c>
      <c r="G89" s="91"/>
      <c r="K89" s="47" t="s">
        <v>897</v>
      </c>
    </row>
    <row r="90" spans="1:15" x14ac:dyDescent="0.25">
      <c r="A90" s="56"/>
      <c r="B90" s="24">
        <v>3</v>
      </c>
      <c r="C90" s="24" t="s">
        <v>895</v>
      </c>
      <c r="D90" s="24">
        <v>21585</v>
      </c>
      <c r="E90" s="24">
        <v>19551</v>
      </c>
      <c r="F90" s="24">
        <v>2034</v>
      </c>
      <c r="G90" s="91"/>
      <c r="K90" s="47" t="s">
        <v>898</v>
      </c>
    </row>
    <row r="91" spans="1:15" x14ac:dyDescent="0.25">
      <c r="A91" s="56"/>
      <c r="B91" s="24">
        <v>4</v>
      </c>
      <c r="C91" s="24" t="s">
        <v>895</v>
      </c>
      <c r="D91" s="24">
        <v>19551</v>
      </c>
      <c r="E91" s="24">
        <v>17636</v>
      </c>
      <c r="F91" s="24">
        <v>1915</v>
      </c>
      <c r="G91" s="91"/>
    </row>
    <row r="92" spans="1:15" x14ac:dyDescent="0.25">
      <c r="A92" s="56"/>
      <c r="B92" s="24">
        <v>5</v>
      </c>
      <c r="C92" s="24" t="s">
        <v>895</v>
      </c>
      <c r="D92" s="24">
        <v>17636</v>
      </c>
      <c r="E92" s="24">
        <v>15488</v>
      </c>
      <c r="F92" s="24">
        <v>2148</v>
      </c>
      <c r="G92" s="91"/>
    </row>
    <row r="93" spans="1:15" x14ac:dyDescent="0.25">
      <c r="A93" s="91" t="s">
        <v>812</v>
      </c>
      <c r="B93" s="24">
        <v>6</v>
      </c>
      <c r="C93" s="24" t="s">
        <v>895</v>
      </c>
      <c r="D93" s="24">
        <v>15488</v>
      </c>
      <c r="E93" s="24">
        <v>13655</v>
      </c>
      <c r="F93" s="24">
        <v>1833</v>
      </c>
      <c r="G93" s="91"/>
      <c r="I93" s="20">
        <v>6</v>
      </c>
    </row>
    <row r="94" spans="1:15" x14ac:dyDescent="0.25">
      <c r="A94" s="56" t="s">
        <v>251</v>
      </c>
      <c r="B94" s="24">
        <v>7</v>
      </c>
      <c r="C94" s="24" t="s">
        <v>895</v>
      </c>
      <c r="D94" s="24">
        <v>13655</v>
      </c>
      <c r="E94" s="24">
        <v>12207</v>
      </c>
      <c r="F94" s="27">
        <v>1448</v>
      </c>
      <c r="G94" s="91"/>
    </row>
    <row r="95" spans="1:15" x14ac:dyDescent="0.25">
      <c r="A95" s="56"/>
      <c r="B95" s="24">
        <v>8</v>
      </c>
      <c r="C95" s="24" t="s">
        <v>895</v>
      </c>
      <c r="D95" s="24">
        <v>12207</v>
      </c>
      <c r="E95" s="24">
        <v>10111</v>
      </c>
      <c r="F95" s="24">
        <v>2096</v>
      </c>
      <c r="G95" s="91"/>
    </row>
    <row r="96" spans="1:15" x14ac:dyDescent="0.25">
      <c r="A96" s="56"/>
      <c r="B96" s="24">
        <v>9</v>
      </c>
      <c r="C96" s="24" t="s">
        <v>895</v>
      </c>
      <c r="D96" s="24">
        <v>10111</v>
      </c>
      <c r="E96" s="24">
        <v>8451</v>
      </c>
      <c r="F96" s="24">
        <v>1660</v>
      </c>
      <c r="G96" s="91"/>
    </row>
    <row r="97" spans="1:15" x14ac:dyDescent="0.25">
      <c r="A97" s="56"/>
      <c r="B97" s="24">
        <v>10</v>
      </c>
      <c r="C97" s="24" t="s">
        <v>895</v>
      </c>
      <c r="D97" s="24">
        <v>8451</v>
      </c>
      <c r="E97" s="24">
        <v>6247</v>
      </c>
      <c r="F97" s="24">
        <v>2204</v>
      </c>
      <c r="G97" s="91"/>
    </row>
    <row r="98" spans="1:15" x14ac:dyDescent="0.25">
      <c r="A98" s="56"/>
      <c r="B98" s="24">
        <v>11</v>
      </c>
      <c r="C98" s="24" t="s">
        <v>895</v>
      </c>
      <c r="D98" s="24">
        <v>6247</v>
      </c>
      <c r="E98" s="24">
        <v>4642</v>
      </c>
      <c r="F98" s="27">
        <v>1605</v>
      </c>
      <c r="G98" s="91"/>
    </row>
    <row r="99" spans="1:15" x14ac:dyDescent="0.25">
      <c r="A99" s="56"/>
      <c r="B99" s="24">
        <v>12</v>
      </c>
      <c r="C99" s="24" t="s">
        <v>895</v>
      </c>
      <c r="D99" s="24">
        <v>4642</v>
      </c>
      <c r="E99" s="24">
        <v>3334</v>
      </c>
      <c r="F99" s="27">
        <v>1308</v>
      </c>
      <c r="G99" s="91"/>
    </row>
    <row r="100" spans="1:15" x14ac:dyDescent="0.25">
      <c r="A100" s="56"/>
      <c r="B100" s="24">
        <v>13</v>
      </c>
      <c r="C100" s="24" t="s">
        <v>895</v>
      </c>
      <c r="D100" s="24">
        <v>3334</v>
      </c>
      <c r="E100" s="24">
        <v>1337</v>
      </c>
      <c r="F100" s="24">
        <v>1997</v>
      </c>
      <c r="G100" s="91"/>
    </row>
    <row r="101" spans="1:15" x14ac:dyDescent="0.25">
      <c r="A101" s="56"/>
      <c r="B101" s="24">
        <v>14</v>
      </c>
      <c r="C101" s="24" t="s">
        <v>895</v>
      </c>
      <c r="D101" s="91">
        <v>1337</v>
      </c>
      <c r="E101" s="91">
        <v>0</v>
      </c>
      <c r="F101" s="80">
        <v>1337</v>
      </c>
      <c r="G101" s="91"/>
    </row>
    <row r="102" spans="1:15" x14ac:dyDescent="0.25">
      <c r="A102" s="56"/>
      <c r="G102" s="56"/>
    </row>
    <row r="103" spans="1:15" x14ac:dyDescent="0.25">
      <c r="A103" s="56" t="s">
        <v>723</v>
      </c>
      <c r="B103" s="24" t="s">
        <v>42</v>
      </c>
      <c r="C103" s="24" t="s">
        <v>724</v>
      </c>
      <c r="D103" s="24" t="s">
        <v>680</v>
      </c>
      <c r="E103" s="24" t="s">
        <v>681</v>
      </c>
      <c r="F103" s="24" t="s">
        <v>725</v>
      </c>
      <c r="G103" s="24" t="s">
        <v>93</v>
      </c>
      <c r="K103" s="53" t="s">
        <v>878</v>
      </c>
      <c r="L103" s="24"/>
      <c r="M103" s="24"/>
      <c r="N103" s="24"/>
      <c r="O103" s="24" t="s">
        <v>724</v>
      </c>
    </row>
    <row r="104" spans="1:15" x14ac:dyDescent="0.25">
      <c r="A104" s="56"/>
      <c r="B104" s="24" t="s">
        <v>679</v>
      </c>
      <c r="C104" s="24" t="s">
        <v>899</v>
      </c>
      <c r="D104" s="24">
        <v>0</v>
      </c>
      <c r="E104" s="24">
        <v>1982</v>
      </c>
      <c r="F104" s="24">
        <v>1982</v>
      </c>
      <c r="G104" s="91"/>
      <c r="K104" s="47" t="s">
        <v>882</v>
      </c>
    </row>
    <row r="105" spans="1:15" x14ac:dyDescent="0.25">
      <c r="A105" s="56"/>
      <c r="B105" s="24">
        <v>2</v>
      </c>
      <c r="C105" s="24" t="s">
        <v>899</v>
      </c>
      <c r="D105" s="24">
        <v>1982</v>
      </c>
      <c r="E105" s="24">
        <v>3987</v>
      </c>
      <c r="F105" s="24">
        <v>2005</v>
      </c>
      <c r="G105" s="91"/>
    </row>
    <row r="106" spans="1:15" x14ac:dyDescent="0.25">
      <c r="A106" s="56"/>
      <c r="B106" s="24">
        <v>3</v>
      </c>
      <c r="C106" s="24" t="s">
        <v>899</v>
      </c>
      <c r="D106" s="24">
        <v>3987</v>
      </c>
      <c r="E106" s="24">
        <v>5853</v>
      </c>
      <c r="F106" s="24">
        <v>1866</v>
      </c>
      <c r="G106" s="91"/>
    </row>
    <row r="107" spans="1:15" x14ac:dyDescent="0.25">
      <c r="A107" s="56"/>
      <c r="B107" s="24">
        <v>4</v>
      </c>
      <c r="C107" s="24" t="s">
        <v>899</v>
      </c>
      <c r="D107" s="24">
        <v>5853</v>
      </c>
      <c r="E107" s="24">
        <v>7698</v>
      </c>
      <c r="F107" s="24">
        <v>1845</v>
      </c>
      <c r="G107" s="91"/>
    </row>
    <row r="108" spans="1:15" x14ac:dyDescent="0.25">
      <c r="A108" s="56"/>
      <c r="B108" s="24">
        <v>5</v>
      </c>
      <c r="C108" s="24" t="s">
        <v>899</v>
      </c>
      <c r="D108" s="24">
        <v>7698</v>
      </c>
      <c r="E108" s="24">
        <v>9703</v>
      </c>
      <c r="F108" s="24">
        <v>2005</v>
      </c>
      <c r="G108" s="91"/>
    </row>
    <row r="109" spans="1:15" x14ac:dyDescent="0.25">
      <c r="A109" s="91" t="s">
        <v>817</v>
      </c>
      <c r="B109" s="24">
        <v>6</v>
      </c>
      <c r="C109" s="24" t="s">
        <v>899</v>
      </c>
      <c r="D109" s="24">
        <v>9703</v>
      </c>
      <c r="E109" s="24">
        <v>11722</v>
      </c>
      <c r="F109" s="24">
        <v>2019</v>
      </c>
      <c r="G109" s="91"/>
      <c r="I109" s="20">
        <v>7</v>
      </c>
    </row>
    <row r="110" spans="1:15" x14ac:dyDescent="0.25">
      <c r="A110" s="56" t="s">
        <v>250</v>
      </c>
      <c r="B110" s="24">
        <v>7</v>
      </c>
      <c r="C110" s="24" t="s">
        <v>899</v>
      </c>
      <c r="D110" s="24">
        <v>11722</v>
      </c>
      <c r="E110" s="24">
        <v>13562</v>
      </c>
      <c r="F110" s="24">
        <v>1840</v>
      </c>
      <c r="G110" s="91"/>
    </row>
    <row r="111" spans="1:15" x14ac:dyDescent="0.25">
      <c r="A111" s="56"/>
      <c r="B111" s="24">
        <v>8</v>
      </c>
      <c r="C111" s="24" t="s">
        <v>899</v>
      </c>
      <c r="D111" s="24">
        <v>13562</v>
      </c>
      <c r="E111" s="24">
        <v>15511</v>
      </c>
      <c r="F111" s="24">
        <v>1949</v>
      </c>
      <c r="G111" s="91"/>
    </row>
    <row r="112" spans="1:15" x14ac:dyDescent="0.25">
      <c r="A112" s="56"/>
      <c r="B112" s="24">
        <v>9</v>
      </c>
      <c r="C112" s="24" t="s">
        <v>899</v>
      </c>
      <c r="D112" s="24">
        <v>15511</v>
      </c>
      <c r="E112" s="24">
        <v>17452</v>
      </c>
      <c r="F112" s="24">
        <v>1941</v>
      </c>
      <c r="G112" s="91"/>
    </row>
    <row r="113" spans="1:15" x14ac:dyDescent="0.25">
      <c r="A113" s="56"/>
      <c r="B113" s="24">
        <v>10</v>
      </c>
      <c r="C113" s="24" t="s">
        <v>899</v>
      </c>
      <c r="D113" s="24">
        <v>17452</v>
      </c>
      <c r="E113" s="24">
        <v>19456</v>
      </c>
      <c r="F113" s="24">
        <v>2004</v>
      </c>
      <c r="G113" s="91"/>
    </row>
    <row r="114" spans="1:15" x14ac:dyDescent="0.25">
      <c r="A114" s="56"/>
      <c r="B114" s="24">
        <v>11</v>
      </c>
      <c r="C114" s="24" t="s">
        <v>899</v>
      </c>
      <c r="D114" s="24">
        <v>19456</v>
      </c>
      <c r="E114" s="24">
        <v>21391</v>
      </c>
      <c r="F114" s="24">
        <v>1935</v>
      </c>
      <c r="G114" s="91"/>
    </row>
    <row r="115" spans="1:15" x14ac:dyDescent="0.25">
      <c r="A115" s="56"/>
      <c r="B115" s="24">
        <v>12</v>
      </c>
      <c r="C115" s="24" t="s">
        <v>899</v>
      </c>
      <c r="D115" s="24">
        <v>21391</v>
      </c>
      <c r="E115" s="24">
        <v>23153</v>
      </c>
      <c r="F115" s="24">
        <v>1762</v>
      </c>
      <c r="G115" s="91"/>
    </row>
    <row r="116" spans="1:15" x14ac:dyDescent="0.25">
      <c r="A116" s="56"/>
      <c r="B116" s="24">
        <v>13</v>
      </c>
      <c r="C116" s="24" t="s">
        <v>899</v>
      </c>
      <c r="D116" s="24">
        <v>23153</v>
      </c>
      <c r="E116" s="24">
        <v>25168</v>
      </c>
      <c r="F116" s="24">
        <v>2015</v>
      </c>
      <c r="G116" s="91"/>
    </row>
    <row r="117" spans="1:15" x14ac:dyDescent="0.25">
      <c r="A117" s="56"/>
      <c r="B117" s="24">
        <v>14</v>
      </c>
      <c r="C117" s="24" t="s">
        <v>877</v>
      </c>
      <c r="D117" s="91"/>
      <c r="E117" s="91"/>
      <c r="F117" s="91"/>
      <c r="G117" s="91"/>
    </row>
    <row r="118" spans="1:15" x14ac:dyDescent="0.25">
      <c r="A118" s="56"/>
      <c r="G118" s="56"/>
    </row>
    <row r="119" spans="1:15" x14ac:dyDescent="0.25">
      <c r="A119" s="56" t="s">
        <v>723</v>
      </c>
      <c r="B119" s="24" t="s">
        <v>42</v>
      </c>
      <c r="C119" s="24" t="s">
        <v>724</v>
      </c>
      <c r="D119" s="24" t="s">
        <v>680</v>
      </c>
      <c r="E119" s="24" t="s">
        <v>681</v>
      </c>
      <c r="F119" s="24" t="s">
        <v>725</v>
      </c>
      <c r="G119" s="24" t="s">
        <v>93</v>
      </c>
      <c r="K119" s="53" t="s">
        <v>878</v>
      </c>
      <c r="L119" s="24"/>
      <c r="M119" s="24"/>
      <c r="N119" s="24"/>
      <c r="O119" s="24" t="s">
        <v>724</v>
      </c>
    </row>
    <row r="120" spans="1:15" x14ac:dyDescent="0.25">
      <c r="A120" s="56"/>
      <c r="B120" s="24" t="s">
        <v>679</v>
      </c>
      <c r="C120" s="24" t="s">
        <v>900</v>
      </c>
      <c r="D120" s="24">
        <v>25076</v>
      </c>
      <c r="E120" s="24">
        <v>23281</v>
      </c>
      <c r="F120" s="24">
        <v>1795</v>
      </c>
      <c r="G120" s="91"/>
      <c r="K120" s="47" t="s">
        <v>882</v>
      </c>
    </row>
    <row r="121" spans="1:15" x14ac:dyDescent="0.25">
      <c r="A121" s="56"/>
      <c r="B121" s="24">
        <v>2</v>
      </c>
      <c r="C121" s="24" t="s">
        <v>900</v>
      </c>
      <c r="D121" s="24">
        <v>23281</v>
      </c>
      <c r="E121" s="24">
        <v>21435</v>
      </c>
      <c r="F121" s="24">
        <v>1846</v>
      </c>
      <c r="G121" s="91"/>
    </row>
    <row r="122" spans="1:15" x14ac:dyDescent="0.25">
      <c r="A122" s="56"/>
      <c r="B122" s="24">
        <v>3</v>
      </c>
      <c r="C122" s="24" t="s">
        <v>900</v>
      </c>
      <c r="D122" s="24">
        <v>21435</v>
      </c>
      <c r="E122" s="24">
        <v>19579</v>
      </c>
      <c r="F122" s="24">
        <v>1856</v>
      </c>
      <c r="G122" s="91"/>
    </row>
    <row r="123" spans="1:15" x14ac:dyDescent="0.25">
      <c r="A123" s="56"/>
      <c r="B123" s="24">
        <v>4</v>
      </c>
      <c r="C123" s="24" t="s">
        <v>900</v>
      </c>
      <c r="D123" s="24">
        <v>19579</v>
      </c>
      <c r="E123" s="24">
        <v>17796</v>
      </c>
      <c r="F123" s="24">
        <v>1783</v>
      </c>
      <c r="G123" s="91"/>
    </row>
    <row r="124" spans="1:15" x14ac:dyDescent="0.25">
      <c r="A124" s="56"/>
      <c r="B124" s="24">
        <v>5</v>
      </c>
      <c r="C124" s="24" t="s">
        <v>900</v>
      </c>
      <c r="D124" s="24">
        <v>17796</v>
      </c>
      <c r="E124" s="24">
        <v>15968</v>
      </c>
      <c r="F124" s="24">
        <v>1828</v>
      </c>
      <c r="G124" s="91"/>
    </row>
    <row r="125" spans="1:15" x14ac:dyDescent="0.25">
      <c r="A125" s="91" t="s">
        <v>802</v>
      </c>
      <c r="B125" s="24">
        <v>6</v>
      </c>
      <c r="C125" s="24" t="s">
        <v>900</v>
      </c>
      <c r="D125" s="24">
        <v>15968</v>
      </c>
      <c r="E125" s="24">
        <v>14238</v>
      </c>
      <c r="F125" s="24">
        <v>1730</v>
      </c>
      <c r="G125" s="91"/>
      <c r="I125" s="20">
        <v>8</v>
      </c>
    </row>
    <row r="126" spans="1:15" x14ac:dyDescent="0.25">
      <c r="A126" s="56" t="s">
        <v>259</v>
      </c>
      <c r="B126" s="24">
        <v>7</v>
      </c>
      <c r="C126" s="24" t="s">
        <v>900</v>
      </c>
      <c r="D126" s="24">
        <v>14238</v>
      </c>
      <c r="E126" s="24">
        <v>12352</v>
      </c>
      <c r="F126" s="24">
        <v>1886</v>
      </c>
      <c r="G126" s="91"/>
    </row>
    <row r="127" spans="1:15" x14ac:dyDescent="0.25">
      <c r="A127" s="56"/>
      <c r="B127" s="24">
        <v>8</v>
      </c>
      <c r="C127" s="24" t="s">
        <v>900</v>
      </c>
      <c r="D127" s="24">
        <v>12352</v>
      </c>
      <c r="E127" s="24">
        <v>10566</v>
      </c>
      <c r="F127" s="24">
        <v>1786</v>
      </c>
      <c r="G127" s="91"/>
    </row>
    <row r="128" spans="1:15" x14ac:dyDescent="0.25">
      <c r="A128" s="56"/>
      <c r="B128" s="24">
        <v>9</v>
      </c>
      <c r="C128" s="24" t="s">
        <v>900</v>
      </c>
      <c r="D128" s="24">
        <v>10566</v>
      </c>
      <c r="E128" s="24">
        <v>8798</v>
      </c>
      <c r="F128" s="24">
        <v>1768</v>
      </c>
      <c r="G128" s="91"/>
    </row>
    <row r="129" spans="1:15" x14ac:dyDescent="0.25">
      <c r="A129" s="56"/>
      <c r="B129" s="24">
        <v>10</v>
      </c>
      <c r="C129" s="24" t="s">
        <v>900</v>
      </c>
      <c r="D129" s="24">
        <v>8798</v>
      </c>
      <c r="E129" s="24">
        <v>7065</v>
      </c>
      <c r="F129" s="24">
        <v>1733</v>
      </c>
      <c r="G129" s="91"/>
    </row>
    <row r="130" spans="1:15" x14ac:dyDescent="0.25">
      <c r="A130" s="56"/>
      <c r="B130" s="24">
        <v>11</v>
      </c>
      <c r="C130" s="24" t="s">
        <v>900</v>
      </c>
      <c r="D130" s="24">
        <v>7065</v>
      </c>
      <c r="E130" s="24">
        <v>5522</v>
      </c>
      <c r="F130" s="24">
        <v>1543</v>
      </c>
      <c r="G130" s="91"/>
    </row>
    <row r="131" spans="1:15" x14ac:dyDescent="0.25">
      <c r="A131" s="56"/>
      <c r="B131" s="24">
        <v>12</v>
      </c>
      <c r="C131" s="24" t="s">
        <v>900</v>
      </c>
      <c r="D131" s="24">
        <v>5522</v>
      </c>
      <c r="E131" s="24">
        <v>3685</v>
      </c>
      <c r="F131" s="24">
        <v>1837</v>
      </c>
      <c r="G131" s="91"/>
    </row>
    <row r="132" spans="1:15" x14ac:dyDescent="0.25">
      <c r="A132" s="56"/>
      <c r="B132" s="24">
        <v>13</v>
      </c>
      <c r="C132" s="24" t="s">
        <v>900</v>
      </c>
      <c r="D132" s="24">
        <v>3685</v>
      </c>
      <c r="E132" s="24">
        <v>1823</v>
      </c>
      <c r="F132" s="24">
        <v>1862</v>
      </c>
      <c r="G132" s="91"/>
    </row>
    <row r="133" spans="1:15" x14ac:dyDescent="0.25">
      <c r="A133" s="56"/>
      <c r="B133" s="24">
        <v>14</v>
      </c>
      <c r="C133" s="24" t="s">
        <v>900</v>
      </c>
      <c r="D133" s="91">
        <v>1823</v>
      </c>
      <c r="E133" s="91">
        <v>0</v>
      </c>
      <c r="F133" s="91">
        <v>1823</v>
      </c>
      <c r="G133" s="91"/>
    </row>
    <row r="134" spans="1:15" x14ac:dyDescent="0.25">
      <c r="A134" s="56"/>
      <c r="G134" s="56"/>
    </row>
    <row r="135" spans="1:15" x14ac:dyDescent="0.25">
      <c r="A135" s="56" t="s">
        <v>723</v>
      </c>
      <c r="B135" s="24" t="s">
        <v>42</v>
      </c>
      <c r="C135" s="24" t="s">
        <v>724</v>
      </c>
      <c r="D135" s="24" t="s">
        <v>680</v>
      </c>
      <c r="E135" s="24" t="s">
        <v>681</v>
      </c>
      <c r="F135" s="24" t="s">
        <v>725</v>
      </c>
      <c r="G135" s="24" t="s">
        <v>93</v>
      </c>
      <c r="K135" s="53" t="s">
        <v>878</v>
      </c>
      <c r="L135" s="24"/>
      <c r="M135" s="24"/>
      <c r="N135" s="24"/>
      <c r="O135" s="24" t="s">
        <v>724</v>
      </c>
    </row>
    <row r="136" spans="1:15" x14ac:dyDescent="0.25">
      <c r="A136" s="56"/>
      <c r="B136" s="24" t="s">
        <v>679</v>
      </c>
      <c r="C136" s="24" t="s">
        <v>901</v>
      </c>
      <c r="D136" s="24">
        <v>0</v>
      </c>
      <c r="E136" s="24">
        <v>1924</v>
      </c>
      <c r="F136" s="24">
        <v>1924</v>
      </c>
      <c r="G136" s="91"/>
      <c r="K136" s="47" t="s">
        <v>902</v>
      </c>
      <c r="O136" s="20" t="s">
        <v>903</v>
      </c>
    </row>
    <row r="137" spans="1:15" x14ac:dyDescent="0.25">
      <c r="A137" s="56"/>
      <c r="B137" s="24">
        <v>2</v>
      </c>
      <c r="C137" s="24" t="s">
        <v>901</v>
      </c>
      <c r="D137" s="24">
        <v>1924</v>
      </c>
      <c r="E137" s="24">
        <v>3938</v>
      </c>
      <c r="F137" s="24">
        <v>2014</v>
      </c>
      <c r="G137" s="91"/>
    </row>
    <row r="138" spans="1:15" x14ac:dyDescent="0.25">
      <c r="A138" s="56"/>
      <c r="B138" s="24">
        <v>3</v>
      </c>
      <c r="C138" s="24" t="s">
        <v>901</v>
      </c>
      <c r="D138" s="24">
        <v>3938</v>
      </c>
      <c r="E138" s="24">
        <v>5706</v>
      </c>
      <c r="F138" s="24">
        <v>1768</v>
      </c>
      <c r="G138" s="91"/>
    </row>
    <row r="139" spans="1:15" x14ac:dyDescent="0.25">
      <c r="A139" s="56"/>
      <c r="B139" s="24">
        <v>4</v>
      </c>
      <c r="C139" s="24" t="s">
        <v>901</v>
      </c>
      <c r="D139" s="24">
        <v>5706</v>
      </c>
      <c r="E139" s="24">
        <v>7893</v>
      </c>
      <c r="F139" s="24">
        <v>2187</v>
      </c>
      <c r="G139" s="91"/>
    </row>
    <row r="140" spans="1:15" x14ac:dyDescent="0.25">
      <c r="A140" s="56"/>
      <c r="B140" s="24">
        <v>5</v>
      </c>
      <c r="C140" s="24" t="s">
        <v>901</v>
      </c>
      <c r="D140" s="24">
        <v>7893</v>
      </c>
      <c r="E140" s="24">
        <v>9561</v>
      </c>
      <c r="F140" s="24">
        <v>1668</v>
      </c>
      <c r="G140" s="91"/>
    </row>
    <row r="141" spans="1:15" x14ac:dyDescent="0.25">
      <c r="A141" s="91" t="s">
        <v>808</v>
      </c>
      <c r="B141" s="24">
        <v>6</v>
      </c>
      <c r="C141" s="24" t="s">
        <v>901</v>
      </c>
      <c r="D141" s="24">
        <v>9561</v>
      </c>
      <c r="E141" s="24">
        <v>11396</v>
      </c>
      <c r="F141" s="24">
        <v>1835</v>
      </c>
      <c r="G141" s="91"/>
      <c r="I141" s="20">
        <v>9</v>
      </c>
    </row>
    <row r="142" spans="1:15" x14ac:dyDescent="0.25">
      <c r="A142" s="56" t="s">
        <v>256</v>
      </c>
      <c r="B142" s="24">
        <v>7</v>
      </c>
      <c r="C142" s="24" t="s">
        <v>901</v>
      </c>
      <c r="D142" s="24">
        <v>11346</v>
      </c>
      <c r="E142" s="24">
        <v>13263</v>
      </c>
      <c r="F142" s="24">
        <v>1867</v>
      </c>
      <c r="G142" s="91"/>
    </row>
    <row r="143" spans="1:15" x14ac:dyDescent="0.25">
      <c r="A143" s="56"/>
      <c r="B143" s="24">
        <v>8</v>
      </c>
      <c r="C143" s="24" t="s">
        <v>901</v>
      </c>
      <c r="D143" s="24">
        <v>13263</v>
      </c>
      <c r="E143" s="24">
        <v>14363</v>
      </c>
      <c r="F143" s="27">
        <v>1100</v>
      </c>
      <c r="G143" s="91"/>
    </row>
    <row r="144" spans="1:15" x14ac:dyDescent="0.25">
      <c r="A144" s="56"/>
      <c r="B144" s="24">
        <v>9</v>
      </c>
      <c r="C144" s="24" t="s">
        <v>901</v>
      </c>
      <c r="D144" s="24">
        <v>14363</v>
      </c>
      <c r="E144" s="24">
        <v>15542</v>
      </c>
      <c r="F144" s="27">
        <v>1179</v>
      </c>
      <c r="G144" s="91"/>
    </row>
    <row r="145" spans="1:15" x14ac:dyDescent="0.25">
      <c r="A145" s="56"/>
      <c r="B145" s="24">
        <v>10</v>
      </c>
      <c r="C145" s="24" t="s">
        <v>901</v>
      </c>
      <c r="D145" s="24">
        <v>15542</v>
      </c>
      <c r="E145" s="24">
        <v>17351</v>
      </c>
      <c r="F145" s="24">
        <v>1809</v>
      </c>
      <c r="G145" s="91"/>
    </row>
    <row r="146" spans="1:15" x14ac:dyDescent="0.25">
      <c r="A146" s="56"/>
      <c r="B146" s="24">
        <v>11</v>
      </c>
      <c r="C146" s="24" t="s">
        <v>901</v>
      </c>
      <c r="D146" s="24">
        <v>17351</v>
      </c>
      <c r="E146" s="24">
        <v>19404</v>
      </c>
      <c r="F146" s="24">
        <v>2053</v>
      </c>
      <c r="G146" s="91"/>
    </row>
    <row r="147" spans="1:15" x14ac:dyDescent="0.25">
      <c r="A147" s="56"/>
      <c r="B147" s="24">
        <v>12</v>
      </c>
      <c r="C147" s="24" t="s">
        <v>901</v>
      </c>
      <c r="D147" s="24">
        <v>19404</v>
      </c>
      <c r="E147" s="24">
        <v>21346</v>
      </c>
      <c r="F147" s="24">
        <v>1942</v>
      </c>
      <c r="G147" s="91"/>
    </row>
    <row r="148" spans="1:15" x14ac:dyDescent="0.25">
      <c r="A148" s="56"/>
      <c r="B148" s="24">
        <v>13</v>
      </c>
      <c r="C148" s="24" t="s">
        <v>901</v>
      </c>
      <c r="D148" s="24">
        <v>21346</v>
      </c>
      <c r="E148" s="24">
        <v>23016</v>
      </c>
      <c r="F148" s="24">
        <v>1670</v>
      </c>
      <c r="G148" s="91"/>
    </row>
    <row r="149" spans="1:15" x14ac:dyDescent="0.25">
      <c r="A149" s="56"/>
      <c r="B149" s="24">
        <v>14</v>
      </c>
      <c r="C149" s="24" t="s">
        <v>901</v>
      </c>
      <c r="D149" s="91">
        <v>23016</v>
      </c>
      <c r="E149" s="91">
        <v>25083</v>
      </c>
      <c r="F149" s="91">
        <v>2067</v>
      </c>
      <c r="G149" s="91"/>
    </row>
    <row r="150" spans="1:15" x14ac:dyDescent="0.25">
      <c r="A150" s="56"/>
      <c r="G150" s="56"/>
    </row>
    <row r="151" spans="1:15" x14ac:dyDescent="0.25">
      <c r="A151" s="56" t="s">
        <v>723</v>
      </c>
      <c r="B151" s="24" t="s">
        <v>42</v>
      </c>
      <c r="C151" s="24" t="s">
        <v>724</v>
      </c>
      <c r="D151" s="24" t="s">
        <v>680</v>
      </c>
      <c r="E151" s="24" t="s">
        <v>681</v>
      </c>
      <c r="F151" s="24" t="s">
        <v>725</v>
      </c>
      <c r="G151" s="24" t="s">
        <v>93</v>
      </c>
      <c r="K151" s="53" t="s">
        <v>878</v>
      </c>
      <c r="L151" s="24"/>
      <c r="M151" s="24"/>
      <c r="N151" s="24"/>
      <c r="O151" s="24" t="s">
        <v>724</v>
      </c>
    </row>
    <row r="152" spans="1:15" x14ac:dyDescent="0.25">
      <c r="A152" s="56"/>
      <c r="B152" s="24" t="s">
        <v>679</v>
      </c>
      <c r="C152" s="24" t="s">
        <v>907</v>
      </c>
      <c r="D152" s="24">
        <v>0</v>
      </c>
      <c r="E152" s="24">
        <v>2083</v>
      </c>
      <c r="F152" s="24">
        <v>2083</v>
      </c>
      <c r="G152" s="91"/>
      <c r="K152" s="47" t="s">
        <v>891</v>
      </c>
      <c r="O152" s="20" t="s">
        <v>908</v>
      </c>
    </row>
    <row r="153" spans="1:15" x14ac:dyDescent="0.25">
      <c r="A153" s="56"/>
      <c r="B153" s="24">
        <v>2</v>
      </c>
      <c r="C153" s="24" t="s">
        <v>907</v>
      </c>
      <c r="D153" s="24">
        <v>2083</v>
      </c>
      <c r="E153" s="24">
        <v>3585</v>
      </c>
      <c r="F153" s="41">
        <v>1502</v>
      </c>
      <c r="G153" s="91"/>
      <c r="K153" s="47" t="s">
        <v>898</v>
      </c>
    </row>
    <row r="154" spans="1:15" x14ac:dyDescent="0.25">
      <c r="A154" s="56"/>
      <c r="B154" s="24">
        <v>3</v>
      </c>
      <c r="C154" s="24" t="s">
        <v>907</v>
      </c>
      <c r="D154" s="24">
        <v>3585</v>
      </c>
      <c r="E154" s="24">
        <v>5607</v>
      </c>
      <c r="F154" s="24">
        <v>2022</v>
      </c>
      <c r="G154" s="91"/>
    </row>
    <row r="155" spans="1:15" x14ac:dyDescent="0.25">
      <c r="A155" s="56"/>
      <c r="B155" s="24">
        <v>4</v>
      </c>
      <c r="C155" s="24" t="s">
        <v>907</v>
      </c>
      <c r="D155" s="24">
        <v>5607</v>
      </c>
      <c r="E155" s="24">
        <v>7773</v>
      </c>
      <c r="F155" s="24">
        <v>2166</v>
      </c>
      <c r="G155" s="91"/>
    </row>
    <row r="156" spans="1:15" x14ac:dyDescent="0.25">
      <c r="A156" s="56"/>
      <c r="B156" s="24">
        <v>5</v>
      </c>
      <c r="C156" s="24" t="s">
        <v>907</v>
      </c>
      <c r="D156" s="24">
        <v>7773</v>
      </c>
      <c r="E156" s="24">
        <v>9420</v>
      </c>
      <c r="F156" s="24">
        <v>1647</v>
      </c>
      <c r="G156" s="91"/>
    </row>
    <row r="157" spans="1:15" x14ac:dyDescent="0.25">
      <c r="A157" s="91" t="s">
        <v>906</v>
      </c>
      <c r="B157" s="24">
        <v>6</v>
      </c>
      <c r="C157" s="24" t="s">
        <v>907</v>
      </c>
      <c r="D157" s="24">
        <v>9420</v>
      </c>
      <c r="E157" s="24">
        <v>11411</v>
      </c>
      <c r="F157" s="24">
        <v>1991</v>
      </c>
      <c r="G157" s="91"/>
      <c r="I157" s="20">
        <v>10</v>
      </c>
    </row>
    <row r="158" spans="1:15" x14ac:dyDescent="0.25">
      <c r="A158" s="56" t="s">
        <v>254</v>
      </c>
      <c r="B158" s="24">
        <v>7</v>
      </c>
      <c r="C158" s="24" t="s">
        <v>907</v>
      </c>
      <c r="D158" s="24">
        <v>11411</v>
      </c>
      <c r="E158" s="24">
        <v>13423</v>
      </c>
      <c r="F158" s="24">
        <v>2012</v>
      </c>
      <c r="G158" s="91"/>
    </row>
    <row r="159" spans="1:15" x14ac:dyDescent="0.25">
      <c r="A159" s="56"/>
      <c r="B159" s="24">
        <v>8</v>
      </c>
      <c r="C159" s="24" t="s">
        <v>907</v>
      </c>
      <c r="D159" s="24">
        <v>13423</v>
      </c>
      <c r="E159" s="24">
        <v>15404</v>
      </c>
      <c r="F159" s="24">
        <v>1981</v>
      </c>
      <c r="G159" s="91"/>
    </row>
    <row r="160" spans="1:15" x14ac:dyDescent="0.25">
      <c r="A160" s="56"/>
      <c r="B160" s="24">
        <v>9</v>
      </c>
      <c r="C160" s="24" t="s">
        <v>907</v>
      </c>
      <c r="D160" s="24">
        <v>15404</v>
      </c>
      <c r="E160" s="24">
        <v>17525</v>
      </c>
      <c r="F160" s="24">
        <v>2121</v>
      </c>
      <c r="G160" s="91"/>
    </row>
    <row r="161" spans="1:15" x14ac:dyDescent="0.25">
      <c r="A161" s="56"/>
      <c r="B161" s="24">
        <v>10</v>
      </c>
      <c r="C161" s="24" t="s">
        <v>907</v>
      </c>
      <c r="D161" s="24">
        <v>17525</v>
      </c>
      <c r="E161" s="24">
        <v>19177</v>
      </c>
      <c r="F161" s="24">
        <v>1652</v>
      </c>
      <c r="G161" s="91"/>
    </row>
    <row r="162" spans="1:15" x14ac:dyDescent="0.25">
      <c r="A162" s="56"/>
      <c r="B162" s="24">
        <v>11</v>
      </c>
      <c r="C162" s="24" t="s">
        <v>907</v>
      </c>
      <c r="D162" s="24">
        <v>19177</v>
      </c>
      <c r="E162" s="24">
        <v>20439</v>
      </c>
      <c r="F162" s="27">
        <v>1262</v>
      </c>
      <c r="G162" s="91"/>
    </row>
    <row r="163" spans="1:15" x14ac:dyDescent="0.25">
      <c r="A163" s="56"/>
      <c r="B163" s="24">
        <v>12</v>
      </c>
      <c r="C163" s="24" t="s">
        <v>907</v>
      </c>
      <c r="D163" s="24">
        <v>20439</v>
      </c>
      <c r="E163" s="24">
        <v>21974</v>
      </c>
      <c r="F163" s="41">
        <v>1535</v>
      </c>
      <c r="G163" s="91"/>
    </row>
    <row r="164" spans="1:15" x14ac:dyDescent="0.25">
      <c r="A164" s="56"/>
      <c r="B164" s="24">
        <v>13</v>
      </c>
      <c r="C164" s="24" t="s">
        <v>907</v>
      </c>
      <c r="D164" s="24">
        <v>21974</v>
      </c>
      <c r="E164" s="24">
        <v>23942</v>
      </c>
      <c r="F164" s="24">
        <v>1968</v>
      </c>
      <c r="G164" s="91"/>
    </row>
    <row r="165" spans="1:15" x14ac:dyDescent="0.25">
      <c r="A165" s="56"/>
      <c r="B165" s="24">
        <v>14</v>
      </c>
      <c r="C165" s="24" t="s">
        <v>907</v>
      </c>
      <c r="D165" s="91">
        <v>23942</v>
      </c>
      <c r="E165" s="91">
        <v>25006</v>
      </c>
      <c r="F165" s="80">
        <v>1064</v>
      </c>
      <c r="G165" s="91"/>
    </row>
    <row r="166" spans="1:15" x14ac:dyDescent="0.25">
      <c r="A166" s="56"/>
      <c r="G166" s="56"/>
    </row>
    <row r="167" spans="1:15" x14ac:dyDescent="0.25">
      <c r="A167" s="56" t="s">
        <v>723</v>
      </c>
      <c r="B167" s="24" t="s">
        <v>42</v>
      </c>
      <c r="C167" s="24" t="s">
        <v>724</v>
      </c>
      <c r="D167" s="24" t="s">
        <v>680</v>
      </c>
      <c r="E167" s="24" t="s">
        <v>681</v>
      </c>
      <c r="F167" s="24" t="s">
        <v>725</v>
      </c>
      <c r="G167" s="24" t="s">
        <v>93</v>
      </c>
      <c r="K167" s="53" t="s">
        <v>878</v>
      </c>
      <c r="L167" s="24"/>
      <c r="M167" s="24"/>
      <c r="N167" s="24"/>
      <c r="O167" s="24" t="s">
        <v>724</v>
      </c>
    </row>
    <row r="168" spans="1:15" x14ac:dyDescent="0.25">
      <c r="A168" s="56"/>
      <c r="B168" s="24" t="s">
        <v>679</v>
      </c>
      <c r="C168" s="24" t="s">
        <v>910</v>
      </c>
      <c r="D168" s="24">
        <v>0</v>
      </c>
      <c r="E168" s="24">
        <v>1345</v>
      </c>
      <c r="F168" s="27">
        <v>1345</v>
      </c>
      <c r="G168" s="91"/>
      <c r="K168" s="47" t="s">
        <v>891</v>
      </c>
      <c r="O168" s="20" t="s">
        <v>908</v>
      </c>
    </row>
    <row r="169" spans="1:15" x14ac:dyDescent="0.25">
      <c r="A169" s="56"/>
      <c r="B169" s="24">
        <v>2</v>
      </c>
      <c r="C169" s="24" t="s">
        <v>910</v>
      </c>
      <c r="D169" s="24">
        <v>1345</v>
      </c>
      <c r="E169" s="24">
        <v>3104</v>
      </c>
      <c r="F169" s="24">
        <v>1759</v>
      </c>
      <c r="G169" s="91"/>
      <c r="K169" s="47" t="s">
        <v>911</v>
      </c>
    </row>
    <row r="170" spans="1:15" x14ac:dyDescent="0.25">
      <c r="A170" s="56"/>
      <c r="B170" s="24">
        <v>3</v>
      </c>
      <c r="C170" s="24" t="s">
        <v>910</v>
      </c>
      <c r="D170" s="24">
        <v>3104</v>
      </c>
      <c r="E170" s="24">
        <v>5061</v>
      </c>
      <c r="F170" s="24">
        <v>1957</v>
      </c>
      <c r="G170" s="91"/>
    </row>
    <row r="171" spans="1:15" x14ac:dyDescent="0.25">
      <c r="A171" s="56"/>
      <c r="B171" s="24">
        <v>4</v>
      </c>
      <c r="C171" s="24" t="s">
        <v>910</v>
      </c>
      <c r="D171" s="24">
        <v>5061</v>
      </c>
      <c r="E171" s="24">
        <v>6674</v>
      </c>
      <c r="F171" s="24">
        <v>1613</v>
      </c>
      <c r="G171" s="91"/>
    </row>
    <row r="172" spans="1:15" x14ac:dyDescent="0.25">
      <c r="A172" s="56"/>
      <c r="B172" s="24">
        <v>5</v>
      </c>
      <c r="C172" s="24" t="s">
        <v>910</v>
      </c>
      <c r="D172" s="24">
        <v>6674</v>
      </c>
      <c r="E172" s="24">
        <v>7161</v>
      </c>
      <c r="F172" s="27">
        <v>487</v>
      </c>
      <c r="G172" s="91"/>
    </row>
    <row r="173" spans="1:15" x14ac:dyDescent="0.25">
      <c r="A173" s="91" t="s">
        <v>909</v>
      </c>
      <c r="B173" s="24">
        <v>6</v>
      </c>
      <c r="C173" s="24" t="s">
        <v>910</v>
      </c>
      <c r="D173" s="24">
        <v>7161</v>
      </c>
      <c r="E173" s="24">
        <v>8995</v>
      </c>
      <c r="F173" s="24">
        <v>1834</v>
      </c>
      <c r="G173" s="91"/>
      <c r="I173" s="20">
        <v>11</v>
      </c>
    </row>
    <row r="174" spans="1:15" x14ac:dyDescent="0.25">
      <c r="A174" s="56" t="s">
        <v>258</v>
      </c>
      <c r="B174" s="24">
        <v>7</v>
      </c>
      <c r="C174" s="24" t="s">
        <v>910</v>
      </c>
      <c r="D174" s="24">
        <v>8995</v>
      </c>
      <c r="E174" s="24">
        <v>10841</v>
      </c>
      <c r="F174" s="24">
        <v>1846</v>
      </c>
      <c r="G174" s="91"/>
    </row>
    <row r="175" spans="1:15" x14ac:dyDescent="0.25">
      <c r="A175" s="56"/>
      <c r="B175" s="24">
        <v>8</v>
      </c>
      <c r="C175" s="24" t="s">
        <v>910</v>
      </c>
      <c r="D175" s="24">
        <v>10841</v>
      </c>
      <c r="E175" s="24">
        <v>12818</v>
      </c>
      <c r="F175" s="24">
        <v>1977</v>
      </c>
      <c r="G175" s="91"/>
    </row>
    <row r="176" spans="1:15" x14ac:dyDescent="0.25">
      <c r="A176" s="56"/>
      <c r="B176" s="24">
        <v>9</v>
      </c>
      <c r="C176" s="24" t="s">
        <v>910</v>
      </c>
      <c r="D176" s="24">
        <v>12818</v>
      </c>
      <c r="E176" s="24">
        <v>13887</v>
      </c>
      <c r="F176" s="27">
        <v>1069</v>
      </c>
      <c r="G176" s="91"/>
    </row>
    <row r="177" spans="1:15" x14ac:dyDescent="0.25">
      <c r="A177" s="56"/>
      <c r="B177" s="24">
        <v>10</v>
      </c>
      <c r="C177" s="24" t="s">
        <v>910</v>
      </c>
      <c r="D177" s="24">
        <v>13887</v>
      </c>
      <c r="E177" s="24">
        <v>15541</v>
      </c>
      <c r="F177" s="24">
        <v>1654</v>
      </c>
      <c r="G177" s="91"/>
    </row>
    <row r="178" spans="1:15" x14ac:dyDescent="0.25">
      <c r="A178" s="56"/>
      <c r="B178" s="24">
        <v>11</v>
      </c>
      <c r="C178" s="24" t="s">
        <v>910</v>
      </c>
      <c r="D178" s="24">
        <v>15541</v>
      </c>
      <c r="E178" s="24">
        <v>17248</v>
      </c>
      <c r="F178" s="24">
        <v>1707</v>
      </c>
      <c r="G178" s="91"/>
    </row>
    <row r="179" spans="1:15" x14ac:dyDescent="0.25">
      <c r="A179" s="56"/>
      <c r="B179" s="24">
        <v>12</v>
      </c>
      <c r="C179" s="24" t="s">
        <v>910</v>
      </c>
      <c r="D179" s="24">
        <v>17248</v>
      </c>
      <c r="E179" s="24">
        <v>19451</v>
      </c>
      <c r="F179" s="24">
        <v>2203</v>
      </c>
      <c r="G179" s="91"/>
    </row>
    <row r="180" spans="1:15" x14ac:dyDescent="0.25">
      <c r="A180" s="56"/>
      <c r="B180" s="24">
        <v>13</v>
      </c>
      <c r="C180" s="24" t="s">
        <v>910</v>
      </c>
      <c r="D180" s="24">
        <v>20347</v>
      </c>
      <c r="E180" s="24">
        <v>23078</v>
      </c>
      <c r="F180" s="24">
        <v>2731</v>
      </c>
      <c r="G180" s="91"/>
    </row>
    <row r="181" spans="1:15" x14ac:dyDescent="0.25">
      <c r="A181" s="56"/>
      <c r="B181" s="24">
        <v>14</v>
      </c>
      <c r="C181" s="24" t="s">
        <v>910</v>
      </c>
      <c r="D181" s="91">
        <v>23078</v>
      </c>
      <c r="E181" s="91">
        <v>25226</v>
      </c>
      <c r="F181" s="91">
        <v>2148</v>
      </c>
      <c r="G181" s="91"/>
    </row>
    <row r="182" spans="1:15" x14ac:dyDescent="0.25">
      <c r="A182" s="56"/>
      <c r="G182" s="56"/>
    </row>
    <row r="183" spans="1:15" x14ac:dyDescent="0.25">
      <c r="A183" s="56" t="s">
        <v>723</v>
      </c>
      <c r="B183" s="24" t="s">
        <v>42</v>
      </c>
      <c r="C183" s="24" t="s">
        <v>724</v>
      </c>
      <c r="D183" s="24" t="s">
        <v>680</v>
      </c>
      <c r="E183" s="24" t="s">
        <v>681</v>
      </c>
      <c r="F183" s="24" t="s">
        <v>725</v>
      </c>
      <c r="G183" s="24" t="s">
        <v>93</v>
      </c>
      <c r="K183" s="53" t="s">
        <v>878</v>
      </c>
      <c r="L183" s="24"/>
      <c r="M183" s="24"/>
      <c r="N183" s="24"/>
      <c r="O183" s="24" t="s">
        <v>724</v>
      </c>
    </row>
    <row r="184" spans="1:15" x14ac:dyDescent="0.25">
      <c r="A184" s="56"/>
      <c r="B184" s="24" t="s">
        <v>679</v>
      </c>
      <c r="C184" s="24" t="s">
        <v>912</v>
      </c>
      <c r="D184" s="24">
        <v>25040</v>
      </c>
      <c r="E184" s="24">
        <v>23302</v>
      </c>
      <c r="F184" s="24">
        <v>1739</v>
      </c>
      <c r="G184" s="91"/>
      <c r="K184" s="47" t="s">
        <v>913</v>
      </c>
      <c r="O184" s="20" t="s">
        <v>914</v>
      </c>
    </row>
    <row r="185" spans="1:15" x14ac:dyDescent="0.25">
      <c r="A185" s="56"/>
      <c r="B185" s="24">
        <v>2</v>
      </c>
      <c r="C185" s="24" t="s">
        <v>912</v>
      </c>
      <c r="D185" s="24">
        <v>23302</v>
      </c>
      <c r="E185" s="24">
        <v>21055</v>
      </c>
      <c r="F185" s="24">
        <v>2247</v>
      </c>
      <c r="G185" s="91"/>
      <c r="K185" s="47" t="s">
        <v>911</v>
      </c>
    </row>
    <row r="186" spans="1:15" x14ac:dyDescent="0.25">
      <c r="A186" s="56"/>
      <c r="B186" s="24">
        <v>3</v>
      </c>
      <c r="C186" s="24" t="s">
        <v>912</v>
      </c>
      <c r="D186" s="24">
        <v>21055</v>
      </c>
      <c r="E186" s="24">
        <v>19063</v>
      </c>
      <c r="F186" s="24">
        <v>1992</v>
      </c>
      <c r="G186" s="91"/>
    </row>
    <row r="187" spans="1:15" x14ac:dyDescent="0.25">
      <c r="A187" s="56"/>
      <c r="B187" s="24">
        <v>4</v>
      </c>
      <c r="C187" s="24" t="s">
        <v>912</v>
      </c>
      <c r="D187" s="24">
        <v>19063</v>
      </c>
      <c r="E187" s="24">
        <v>17055</v>
      </c>
      <c r="F187" s="24">
        <v>2008</v>
      </c>
      <c r="G187" s="91"/>
    </row>
    <row r="188" spans="1:15" x14ac:dyDescent="0.25">
      <c r="A188" s="56"/>
      <c r="B188" s="24">
        <v>5</v>
      </c>
      <c r="C188" s="24" t="s">
        <v>912</v>
      </c>
      <c r="D188" s="24">
        <v>17055</v>
      </c>
      <c r="E188" s="24">
        <v>14811</v>
      </c>
      <c r="F188" s="24">
        <v>2244</v>
      </c>
      <c r="G188" s="91"/>
    </row>
    <row r="189" spans="1:15" x14ac:dyDescent="0.25">
      <c r="A189" s="91" t="s">
        <v>807</v>
      </c>
      <c r="B189" s="24">
        <v>6</v>
      </c>
      <c r="C189" s="24" t="s">
        <v>912</v>
      </c>
      <c r="D189" s="24">
        <v>14811</v>
      </c>
      <c r="E189" s="24">
        <v>13429</v>
      </c>
      <c r="F189" s="27">
        <v>1382</v>
      </c>
      <c r="G189" s="91"/>
      <c r="I189" s="20">
        <v>12</v>
      </c>
    </row>
    <row r="190" spans="1:15" x14ac:dyDescent="0.25">
      <c r="A190" s="56" t="s">
        <v>255</v>
      </c>
      <c r="B190" s="24">
        <v>7</v>
      </c>
      <c r="C190" s="24" t="s">
        <v>912</v>
      </c>
      <c r="D190" s="24">
        <v>13429</v>
      </c>
      <c r="E190" s="24">
        <v>11233</v>
      </c>
      <c r="F190" s="24">
        <v>2196</v>
      </c>
      <c r="G190" s="91"/>
    </row>
    <row r="191" spans="1:15" x14ac:dyDescent="0.25">
      <c r="A191" s="56"/>
      <c r="B191" s="24">
        <v>8</v>
      </c>
      <c r="C191" s="24" t="s">
        <v>912</v>
      </c>
      <c r="D191" s="24">
        <v>11233</v>
      </c>
      <c r="E191" s="24">
        <v>9168</v>
      </c>
      <c r="F191" s="24">
        <v>2065</v>
      </c>
      <c r="G191" s="91"/>
    </row>
    <row r="192" spans="1:15" x14ac:dyDescent="0.25">
      <c r="A192" s="56"/>
      <c r="B192" s="24">
        <v>9</v>
      </c>
      <c r="C192" s="24" t="s">
        <v>912</v>
      </c>
      <c r="D192" s="24">
        <v>9168</v>
      </c>
      <c r="E192" s="24">
        <v>7404</v>
      </c>
      <c r="F192" s="24">
        <v>1764</v>
      </c>
      <c r="G192" s="91"/>
    </row>
    <row r="193" spans="1:7" x14ac:dyDescent="0.25">
      <c r="A193" s="56"/>
      <c r="B193" s="24">
        <v>10</v>
      </c>
      <c r="C193" s="24" t="s">
        <v>912</v>
      </c>
      <c r="D193" s="24">
        <v>7404</v>
      </c>
      <c r="E193" s="24">
        <v>5193</v>
      </c>
      <c r="F193" s="24">
        <v>2211</v>
      </c>
      <c r="G193" s="91"/>
    </row>
    <row r="194" spans="1:7" x14ac:dyDescent="0.25">
      <c r="A194" s="56"/>
      <c r="B194" s="24">
        <v>11</v>
      </c>
      <c r="C194" s="24" t="s">
        <v>912</v>
      </c>
      <c r="D194" s="24">
        <v>5193</v>
      </c>
      <c r="E194" s="24">
        <v>3403</v>
      </c>
      <c r="F194" s="24">
        <v>1790</v>
      </c>
      <c r="G194" s="91"/>
    </row>
    <row r="195" spans="1:7" x14ac:dyDescent="0.25">
      <c r="A195" s="56"/>
      <c r="B195" s="24">
        <v>12</v>
      </c>
      <c r="C195" s="24" t="s">
        <v>912</v>
      </c>
      <c r="D195" s="24">
        <v>3403</v>
      </c>
      <c r="E195" s="24">
        <v>1426</v>
      </c>
      <c r="F195" s="24">
        <v>1977</v>
      </c>
      <c r="G195" s="91"/>
    </row>
    <row r="196" spans="1:7" x14ac:dyDescent="0.25">
      <c r="A196" s="56"/>
      <c r="B196" s="24">
        <v>13</v>
      </c>
      <c r="C196" s="24" t="s">
        <v>912</v>
      </c>
      <c r="D196" s="24">
        <v>1426</v>
      </c>
      <c r="E196" s="24">
        <v>561</v>
      </c>
      <c r="F196" s="27">
        <v>865</v>
      </c>
      <c r="G196" s="91"/>
    </row>
    <row r="197" spans="1:7" x14ac:dyDescent="0.25">
      <c r="A197" s="56"/>
      <c r="B197" s="24">
        <v>14</v>
      </c>
      <c r="C197" s="24" t="s">
        <v>912</v>
      </c>
      <c r="D197" s="91">
        <v>561</v>
      </c>
      <c r="E197" s="91">
        <v>0</v>
      </c>
      <c r="F197" s="80">
        <v>561</v>
      </c>
      <c r="G197" s="91"/>
    </row>
  </sheetData>
  <pageMargins left="0.25" right="0.25" top="0.75" bottom="0.75" header="0.3" footer="0.3"/>
  <pageSetup paperSize="257" scale="88" fitToHeight="0" orientation="landscape" verticalDpi="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E4B3-1ACA-44C7-B883-697E021BBAC2}">
  <sheetPr>
    <pageSetUpPr fitToPage="1"/>
  </sheetPr>
  <dimension ref="A2:P209"/>
  <sheetViews>
    <sheetView windowProtection="1" tabSelected="1" topLeftCell="A183" workbookViewId="0">
      <selection activeCell="G194" sqref="G194"/>
    </sheetView>
  </sheetViews>
  <sheetFormatPr defaultRowHeight="15" x14ac:dyDescent="0.25"/>
  <cols>
    <col min="1" max="1" width="20.7109375" customWidth="1"/>
    <col min="3" max="3" width="16.7109375" customWidth="1"/>
    <col min="4" max="7" width="24.7109375" style="56" customWidth="1"/>
    <col min="8" max="8" width="16.7109375" customWidth="1"/>
    <col min="10" max="10" width="9.140625" style="20"/>
    <col min="12" max="12" width="20.7109375" style="47" customWidth="1"/>
    <col min="13" max="15" width="20.7109375" style="20" customWidth="1"/>
    <col min="16" max="16" width="16.7109375" style="20" customWidth="1"/>
  </cols>
  <sheetData>
    <row r="2" spans="1:16" s="251" customFormat="1" ht="24.95" customHeight="1" x14ac:dyDescent="0.25">
      <c r="A2" s="252"/>
      <c r="C2" s="252" t="s">
        <v>875</v>
      </c>
      <c r="D2" s="174"/>
      <c r="E2" s="174"/>
      <c r="F2" s="174"/>
      <c r="G2" s="174"/>
      <c r="H2" s="252"/>
      <c r="J2" s="174"/>
      <c r="L2" s="252"/>
      <c r="M2" s="174"/>
      <c r="N2" s="174"/>
      <c r="O2" s="174"/>
      <c r="P2" s="174"/>
    </row>
    <row r="3" spans="1:16" x14ac:dyDescent="0.25">
      <c r="A3" s="56"/>
      <c r="B3" s="172"/>
      <c r="C3" s="173"/>
      <c r="D3" s="173"/>
      <c r="E3" s="173"/>
      <c r="F3" s="173"/>
      <c r="G3" s="173"/>
      <c r="H3" s="56"/>
    </row>
    <row r="4" spans="1:16" x14ac:dyDescent="0.25">
      <c r="A4" s="56"/>
      <c r="B4" s="172"/>
      <c r="C4" s="173"/>
      <c r="D4" s="173"/>
      <c r="E4" s="173"/>
      <c r="F4" s="173"/>
      <c r="G4" s="173"/>
      <c r="H4" s="56"/>
    </row>
    <row r="5" spans="1:16" x14ac:dyDescent="0.25">
      <c r="A5" s="56"/>
      <c r="B5" s="172"/>
      <c r="C5" s="173"/>
      <c r="D5" s="173"/>
      <c r="E5" s="173"/>
      <c r="F5" s="173"/>
      <c r="G5" s="173"/>
      <c r="H5" s="56"/>
    </row>
    <row r="6" spans="1:16" x14ac:dyDescent="0.25">
      <c r="A6" s="56"/>
      <c r="B6" s="56"/>
      <c r="C6" s="56"/>
      <c r="H6" s="56"/>
    </row>
    <row r="7" spans="1:16" x14ac:dyDescent="0.25">
      <c r="A7" s="56" t="s">
        <v>723</v>
      </c>
      <c r="B7" s="24" t="s">
        <v>42</v>
      </c>
      <c r="C7" s="24" t="s">
        <v>724</v>
      </c>
      <c r="D7" s="24" t="s">
        <v>680</v>
      </c>
      <c r="E7" s="24" t="s">
        <v>681</v>
      </c>
      <c r="F7" s="24" t="s">
        <v>725</v>
      </c>
      <c r="G7" s="24" t="s">
        <v>915</v>
      </c>
      <c r="H7" s="24" t="s">
        <v>93</v>
      </c>
      <c r="L7" s="53" t="s">
        <v>878</v>
      </c>
      <c r="M7" s="24"/>
      <c r="N7" s="24"/>
      <c r="O7" s="24"/>
      <c r="P7" s="24" t="s">
        <v>724</v>
      </c>
    </row>
    <row r="8" spans="1:16" x14ac:dyDescent="0.25">
      <c r="A8" s="56"/>
      <c r="B8" s="24" t="s">
        <v>679</v>
      </c>
      <c r="C8" s="24" t="s">
        <v>876</v>
      </c>
      <c r="D8" s="24">
        <v>0</v>
      </c>
      <c r="E8" s="24">
        <v>2001</v>
      </c>
      <c r="F8" s="24">
        <v>2001</v>
      </c>
      <c r="G8" s="268">
        <f>F8/$C$22</f>
        <v>83723849.372384936</v>
      </c>
      <c r="H8" s="91"/>
      <c r="L8" s="47" t="s">
        <v>881</v>
      </c>
      <c r="P8" s="20" t="s">
        <v>879</v>
      </c>
    </row>
    <row r="9" spans="1:16" x14ac:dyDescent="0.25">
      <c r="A9" s="56"/>
      <c r="B9" s="24">
        <v>2</v>
      </c>
      <c r="C9" s="24" t="s">
        <v>876</v>
      </c>
      <c r="D9" s="24">
        <v>2001</v>
      </c>
      <c r="E9" s="24">
        <v>3985</v>
      </c>
      <c r="F9" s="24">
        <v>1984</v>
      </c>
      <c r="G9" s="268">
        <f t="shared" ref="G9:G20" si="0">F9/$C$22</f>
        <v>83012552.301255226</v>
      </c>
      <c r="H9" s="91"/>
      <c r="L9" s="47" t="s">
        <v>885</v>
      </c>
    </row>
    <row r="10" spans="1:16" x14ac:dyDescent="0.25">
      <c r="A10" s="56"/>
      <c r="B10" s="24">
        <v>3</v>
      </c>
      <c r="C10" s="24" t="s">
        <v>876</v>
      </c>
      <c r="D10" s="24">
        <v>3985</v>
      </c>
      <c r="E10" s="24">
        <v>5983</v>
      </c>
      <c r="F10" s="24">
        <v>1998</v>
      </c>
      <c r="G10" s="268">
        <f t="shared" si="0"/>
        <v>83598326.35983263</v>
      </c>
      <c r="H10" s="91"/>
    </row>
    <row r="11" spans="1:16" x14ac:dyDescent="0.25">
      <c r="A11" s="56"/>
      <c r="B11" s="24">
        <v>4</v>
      </c>
      <c r="C11" s="24" t="s">
        <v>876</v>
      </c>
      <c r="D11" s="24">
        <v>5983</v>
      </c>
      <c r="E11" s="24">
        <v>7884</v>
      </c>
      <c r="F11" s="24">
        <v>1901</v>
      </c>
      <c r="G11" s="268">
        <f t="shared" si="0"/>
        <v>79539748.953974888</v>
      </c>
      <c r="H11" s="91"/>
    </row>
    <row r="12" spans="1:16" x14ac:dyDescent="0.25">
      <c r="A12" s="56"/>
      <c r="B12" s="24">
        <v>5</v>
      </c>
      <c r="C12" s="24" t="s">
        <v>876</v>
      </c>
      <c r="D12" s="24">
        <v>7884</v>
      </c>
      <c r="E12" s="24">
        <v>9810</v>
      </c>
      <c r="F12" s="24">
        <v>1926</v>
      </c>
      <c r="G12" s="268">
        <f t="shared" si="0"/>
        <v>80585774.058577403</v>
      </c>
      <c r="H12" s="91"/>
    </row>
    <row r="13" spans="1:16" x14ac:dyDescent="0.25">
      <c r="A13" s="91" t="s">
        <v>826</v>
      </c>
      <c r="B13" s="24">
        <v>6</v>
      </c>
      <c r="C13" s="24" t="s">
        <v>876</v>
      </c>
      <c r="D13" s="24">
        <v>9810</v>
      </c>
      <c r="E13" s="24">
        <v>11707</v>
      </c>
      <c r="F13" s="24">
        <v>1897</v>
      </c>
      <c r="G13" s="268">
        <f t="shared" si="0"/>
        <v>79372384.937238485</v>
      </c>
      <c r="H13" s="91"/>
      <c r="J13" s="20">
        <v>1</v>
      </c>
    </row>
    <row r="14" spans="1:16" x14ac:dyDescent="0.25">
      <c r="A14" s="56" t="s">
        <v>589</v>
      </c>
      <c r="B14" s="24">
        <v>7</v>
      </c>
      <c r="C14" s="24" t="s">
        <v>876</v>
      </c>
      <c r="D14" s="24">
        <v>11707</v>
      </c>
      <c r="E14" s="24">
        <v>13487</v>
      </c>
      <c r="F14" s="24">
        <v>1780</v>
      </c>
      <c r="G14" s="268">
        <f t="shared" si="0"/>
        <v>74476987.447698742</v>
      </c>
      <c r="H14" s="91"/>
    </row>
    <row r="15" spans="1:16" x14ac:dyDescent="0.25">
      <c r="A15" s="56"/>
      <c r="B15" s="24">
        <v>8</v>
      </c>
      <c r="C15" s="24" t="s">
        <v>876</v>
      </c>
      <c r="D15" s="24">
        <v>13487</v>
      </c>
      <c r="E15" s="24">
        <v>15476</v>
      </c>
      <c r="F15" s="24">
        <v>1989</v>
      </c>
      <c r="G15" s="268">
        <f t="shared" si="0"/>
        <v>83221757.322175726</v>
      </c>
      <c r="H15" s="91"/>
    </row>
    <row r="16" spans="1:16" x14ac:dyDescent="0.25">
      <c r="A16" s="56"/>
      <c r="B16" s="24">
        <v>9</v>
      </c>
      <c r="C16" s="24" t="s">
        <v>876</v>
      </c>
      <c r="D16" s="24">
        <v>15476</v>
      </c>
      <c r="E16" s="24">
        <v>17507</v>
      </c>
      <c r="F16" s="24">
        <v>2031</v>
      </c>
      <c r="G16" s="268">
        <f t="shared" si="0"/>
        <v>84979079.497907951</v>
      </c>
      <c r="H16" s="91"/>
    </row>
    <row r="17" spans="1:16" x14ac:dyDescent="0.25">
      <c r="A17" s="56"/>
      <c r="B17" s="24">
        <v>10</v>
      </c>
      <c r="C17" s="24" t="s">
        <v>876</v>
      </c>
      <c r="D17" s="24">
        <v>17507</v>
      </c>
      <c r="E17" s="24">
        <v>19056</v>
      </c>
      <c r="F17" s="41">
        <v>1549</v>
      </c>
      <c r="G17" s="268">
        <f t="shared" si="0"/>
        <v>64811715.481171541</v>
      </c>
      <c r="H17" s="91"/>
    </row>
    <row r="18" spans="1:16" x14ac:dyDescent="0.25">
      <c r="A18" s="56"/>
      <c r="B18" s="24">
        <v>11</v>
      </c>
      <c r="C18" s="24" t="s">
        <v>876</v>
      </c>
      <c r="D18" s="24">
        <v>19056</v>
      </c>
      <c r="E18" s="24">
        <v>20934</v>
      </c>
      <c r="F18" s="24">
        <v>1878</v>
      </c>
      <c r="G18" s="268">
        <f t="shared" si="0"/>
        <v>78577405.857740581</v>
      </c>
      <c r="H18" s="91"/>
    </row>
    <row r="19" spans="1:16" x14ac:dyDescent="0.25">
      <c r="A19" s="56"/>
      <c r="B19" s="24">
        <v>12</v>
      </c>
      <c r="C19" s="24" t="s">
        <v>876</v>
      </c>
      <c r="D19" s="24">
        <v>20934</v>
      </c>
      <c r="E19" s="24">
        <v>23101</v>
      </c>
      <c r="F19" s="24">
        <v>2167</v>
      </c>
      <c r="G19" s="268">
        <f t="shared" si="0"/>
        <v>90669456.066945598</v>
      </c>
      <c r="H19" s="91"/>
    </row>
    <row r="20" spans="1:16" x14ac:dyDescent="0.25">
      <c r="A20" s="56"/>
      <c r="B20" s="24">
        <v>13</v>
      </c>
      <c r="C20" s="24" t="s">
        <v>876</v>
      </c>
      <c r="D20" s="24">
        <v>23101</v>
      </c>
      <c r="E20" s="24">
        <v>25161</v>
      </c>
      <c r="F20" s="24">
        <v>2060</v>
      </c>
      <c r="G20" s="268">
        <f t="shared" si="0"/>
        <v>86192468.619246855</v>
      </c>
      <c r="H20" s="91"/>
    </row>
    <row r="21" spans="1:16" x14ac:dyDescent="0.25">
      <c r="A21" s="56"/>
      <c r="B21" s="24">
        <v>14</v>
      </c>
      <c r="C21" s="24" t="s">
        <v>877</v>
      </c>
      <c r="D21" s="91"/>
      <c r="E21" s="91"/>
      <c r="F21" s="91"/>
      <c r="G21" s="91"/>
      <c r="H21" s="91"/>
    </row>
    <row r="22" spans="1:16" x14ac:dyDescent="0.25">
      <c r="A22" s="56"/>
      <c r="B22" s="265"/>
      <c r="C22" s="268">
        <v>2.3900000000000002E-5</v>
      </c>
      <c r="D22" s="266"/>
      <c r="E22" s="266"/>
      <c r="F22" s="266"/>
      <c r="G22" s="266"/>
      <c r="H22" s="266"/>
    </row>
    <row r="23" spans="1:16" x14ac:dyDescent="0.25">
      <c r="A23" s="56"/>
      <c r="C23" s="24"/>
      <c r="H23" s="56"/>
    </row>
    <row r="24" spans="1:16" x14ac:dyDescent="0.25">
      <c r="A24" s="56" t="s">
        <v>723</v>
      </c>
      <c r="B24" s="24" t="s">
        <v>42</v>
      </c>
      <c r="C24" s="24" t="s">
        <v>724</v>
      </c>
      <c r="D24" s="24" t="s">
        <v>680</v>
      </c>
      <c r="E24" s="24" t="s">
        <v>681</v>
      </c>
      <c r="F24" s="24" t="s">
        <v>725</v>
      </c>
      <c r="G24" s="24" t="s">
        <v>915</v>
      </c>
      <c r="H24" s="24" t="s">
        <v>93</v>
      </c>
      <c r="L24" s="53" t="s">
        <v>878</v>
      </c>
      <c r="M24" s="24"/>
      <c r="N24" s="24"/>
      <c r="O24" s="24"/>
      <c r="P24" s="24" t="s">
        <v>724</v>
      </c>
    </row>
    <row r="25" spans="1:16" x14ac:dyDescent="0.25">
      <c r="A25" s="56"/>
      <c r="B25" s="24" t="s">
        <v>679</v>
      </c>
      <c r="C25" s="24" t="s">
        <v>880</v>
      </c>
      <c r="D25" s="24">
        <v>0</v>
      </c>
      <c r="E25" s="24">
        <v>2040</v>
      </c>
      <c r="F25" s="24">
        <v>2040</v>
      </c>
      <c r="G25" s="268">
        <f>F25/$C$39</f>
        <v>76691729.323308274</v>
      </c>
      <c r="H25" s="91"/>
      <c r="L25" s="47" t="s">
        <v>882</v>
      </c>
    </row>
    <row r="26" spans="1:16" x14ac:dyDescent="0.25">
      <c r="A26" s="56"/>
      <c r="B26" s="24">
        <v>2</v>
      </c>
      <c r="C26" s="24" t="s">
        <v>880</v>
      </c>
      <c r="D26" s="24">
        <v>2040</v>
      </c>
      <c r="E26" s="24">
        <v>4041</v>
      </c>
      <c r="F26" s="24">
        <v>2001</v>
      </c>
      <c r="G26" s="268">
        <f t="shared" ref="G26:G37" si="1">F26/$C$39</f>
        <v>75225563.909774438</v>
      </c>
      <c r="H26" s="91"/>
    </row>
    <row r="27" spans="1:16" x14ac:dyDescent="0.25">
      <c r="A27" s="56"/>
      <c r="B27" s="24">
        <v>3</v>
      </c>
      <c r="C27" s="24" t="s">
        <v>880</v>
      </c>
      <c r="D27" s="24">
        <v>4041</v>
      </c>
      <c r="E27" s="24">
        <v>5988</v>
      </c>
      <c r="F27" s="24">
        <v>1947</v>
      </c>
      <c r="G27" s="268">
        <f t="shared" si="1"/>
        <v>73195488.721804515</v>
      </c>
      <c r="H27" s="91"/>
    </row>
    <row r="28" spans="1:16" x14ac:dyDescent="0.25">
      <c r="A28" s="56"/>
      <c r="B28" s="24">
        <v>4</v>
      </c>
      <c r="C28" s="24" t="s">
        <v>880</v>
      </c>
      <c r="D28" s="24">
        <v>5988</v>
      </c>
      <c r="E28" s="24">
        <v>7949</v>
      </c>
      <c r="F28" s="24">
        <v>1961</v>
      </c>
      <c r="G28" s="268">
        <f t="shared" si="1"/>
        <v>73721804.511278197</v>
      </c>
      <c r="H28" s="91"/>
    </row>
    <row r="29" spans="1:16" x14ac:dyDescent="0.25">
      <c r="A29" s="56"/>
      <c r="B29" s="24">
        <v>5</v>
      </c>
      <c r="C29" s="24" t="s">
        <v>880</v>
      </c>
      <c r="D29" s="24">
        <v>7949</v>
      </c>
      <c r="E29" s="24">
        <v>9822</v>
      </c>
      <c r="F29" s="24">
        <v>1873</v>
      </c>
      <c r="G29" s="268">
        <f t="shared" si="1"/>
        <v>70413533.834586471</v>
      </c>
      <c r="H29" s="91"/>
    </row>
    <row r="30" spans="1:16" x14ac:dyDescent="0.25">
      <c r="A30" s="91" t="s">
        <v>810</v>
      </c>
      <c r="B30" s="24">
        <v>6</v>
      </c>
      <c r="C30" s="24" t="s">
        <v>880</v>
      </c>
      <c r="D30" s="24">
        <v>9822</v>
      </c>
      <c r="E30" s="24">
        <v>11728</v>
      </c>
      <c r="F30" s="24">
        <v>1906</v>
      </c>
      <c r="G30" s="268">
        <f t="shared" si="1"/>
        <v>71654135.33834587</v>
      </c>
      <c r="H30" s="91"/>
      <c r="J30" s="20">
        <v>2</v>
      </c>
    </row>
    <row r="31" spans="1:16" x14ac:dyDescent="0.25">
      <c r="A31" s="56" t="s">
        <v>252</v>
      </c>
      <c r="B31" s="24">
        <v>7</v>
      </c>
      <c r="C31" s="24" t="s">
        <v>880</v>
      </c>
      <c r="D31" s="24">
        <v>11728</v>
      </c>
      <c r="E31" s="24">
        <v>13610</v>
      </c>
      <c r="F31" s="24">
        <v>1882</v>
      </c>
      <c r="G31" s="268">
        <f t="shared" si="1"/>
        <v>70751879.69924812</v>
      </c>
      <c r="H31" s="91"/>
    </row>
    <row r="32" spans="1:16" x14ac:dyDescent="0.25">
      <c r="A32" s="56"/>
      <c r="B32" s="24">
        <v>8</v>
      </c>
      <c r="C32" s="24" t="s">
        <v>880</v>
      </c>
      <c r="D32" s="24">
        <v>13610</v>
      </c>
      <c r="E32" s="24">
        <v>15677</v>
      </c>
      <c r="F32" s="24">
        <v>2067</v>
      </c>
      <c r="G32" s="268">
        <f t="shared" si="1"/>
        <v>77706766.917293236</v>
      </c>
      <c r="H32" s="91"/>
    </row>
    <row r="33" spans="1:16" x14ac:dyDescent="0.25">
      <c r="A33" s="56"/>
      <c r="B33" s="24">
        <v>9</v>
      </c>
      <c r="C33" s="24" t="s">
        <v>880</v>
      </c>
      <c r="D33" s="24">
        <v>15677</v>
      </c>
      <c r="E33" s="24">
        <v>17571</v>
      </c>
      <c r="F33" s="24">
        <v>1894</v>
      </c>
      <c r="G33" s="268">
        <f t="shared" si="1"/>
        <v>71203007.518796995</v>
      </c>
      <c r="H33" s="91"/>
    </row>
    <row r="34" spans="1:16" x14ac:dyDescent="0.25">
      <c r="A34" s="56"/>
      <c r="B34" s="24">
        <v>10</v>
      </c>
      <c r="C34" s="24" t="s">
        <v>880</v>
      </c>
      <c r="D34" s="24">
        <v>17571</v>
      </c>
      <c r="E34" s="24">
        <v>19474</v>
      </c>
      <c r="F34" s="24">
        <v>1903</v>
      </c>
      <c r="G34" s="268">
        <f t="shared" si="1"/>
        <v>71541353.383458644</v>
      </c>
      <c r="H34" s="91"/>
    </row>
    <row r="35" spans="1:16" x14ac:dyDescent="0.25">
      <c r="A35" s="56"/>
      <c r="B35" s="24">
        <v>11</v>
      </c>
      <c r="C35" s="24" t="s">
        <v>880</v>
      </c>
      <c r="D35" s="24">
        <v>19474</v>
      </c>
      <c r="E35" s="24">
        <v>21253</v>
      </c>
      <c r="F35" s="24">
        <v>1779</v>
      </c>
      <c r="G35" s="268">
        <f t="shared" si="1"/>
        <v>66879699.2481203</v>
      </c>
      <c r="H35" s="91"/>
    </row>
    <row r="36" spans="1:16" x14ac:dyDescent="0.25">
      <c r="A36" s="56"/>
      <c r="B36" s="24">
        <v>12</v>
      </c>
      <c r="C36" s="24" t="s">
        <v>880</v>
      </c>
      <c r="D36" s="24">
        <v>21253</v>
      </c>
      <c r="E36" s="24">
        <v>23016</v>
      </c>
      <c r="F36" s="24">
        <v>1763</v>
      </c>
      <c r="G36" s="268">
        <f t="shared" si="1"/>
        <v>66278195.488721803</v>
      </c>
      <c r="H36" s="91"/>
    </row>
    <row r="37" spans="1:16" x14ac:dyDescent="0.25">
      <c r="A37" s="56"/>
      <c r="B37" s="24">
        <v>13</v>
      </c>
      <c r="C37" s="24" t="s">
        <v>880</v>
      </c>
      <c r="D37" s="24">
        <v>23016</v>
      </c>
      <c r="E37" s="24">
        <v>25092</v>
      </c>
      <c r="F37" s="24">
        <v>2076</v>
      </c>
      <c r="G37" s="268">
        <f t="shared" si="1"/>
        <v>78045112.781954885</v>
      </c>
      <c r="H37" s="91"/>
    </row>
    <row r="38" spans="1:16" x14ac:dyDescent="0.25">
      <c r="A38" s="56"/>
      <c r="B38" s="24">
        <v>14</v>
      </c>
      <c r="C38" s="24" t="s">
        <v>877</v>
      </c>
      <c r="D38" s="91"/>
      <c r="E38" s="91"/>
      <c r="F38" s="91"/>
      <c r="G38" s="91"/>
      <c r="H38" s="91"/>
    </row>
    <row r="39" spans="1:16" x14ac:dyDescent="0.25">
      <c r="A39" s="56"/>
      <c r="B39" s="265"/>
      <c r="C39" s="269">
        <v>2.6599999999999999E-5</v>
      </c>
      <c r="D39" s="266"/>
      <c r="E39" s="266"/>
      <c r="F39" s="266"/>
      <c r="G39" s="266"/>
      <c r="H39" s="266"/>
    </row>
    <row r="40" spans="1:16" x14ac:dyDescent="0.25">
      <c r="A40" s="56"/>
      <c r="H40" s="56"/>
    </row>
    <row r="41" spans="1:16" x14ac:dyDescent="0.25">
      <c r="A41" s="56" t="s">
        <v>723</v>
      </c>
      <c r="B41" s="24" t="s">
        <v>42</v>
      </c>
      <c r="C41" s="24" t="s">
        <v>724</v>
      </c>
      <c r="D41" s="24" t="s">
        <v>680</v>
      </c>
      <c r="E41" s="24" t="s">
        <v>681</v>
      </c>
      <c r="F41" s="24" t="s">
        <v>725</v>
      </c>
      <c r="G41" s="24" t="s">
        <v>915</v>
      </c>
      <c r="H41" s="24" t="s">
        <v>93</v>
      </c>
      <c r="L41" s="53" t="s">
        <v>878</v>
      </c>
      <c r="M41" s="24"/>
      <c r="N41" s="24"/>
      <c r="O41" s="24"/>
      <c r="P41" s="24" t="s">
        <v>724</v>
      </c>
    </row>
    <row r="42" spans="1:16" x14ac:dyDescent="0.25">
      <c r="A42" s="56"/>
      <c r="B42" s="24" t="s">
        <v>679</v>
      </c>
      <c r="C42" s="24" t="s">
        <v>883</v>
      </c>
      <c r="D42" s="24">
        <v>25172</v>
      </c>
      <c r="E42" s="24">
        <v>23223</v>
      </c>
      <c r="F42" s="24">
        <v>1949</v>
      </c>
      <c r="G42" s="268">
        <f>F42/$C$56</f>
        <v>148778625.95419848</v>
      </c>
      <c r="H42" s="91"/>
      <c r="L42" s="47" t="s">
        <v>881</v>
      </c>
      <c r="P42" s="20" t="s">
        <v>884</v>
      </c>
    </row>
    <row r="43" spans="1:16" x14ac:dyDescent="0.25">
      <c r="A43" s="56"/>
      <c r="B43" s="24">
        <v>2</v>
      </c>
      <c r="C43" s="24" t="s">
        <v>883</v>
      </c>
      <c r="D43" s="24">
        <v>23223</v>
      </c>
      <c r="E43" s="24">
        <v>21264</v>
      </c>
      <c r="F43" s="24">
        <v>1959</v>
      </c>
      <c r="G43" s="268">
        <f t="shared" ref="G43:G55" si="2">F43/$C$56</f>
        <v>149541984.73282441</v>
      </c>
      <c r="H43" s="91"/>
      <c r="L43" s="47" t="s">
        <v>905</v>
      </c>
    </row>
    <row r="44" spans="1:16" x14ac:dyDescent="0.25">
      <c r="A44" s="56"/>
      <c r="B44" s="24">
        <v>3</v>
      </c>
      <c r="C44" s="24" t="s">
        <v>883</v>
      </c>
      <c r="D44" s="24">
        <v>21264</v>
      </c>
      <c r="E44" s="24">
        <v>19156</v>
      </c>
      <c r="F44" s="24">
        <v>2108</v>
      </c>
      <c r="G44" s="268">
        <f t="shared" si="2"/>
        <v>160916030.53435114</v>
      </c>
      <c r="H44" s="91"/>
    </row>
    <row r="45" spans="1:16" x14ac:dyDescent="0.25">
      <c r="A45" s="56"/>
      <c r="B45" s="24">
        <v>4</v>
      </c>
      <c r="C45" s="24" t="s">
        <v>883</v>
      </c>
      <c r="D45" s="24">
        <v>19156</v>
      </c>
      <c r="E45" s="24">
        <v>16994</v>
      </c>
      <c r="F45" s="24">
        <v>2162</v>
      </c>
      <c r="G45" s="268">
        <f t="shared" si="2"/>
        <v>165038167.93893129</v>
      </c>
      <c r="H45" s="91"/>
    </row>
    <row r="46" spans="1:16" x14ac:dyDescent="0.25">
      <c r="A46" s="56"/>
      <c r="B46" s="24">
        <v>5</v>
      </c>
      <c r="C46" s="24" t="s">
        <v>883</v>
      </c>
      <c r="D46" s="24">
        <v>16994</v>
      </c>
      <c r="E46" s="24">
        <v>15708</v>
      </c>
      <c r="F46" s="27">
        <v>1286</v>
      </c>
      <c r="G46" s="268">
        <f t="shared" si="2"/>
        <v>98167938.931297705</v>
      </c>
      <c r="H46" s="91"/>
    </row>
    <row r="47" spans="1:16" x14ac:dyDescent="0.25">
      <c r="A47" s="91" t="s">
        <v>865</v>
      </c>
      <c r="B47" s="24">
        <v>6</v>
      </c>
      <c r="C47" s="24" t="s">
        <v>883</v>
      </c>
      <c r="D47" s="24">
        <v>15708</v>
      </c>
      <c r="E47" s="24">
        <v>14223</v>
      </c>
      <c r="F47" s="41">
        <v>1485</v>
      </c>
      <c r="G47" s="268">
        <f t="shared" si="2"/>
        <v>113358778.6259542</v>
      </c>
      <c r="H47" s="91"/>
      <c r="J47" s="20">
        <v>3</v>
      </c>
    </row>
    <row r="48" spans="1:16" x14ac:dyDescent="0.25">
      <c r="A48" s="56" t="s">
        <v>249</v>
      </c>
      <c r="B48" s="24">
        <v>7</v>
      </c>
      <c r="C48" s="24" t="s">
        <v>883</v>
      </c>
      <c r="D48" s="24">
        <v>14223</v>
      </c>
      <c r="E48" s="24">
        <v>12205</v>
      </c>
      <c r="F48" s="24">
        <v>2018</v>
      </c>
      <c r="G48" s="268">
        <f t="shared" si="2"/>
        <v>154045801.52671754</v>
      </c>
      <c r="H48" s="91"/>
    </row>
    <row r="49" spans="1:16" x14ac:dyDescent="0.25">
      <c r="A49" s="56"/>
      <c r="B49" s="24">
        <v>8</v>
      </c>
      <c r="C49" s="24" t="s">
        <v>883</v>
      </c>
      <c r="D49" s="24">
        <v>12205</v>
      </c>
      <c r="E49" s="24">
        <v>10394</v>
      </c>
      <c r="F49" s="24">
        <v>1811</v>
      </c>
      <c r="G49" s="268">
        <f t="shared" si="2"/>
        <v>138244274.80916029</v>
      </c>
      <c r="H49" s="91"/>
    </row>
    <row r="50" spans="1:16" x14ac:dyDescent="0.25">
      <c r="A50" s="56"/>
      <c r="B50" s="24">
        <v>9</v>
      </c>
      <c r="C50" s="24" t="s">
        <v>883</v>
      </c>
      <c r="D50" s="24">
        <v>10394</v>
      </c>
      <c r="E50" s="24">
        <v>8651</v>
      </c>
      <c r="F50" s="24">
        <v>1743</v>
      </c>
      <c r="G50" s="268">
        <f t="shared" si="2"/>
        <v>133053435.11450382</v>
      </c>
      <c r="H50" s="91"/>
    </row>
    <row r="51" spans="1:16" x14ac:dyDescent="0.25">
      <c r="A51" s="56"/>
      <c r="B51" s="24">
        <v>10</v>
      </c>
      <c r="C51" s="24" t="s">
        <v>883</v>
      </c>
      <c r="D51" s="24">
        <v>8651</v>
      </c>
      <c r="E51" s="24">
        <v>6862</v>
      </c>
      <c r="F51" s="24">
        <v>1789</v>
      </c>
      <c r="G51" s="268">
        <f t="shared" si="2"/>
        <v>136564885.49618322</v>
      </c>
      <c r="H51" s="91"/>
    </row>
    <row r="52" spans="1:16" x14ac:dyDescent="0.25">
      <c r="A52" s="56"/>
      <c r="B52" s="24">
        <v>11</v>
      </c>
      <c r="C52" s="24" t="s">
        <v>883</v>
      </c>
      <c r="D52" s="24">
        <v>6862</v>
      </c>
      <c r="E52" s="24">
        <v>5432</v>
      </c>
      <c r="F52" s="41">
        <v>1430</v>
      </c>
      <c r="G52" s="268">
        <f t="shared" si="2"/>
        <v>109160305.34351145</v>
      </c>
      <c r="H52" s="91"/>
    </row>
    <row r="53" spans="1:16" x14ac:dyDescent="0.25">
      <c r="A53" s="56"/>
      <c r="B53" s="24">
        <v>12</v>
      </c>
      <c r="C53" s="24" t="s">
        <v>883</v>
      </c>
      <c r="D53" s="24">
        <v>5432</v>
      </c>
      <c r="E53" s="24">
        <v>3921</v>
      </c>
      <c r="F53" s="41">
        <v>1511</v>
      </c>
      <c r="G53" s="268">
        <f t="shared" si="2"/>
        <v>115343511.45038168</v>
      </c>
      <c r="H53" s="91"/>
    </row>
    <row r="54" spans="1:16" x14ac:dyDescent="0.25">
      <c r="A54" s="56"/>
      <c r="B54" s="24">
        <v>13</v>
      </c>
      <c r="C54" s="24" t="s">
        <v>883</v>
      </c>
      <c r="D54" s="24">
        <v>3921</v>
      </c>
      <c r="E54" s="24">
        <v>1973</v>
      </c>
      <c r="F54" s="24">
        <v>1948</v>
      </c>
      <c r="G54" s="268">
        <f t="shared" si="2"/>
        <v>148702290.07633588</v>
      </c>
      <c r="H54" s="91"/>
    </row>
    <row r="55" spans="1:16" x14ac:dyDescent="0.25">
      <c r="A55" s="56"/>
      <c r="B55" s="24">
        <v>14</v>
      </c>
      <c r="C55" s="24" t="s">
        <v>883</v>
      </c>
      <c r="D55" s="91">
        <v>1973</v>
      </c>
      <c r="E55" s="91">
        <v>0</v>
      </c>
      <c r="F55" s="91">
        <v>1973</v>
      </c>
      <c r="G55" s="268">
        <f t="shared" si="2"/>
        <v>150610687.02290076</v>
      </c>
      <c r="H55" s="91"/>
    </row>
    <row r="56" spans="1:16" x14ac:dyDescent="0.25">
      <c r="A56" s="56"/>
      <c r="B56" s="265"/>
      <c r="C56" s="269">
        <v>1.31E-5</v>
      </c>
      <c r="D56" s="266"/>
      <c r="E56" s="266"/>
      <c r="F56" s="266"/>
      <c r="G56" s="266"/>
      <c r="H56" s="266"/>
    </row>
    <row r="57" spans="1:16" x14ac:dyDescent="0.25">
      <c r="A57" s="56"/>
      <c r="H57" s="56"/>
    </row>
    <row r="58" spans="1:16" x14ac:dyDescent="0.25">
      <c r="A58" s="56" t="s">
        <v>723</v>
      </c>
      <c r="B58" s="24" t="s">
        <v>42</v>
      </c>
      <c r="C58" s="24" t="s">
        <v>724</v>
      </c>
      <c r="D58" s="24" t="s">
        <v>680</v>
      </c>
      <c r="E58" s="24" t="s">
        <v>681</v>
      </c>
      <c r="F58" s="24" t="s">
        <v>725</v>
      </c>
      <c r="G58" s="24" t="s">
        <v>915</v>
      </c>
      <c r="H58" s="24" t="s">
        <v>93</v>
      </c>
      <c r="L58" s="53" t="s">
        <v>878</v>
      </c>
      <c r="M58" s="24"/>
      <c r="N58" s="24"/>
      <c r="O58" s="24"/>
      <c r="P58" s="24" t="s">
        <v>724</v>
      </c>
    </row>
    <row r="59" spans="1:16" x14ac:dyDescent="0.25">
      <c r="A59" s="56"/>
      <c r="B59" s="24" t="s">
        <v>679</v>
      </c>
      <c r="C59" s="24" t="s">
        <v>886</v>
      </c>
      <c r="D59" s="24">
        <v>25216</v>
      </c>
      <c r="E59" s="24">
        <v>23649</v>
      </c>
      <c r="F59" s="27">
        <v>1567</v>
      </c>
      <c r="G59" s="268">
        <f>F59/$C$73</f>
        <v>36273148.148148149</v>
      </c>
      <c r="H59" s="91"/>
      <c r="L59" s="47" t="s">
        <v>904</v>
      </c>
      <c r="P59" s="20" t="s">
        <v>887</v>
      </c>
    </row>
    <row r="60" spans="1:16" x14ac:dyDescent="0.25">
      <c r="A60" s="56"/>
      <c r="B60" s="24">
        <v>2</v>
      </c>
      <c r="C60" s="24" t="s">
        <v>886</v>
      </c>
      <c r="D60" s="24">
        <v>23649</v>
      </c>
      <c r="E60" s="24">
        <v>22016</v>
      </c>
      <c r="F60" s="41">
        <v>1633</v>
      </c>
      <c r="G60" s="268">
        <f t="shared" ref="G60:G72" si="3">F60/$C$73</f>
        <v>37800925.925925925</v>
      </c>
      <c r="H60" s="91"/>
    </row>
    <row r="61" spans="1:16" x14ac:dyDescent="0.25">
      <c r="A61" s="56"/>
      <c r="B61" s="24">
        <v>3</v>
      </c>
      <c r="C61" s="24" t="s">
        <v>886</v>
      </c>
      <c r="D61" s="24">
        <v>22016</v>
      </c>
      <c r="E61" s="24">
        <v>20596</v>
      </c>
      <c r="F61" s="27">
        <v>1420</v>
      </c>
      <c r="G61" s="268">
        <f t="shared" si="3"/>
        <v>32870370.370370369</v>
      </c>
      <c r="H61" s="91"/>
    </row>
    <row r="62" spans="1:16" x14ac:dyDescent="0.25">
      <c r="A62" s="56"/>
      <c r="B62" s="24">
        <v>4</v>
      </c>
      <c r="C62" s="24" t="s">
        <v>886</v>
      </c>
      <c r="D62" s="24">
        <v>20596</v>
      </c>
      <c r="E62" s="24">
        <v>18573</v>
      </c>
      <c r="F62" s="24">
        <v>2023</v>
      </c>
      <c r="G62" s="268">
        <f t="shared" si="3"/>
        <v>46828703.703703701</v>
      </c>
      <c r="H62" s="91"/>
    </row>
    <row r="63" spans="1:16" x14ac:dyDescent="0.25">
      <c r="A63" s="56"/>
      <c r="B63" s="24">
        <v>5</v>
      </c>
      <c r="C63" s="24" t="s">
        <v>886</v>
      </c>
      <c r="D63" s="24">
        <v>18573</v>
      </c>
      <c r="E63" s="24">
        <v>18163</v>
      </c>
      <c r="F63" s="27">
        <v>406</v>
      </c>
      <c r="G63" s="268">
        <f t="shared" si="3"/>
        <v>9398148.1481481474</v>
      </c>
      <c r="H63" s="91"/>
    </row>
    <row r="64" spans="1:16" x14ac:dyDescent="0.25">
      <c r="A64" s="91" t="s">
        <v>863</v>
      </c>
      <c r="B64" s="24">
        <v>6</v>
      </c>
      <c r="C64" s="24" t="s">
        <v>886</v>
      </c>
      <c r="D64" s="24">
        <v>18163</v>
      </c>
      <c r="E64" s="24">
        <v>15992</v>
      </c>
      <c r="F64" s="24">
        <v>2171</v>
      </c>
      <c r="G64" s="268">
        <f t="shared" si="3"/>
        <v>50254629.629629627</v>
      </c>
      <c r="H64" s="91"/>
      <c r="J64" s="20">
        <v>4</v>
      </c>
    </row>
    <row r="65" spans="1:16" x14ac:dyDescent="0.25">
      <c r="A65" s="56" t="s">
        <v>257</v>
      </c>
      <c r="B65" s="24">
        <v>7</v>
      </c>
      <c r="C65" s="24" t="s">
        <v>886</v>
      </c>
      <c r="D65" s="24">
        <v>15992</v>
      </c>
      <c r="E65" s="24">
        <v>14318</v>
      </c>
      <c r="F65" s="41">
        <v>1674</v>
      </c>
      <c r="G65" s="268">
        <f t="shared" si="3"/>
        <v>38750000</v>
      </c>
      <c r="H65" s="91"/>
    </row>
    <row r="66" spans="1:16" x14ac:dyDescent="0.25">
      <c r="A66" s="56"/>
      <c r="B66" s="24">
        <v>8</v>
      </c>
      <c r="C66" s="24" t="s">
        <v>886</v>
      </c>
      <c r="D66" s="24">
        <v>14318</v>
      </c>
      <c r="E66" s="24">
        <v>12025</v>
      </c>
      <c r="F66" s="24">
        <v>2293</v>
      </c>
      <c r="G66" s="268">
        <f t="shared" si="3"/>
        <v>53078703.703703701</v>
      </c>
      <c r="H66" s="91"/>
    </row>
    <row r="67" spans="1:16" x14ac:dyDescent="0.25">
      <c r="A67" s="56"/>
      <c r="B67" s="24">
        <v>9</v>
      </c>
      <c r="C67" s="24" t="s">
        <v>886</v>
      </c>
      <c r="D67" s="24">
        <v>12025</v>
      </c>
      <c r="E67" s="24">
        <v>9988</v>
      </c>
      <c r="F67" s="24">
        <v>2037</v>
      </c>
      <c r="G67" s="268">
        <f t="shared" si="3"/>
        <v>47152777.777777776</v>
      </c>
      <c r="H67" s="91"/>
    </row>
    <row r="68" spans="1:16" x14ac:dyDescent="0.25">
      <c r="A68" s="56"/>
      <c r="B68" s="24">
        <v>10</v>
      </c>
      <c r="C68" s="24" t="s">
        <v>886</v>
      </c>
      <c r="D68" s="24">
        <v>9988</v>
      </c>
      <c r="E68" s="24">
        <v>7852</v>
      </c>
      <c r="F68" s="24">
        <v>2136</v>
      </c>
      <c r="G68" s="268">
        <f t="shared" si="3"/>
        <v>49444444.444444448</v>
      </c>
      <c r="H68" s="91"/>
    </row>
    <row r="69" spans="1:16" x14ac:dyDescent="0.25">
      <c r="A69" s="56"/>
      <c r="B69" s="24">
        <v>11</v>
      </c>
      <c r="C69" s="24" t="s">
        <v>886</v>
      </c>
      <c r="D69" s="24">
        <v>7852</v>
      </c>
      <c r="E69" s="24">
        <v>5866</v>
      </c>
      <c r="F69" s="24">
        <v>1986</v>
      </c>
      <c r="G69" s="268">
        <f t="shared" si="3"/>
        <v>45972222.222222224</v>
      </c>
      <c r="H69" s="91"/>
    </row>
    <row r="70" spans="1:16" x14ac:dyDescent="0.25">
      <c r="A70" s="56"/>
      <c r="B70" s="24">
        <v>12</v>
      </c>
      <c r="C70" s="24" t="s">
        <v>886</v>
      </c>
      <c r="D70" s="24">
        <v>5866</v>
      </c>
      <c r="E70" s="24">
        <v>3886</v>
      </c>
      <c r="F70" s="24">
        <v>1980</v>
      </c>
      <c r="G70" s="268">
        <f t="shared" si="3"/>
        <v>45833333.333333336</v>
      </c>
      <c r="H70" s="91"/>
    </row>
    <row r="71" spans="1:16" x14ac:dyDescent="0.25">
      <c r="A71" s="56"/>
      <c r="B71" s="24">
        <v>13</v>
      </c>
      <c r="C71" s="24" t="s">
        <v>886</v>
      </c>
      <c r="D71" s="24">
        <v>3886</v>
      </c>
      <c r="E71" s="24">
        <v>1735</v>
      </c>
      <c r="F71" s="24">
        <v>2151</v>
      </c>
      <c r="G71" s="268">
        <f t="shared" si="3"/>
        <v>49791666.666666664</v>
      </c>
      <c r="H71" s="91"/>
    </row>
    <row r="72" spans="1:16" x14ac:dyDescent="0.25">
      <c r="A72" s="56"/>
      <c r="B72" s="24">
        <v>14</v>
      </c>
      <c r="C72" s="24" t="s">
        <v>886</v>
      </c>
      <c r="D72" s="91">
        <v>1735</v>
      </c>
      <c r="E72" s="91">
        <v>0</v>
      </c>
      <c r="F72" s="91">
        <v>1735</v>
      </c>
      <c r="G72" s="268">
        <f t="shared" si="3"/>
        <v>40162037.037037037</v>
      </c>
      <c r="H72" s="91"/>
    </row>
    <row r="73" spans="1:16" x14ac:dyDescent="0.25">
      <c r="A73" s="56"/>
      <c r="B73" s="265"/>
      <c r="C73" s="269">
        <v>4.32E-5</v>
      </c>
      <c r="D73" s="266"/>
      <c r="E73" s="266"/>
      <c r="F73" s="266"/>
      <c r="G73" s="266"/>
      <c r="H73" s="266"/>
    </row>
    <row r="74" spans="1:16" x14ac:dyDescent="0.25">
      <c r="A74" s="56"/>
      <c r="H74" s="56"/>
    </row>
    <row r="75" spans="1:16" x14ac:dyDescent="0.25">
      <c r="A75" s="56" t="s">
        <v>723</v>
      </c>
      <c r="B75" s="24" t="s">
        <v>42</v>
      </c>
      <c r="C75" s="24" t="s">
        <v>724</v>
      </c>
      <c r="D75" s="24" t="s">
        <v>680</v>
      </c>
      <c r="E75" s="24" t="s">
        <v>681</v>
      </c>
      <c r="F75" s="24" t="s">
        <v>725</v>
      </c>
      <c r="G75" s="24" t="s">
        <v>915</v>
      </c>
      <c r="H75" s="24" t="s">
        <v>93</v>
      </c>
      <c r="L75" s="53" t="s">
        <v>878</v>
      </c>
      <c r="M75" s="24"/>
      <c r="N75" s="24"/>
      <c r="O75" s="24"/>
      <c r="P75" s="24" t="s">
        <v>724</v>
      </c>
    </row>
    <row r="76" spans="1:16" x14ac:dyDescent="0.25">
      <c r="A76" s="56"/>
      <c r="B76" s="24" t="s">
        <v>679</v>
      </c>
      <c r="C76" s="24" t="s">
        <v>888</v>
      </c>
      <c r="D76" s="24">
        <v>25441</v>
      </c>
      <c r="E76" s="24">
        <v>22948</v>
      </c>
      <c r="F76" s="24">
        <v>2493</v>
      </c>
      <c r="G76" s="268">
        <f>F76/$C$90</f>
        <v>2610471.2041884814</v>
      </c>
      <c r="H76" s="91"/>
      <c r="L76" s="47" t="s">
        <v>891</v>
      </c>
      <c r="P76" s="20" t="s">
        <v>893</v>
      </c>
    </row>
    <row r="77" spans="1:16" x14ac:dyDescent="0.25">
      <c r="A77" s="56"/>
      <c r="B77" s="24">
        <v>2</v>
      </c>
      <c r="C77" s="24" t="s">
        <v>888</v>
      </c>
      <c r="D77" s="24">
        <v>22948</v>
      </c>
      <c r="E77" s="24">
        <v>22931</v>
      </c>
      <c r="F77" s="27" t="s">
        <v>889</v>
      </c>
      <c r="G77" s="268">
        <f>17/$C$90</f>
        <v>17801.047120418847</v>
      </c>
      <c r="H77" s="91"/>
      <c r="L77" s="47" t="s">
        <v>892</v>
      </c>
      <c r="P77" s="20" t="s">
        <v>894</v>
      </c>
    </row>
    <row r="78" spans="1:16" x14ac:dyDescent="0.25">
      <c r="A78" s="56"/>
      <c r="B78" s="24">
        <v>3</v>
      </c>
      <c r="C78" s="24" t="s">
        <v>888</v>
      </c>
      <c r="D78" s="24">
        <v>22931</v>
      </c>
      <c r="E78" s="24">
        <v>20468</v>
      </c>
      <c r="F78" s="24">
        <v>2463</v>
      </c>
      <c r="G78" s="268">
        <f t="shared" ref="G77:G88" si="4">F78/$C$90</f>
        <v>2579057.5916230367</v>
      </c>
      <c r="H78" s="91"/>
    </row>
    <row r="79" spans="1:16" x14ac:dyDescent="0.25">
      <c r="A79" s="56"/>
      <c r="B79" s="24">
        <v>4</v>
      </c>
      <c r="C79" s="24" t="s">
        <v>888</v>
      </c>
      <c r="D79" s="24">
        <v>20468</v>
      </c>
      <c r="E79" s="24">
        <v>20468</v>
      </c>
      <c r="F79" s="27" t="s">
        <v>890</v>
      </c>
      <c r="G79" s="268">
        <f>0/$C$90</f>
        <v>0</v>
      </c>
      <c r="H79" s="91"/>
    </row>
    <row r="80" spans="1:16" x14ac:dyDescent="0.25">
      <c r="A80" s="56"/>
      <c r="B80" s="24">
        <v>5</v>
      </c>
      <c r="C80" s="24" t="s">
        <v>888</v>
      </c>
      <c r="D80" s="24">
        <v>20468</v>
      </c>
      <c r="E80" s="24">
        <v>17855</v>
      </c>
      <c r="F80" s="24">
        <v>2613</v>
      </c>
      <c r="G80" s="268">
        <f t="shared" si="4"/>
        <v>2736125.654450262</v>
      </c>
      <c r="H80" s="91"/>
    </row>
    <row r="81" spans="1:16" x14ac:dyDescent="0.25">
      <c r="A81" s="91" t="s">
        <v>796</v>
      </c>
      <c r="B81" s="24">
        <v>6</v>
      </c>
      <c r="C81" s="24" t="s">
        <v>888</v>
      </c>
      <c r="D81" s="24">
        <v>17855</v>
      </c>
      <c r="E81" s="24">
        <v>17855</v>
      </c>
      <c r="F81" s="27" t="s">
        <v>890</v>
      </c>
      <c r="G81" s="268">
        <f>0/$C$90</f>
        <v>0</v>
      </c>
      <c r="H81" s="91"/>
      <c r="J81" s="20">
        <v>5</v>
      </c>
    </row>
    <row r="82" spans="1:16" x14ac:dyDescent="0.25">
      <c r="A82" s="56" t="s">
        <v>253</v>
      </c>
      <c r="B82" s="24">
        <v>7</v>
      </c>
      <c r="C82" s="24" t="s">
        <v>888</v>
      </c>
      <c r="D82" s="24">
        <v>17855</v>
      </c>
      <c r="E82" s="24">
        <v>15305</v>
      </c>
      <c r="F82" s="24">
        <v>2550</v>
      </c>
      <c r="G82" s="268">
        <f t="shared" si="4"/>
        <v>2670157.068062827</v>
      </c>
      <c r="H82" s="91"/>
    </row>
    <row r="83" spans="1:16" x14ac:dyDescent="0.25">
      <c r="A83" s="56"/>
      <c r="B83" s="24">
        <v>8</v>
      </c>
      <c r="C83" s="24" t="s">
        <v>888</v>
      </c>
      <c r="D83" s="24">
        <v>15305</v>
      </c>
      <c r="E83" s="24">
        <v>12733</v>
      </c>
      <c r="F83" s="24">
        <v>2572</v>
      </c>
      <c r="G83" s="268">
        <f t="shared" si="4"/>
        <v>2693193.7172774868</v>
      </c>
      <c r="H83" s="91"/>
    </row>
    <row r="84" spans="1:16" x14ac:dyDescent="0.25">
      <c r="A84" s="56"/>
      <c r="B84" s="24">
        <v>9</v>
      </c>
      <c r="C84" s="24" t="s">
        <v>888</v>
      </c>
      <c r="D84" s="24">
        <v>12233</v>
      </c>
      <c r="E84" s="24">
        <v>10355</v>
      </c>
      <c r="F84" s="24">
        <v>1878</v>
      </c>
      <c r="G84" s="268">
        <f t="shared" si="4"/>
        <v>1966492.1465968585</v>
      </c>
      <c r="H84" s="91"/>
    </row>
    <row r="85" spans="1:16" x14ac:dyDescent="0.25">
      <c r="A85" s="56"/>
      <c r="B85" s="24">
        <v>10</v>
      </c>
      <c r="C85" s="24" t="s">
        <v>888</v>
      </c>
      <c r="D85" s="24">
        <v>10355</v>
      </c>
      <c r="E85" s="24">
        <v>7830</v>
      </c>
      <c r="F85" s="24">
        <v>2525</v>
      </c>
      <c r="G85" s="268">
        <f t="shared" si="4"/>
        <v>2643979.0575916232</v>
      </c>
      <c r="H85" s="91"/>
    </row>
    <row r="86" spans="1:16" x14ac:dyDescent="0.25">
      <c r="A86" s="56"/>
      <c r="B86" s="24">
        <v>11</v>
      </c>
      <c r="C86" s="24" t="s">
        <v>888</v>
      </c>
      <c r="D86" s="24">
        <v>7830</v>
      </c>
      <c r="E86" s="24">
        <v>5350</v>
      </c>
      <c r="F86" s="24">
        <v>2480</v>
      </c>
      <c r="G86" s="268">
        <f t="shared" si="4"/>
        <v>2596858.6387434555</v>
      </c>
      <c r="H86" s="91"/>
    </row>
    <row r="87" spans="1:16" x14ac:dyDescent="0.25">
      <c r="A87" s="56"/>
      <c r="B87" s="24">
        <v>12</v>
      </c>
      <c r="C87" s="24" t="s">
        <v>888</v>
      </c>
      <c r="D87" s="24">
        <v>5350</v>
      </c>
      <c r="E87" s="24">
        <v>2664</v>
      </c>
      <c r="F87" s="24">
        <v>2686</v>
      </c>
      <c r="G87" s="268">
        <f t="shared" si="4"/>
        <v>2812565.4450261779</v>
      </c>
      <c r="H87" s="91"/>
    </row>
    <row r="88" spans="1:16" x14ac:dyDescent="0.25">
      <c r="A88" s="56"/>
      <c r="B88" s="24">
        <v>13</v>
      </c>
      <c r="C88" s="24" t="s">
        <v>888</v>
      </c>
      <c r="D88" s="24">
        <v>2664</v>
      </c>
      <c r="E88" s="24">
        <v>0</v>
      </c>
      <c r="F88" s="24">
        <v>2664</v>
      </c>
      <c r="G88" s="268">
        <f t="shared" si="4"/>
        <v>2789528.7958115181</v>
      </c>
      <c r="H88" s="91"/>
    </row>
    <row r="89" spans="1:16" x14ac:dyDescent="0.25">
      <c r="A89" s="56"/>
      <c r="B89" s="24">
        <v>14</v>
      </c>
      <c r="C89" s="24" t="s">
        <v>877</v>
      </c>
      <c r="D89" s="91"/>
      <c r="E89" s="91"/>
      <c r="F89" s="91"/>
      <c r="G89" s="91"/>
      <c r="H89" s="91"/>
    </row>
    <row r="90" spans="1:16" x14ac:dyDescent="0.25">
      <c r="A90" s="56"/>
      <c r="B90" s="265"/>
      <c r="C90" s="269">
        <v>9.5500000000000001E-4</v>
      </c>
      <c r="D90" s="266"/>
      <c r="E90" s="266"/>
      <c r="F90" s="266"/>
      <c r="G90" s="266"/>
      <c r="H90" s="266"/>
    </row>
    <row r="91" spans="1:16" x14ac:dyDescent="0.25">
      <c r="A91" s="56"/>
      <c r="H91" s="56"/>
    </row>
    <row r="92" spans="1:16" x14ac:dyDescent="0.25">
      <c r="A92" s="56" t="s">
        <v>723</v>
      </c>
      <c r="B92" s="24" t="s">
        <v>42</v>
      </c>
      <c r="C92" s="24" t="s">
        <v>724</v>
      </c>
      <c r="D92" s="24" t="s">
        <v>680</v>
      </c>
      <c r="E92" s="24" t="s">
        <v>681</v>
      </c>
      <c r="F92" s="24" t="s">
        <v>725</v>
      </c>
      <c r="G92" s="24" t="s">
        <v>915</v>
      </c>
      <c r="H92" s="24" t="s">
        <v>93</v>
      </c>
      <c r="L92" s="53" t="s">
        <v>878</v>
      </c>
      <c r="M92" s="24"/>
      <c r="N92" s="24"/>
      <c r="O92" s="24"/>
      <c r="P92" s="24" t="s">
        <v>724</v>
      </c>
    </row>
    <row r="93" spans="1:16" x14ac:dyDescent="0.25">
      <c r="A93" s="56"/>
      <c r="B93" s="24" t="s">
        <v>679</v>
      </c>
      <c r="C93" s="24" t="s">
        <v>895</v>
      </c>
      <c r="D93" s="24">
        <v>25178</v>
      </c>
      <c r="E93" s="24">
        <v>23411</v>
      </c>
      <c r="F93" s="24">
        <v>1767</v>
      </c>
      <c r="G93" s="268">
        <f>F93/$C$107</f>
        <v>49357541.899441339</v>
      </c>
      <c r="H93" s="91"/>
      <c r="L93" s="47" t="s">
        <v>891</v>
      </c>
      <c r="P93" s="20" t="s">
        <v>896</v>
      </c>
    </row>
    <row r="94" spans="1:16" x14ac:dyDescent="0.25">
      <c r="A94" s="56"/>
      <c r="B94" s="24">
        <v>2</v>
      </c>
      <c r="C94" s="24" t="s">
        <v>895</v>
      </c>
      <c r="D94" s="24">
        <v>23411</v>
      </c>
      <c r="E94" s="24">
        <v>21585</v>
      </c>
      <c r="F94" s="24">
        <v>1826</v>
      </c>
      <c r="G94" s="268">
        <f t="shared" ref="G94:G106" si="5">F94/$C$107</f>
        <v>51005586.592178769</v>
      </c>
      <c r="H94" s="91"/>
      <c r="L94" s="47" t="s">
        <v>897</v>
      </c>
    </row>
    <row r="95" spans="1:16" x14ac:dyDescent="0.25">
      <c r="A95" s="56"/>
      <c r="B95" s="24">
        <v>3</v>
      </c>
      <c r="C95" s="24" t="s">
        <v>895</v>
      </c>
      <c r="D95" s="24">
        <v>21585</v>
      </c>
      <c r="E95" s="24">
        <v>19551</v>
      </c>
      <c r="F95" s="24">
        <v>2034</v>
      </c>
      <c r="G95" s="268">
        <f t="shared" si="5"/>
        <v>56815642.458100557</v>
      </c>
      <c r="H95" s="91"/>
      <c r="L95" s="47" t="s">
        <v>898</v>
      </c>
    </row>
    <row r="96" spans="1:16" x14ac:dyDescent="0.25">
      <c r="A96" s="56"/>
      <c r="B96" s="24">
        <v>4</v>
      </c>
      <c r="C96" s="24" t="s">
        <v>895</v>
      </c>
      <c r="D96" s="24">
        <v>19551</v>
      </c>
      <c r="E96" s="24">
        <v>17636</v>
      </c>
      <c r="F96" s="24">
        <v>1915</v>
      </c>
      <c r="G96" s="268">
        <f t="shared" si="5"/>
        <v>53491620.111731842</v>
      </c>
      <c r="H96" s="91"/>
    </row>
    <row r="97" spans="1:16" x14ac:dyDescent="0.25">
      <c r="A97" s="56"/>
      <c r="B97" s="24">
        <v>5</v>
      </c>
      <c r="C97" s="24" t="s">
        <v>895</v>
      </c>
      <c r="D97" s="24">
        <v>17636</v>
      </c>
      <c r="E97" s="24">
        <v>15488</v>
      </c>
      <c r="F97" s="24">
        <v>2148</v>
      </c>
      <c r="G97" s="268">
        <f t="shared" si="5"/>
        <v>59999999.999999993</v>
      </c>
      <c r="H97" s="91"/>
    </row>
    <row r="98" spans="1:16" x14ac:dyDescent="0.25">
      <c r="A98" s="91" t="s">
        <v>812</v>
      </c>
      <c r="B98" s="24">
        <v>6</v>
      </c>
      <c r="C98" s="24" t="s">
        <v>895</v>
      </c>
      <c r="D98" s="24">
        <v>15488</v>
      </c>
      <c r="E98" s="24">
        <v>13655</v>
      </c>
      <c r="F98" s="24">
        <v>1833</v>
      </c>
      <c r="G98" s="268">
        <f t="shared" si="5"/>
        <v>51201117.318435751</v>
      </c>
      <c r="H98" s="91"/>
      <c r="J98" s="20">
        <v>6</v>
      </c>
    </row>
    <row r="99" spans="1:16" x14ac:dyDescent="0.25">
      <c r="A99" s="56" t="s">
        <v>251</v>
      </c>
      <c r="B99" s="24">
        <v>7</v>
      </c>
      <c r="C99" s="24" t="s">
        <v>895</v>
      </c>
      <c r="D99" s="24">
        <v>13655</v>
      </c>
      <c r="E99" s="24">
        <v>12207</v>
      </c>
      <c r="F99" s="27">
        <v>1448</v>
      </c>
      <c r="G99" s="268">
        <f t="shared" si="5"/>
        <v>40446927.374301672</v>
      </c>
      <c r="H99" s="91"/>
    </row>
    <row r="100" spans="1:16" x14ac:dyDescent="0.25">
      <c r="A100" s="56"/>
      <c r="B100" s="24">
        <v>8</v>
      </c>
      <c r="C100" s="24" t="s">
        <v>895</v>
      </c>
      <c r="D100" s="24">
        <v>12207</v>
      </c>
      <c r="E100" s="24">
        <v>10111</v>
      </c>
      <c r="F100" s="24">
        <v>2096</v>
      </c>
      <c r="G100" s="268">
        <f t="shared" si="5"/>
        <v>58547486.033519551</v>
      </c>
      <c r="H100" s="91"/>
    </row>
    <row r="101" spans="1:16" x14ac:dyDescent="0.25">
      <c r="A101" s="56"/>
      <c r="B101" s="24">
        <v>9</v>
      </c>
      <c r="C101" s="24" t="s">
        <v>895</v>
      </c>
      <c r="D101" s="24">
        <v>10111</v>
      </c>
      <c r="E101" s="24">
        <v>8451</v>
      </c>
      <c r="F101" s="24">
        <v>1660</v>
      </c>
      <c r="G101" s="268">
        <f t="shared" si="5"/>
        <v>46368715.083798878</v>
      </c>
      <c r="H101" s="91"/>
    </row>
    <row r="102" spans="1:16" x14ac:dyDescent="0.25">
      <c r="A102" s="56"/>
      <c r="B102" s="24">
        <v>10</v>
      </c>
      <c r="C102" s="24" t="s">
        <v>895</v>
      </c>
      <c r="D102" s="24">
        <v>8451</v>
      </c>
      <c r="E102" s="24">
        <v>6247</v>
      </c>
      <c r="F102" s="24">
        <v>2204</v>
      </c>
      <c r="G102" s="268">
        <f t="shared" si="5"/>
        <v>61564245.810055859</v>
      </c>
      <c r="H102" s="91"/>
    </row>
    <row r="103" spans="1:16" x14ac:dyDescent="0.25">
      <c r="A103" s="56"/>
      <c r="B103" s="24">
        <v>11</v>
      </c>
      <c r="C103" s="24" t="s">
        <v>895</v>
      </c>
      <c r="D103" s="24">
        <v>6247</v>
      </c>
      <c r="E103" s="24">
        <v>4642</v>
      </c>
      <c r="F103" s="27">
        <v>1605</v>
      </c>
      <c r="G103" s="268">
        <f t="shared" si="5"/>
        <v>44832402.234636866</v>
      </c>
      <c r="H103" s="91"/>
    </row>
    <row r="104" spans="1:16" x14ac:dyDescent="0.25">
      <c r="A104" s="56"/>
      <c r="B104" s="24">
        <v>12</v>
      </c>
      <c r="C104" s="24" t="s">
        <v>895</v>
      </c>
      <c r="D104" s="24">
        <v>4642</v>
      </c>
      <c r="E104" s="24">
        <v>3334</v>
      </c>
      <c r="F104" s="27">
        <v>1308</v>
      </c>
      <c r="G104" s="268">
        <f t="shared" si="5"/>
        <v>36536312.849162005</v>
      </c>
      <c r="H104" s="91"/>
    </row>
    <row r="105" spans="1:16" x14ac:dyDescent="0.25">
      <c r="A105" s="56"/>
      <c r="B105" s="24">
        <v>13</v>
      </c>
      <c r="C105" s="24" t="s">
        <v>895</v>
      </c>
      <c r="D105" s="24">
        <v>3334</v>
      </c>
      <c r="E105" s="24">
        <v>1337</v>
      </c>
      <c r="F105" s="24">
        <v>1997</v>
      </c>
      <c r="G105" s="268">
        <f t="shared" si="5"/>
        <v>55782122.905027926</v>
      </c>
      <c r="H105" s="91"/>
    </row>
    <row r="106" spans="1:16" x14ac:dyDescent="0.25">
      <c r="A106" s="56"/>
      <c r="B106" s="24">
        <v>14</v>
      </c>
      <c r="C106" s="24" t="s">
        <v>895</v>
      </c>
      <c r="D106" s="91">
        <v>1337</v>
      </c>
      <c r="E106" s="91">
        <v>0</v>
      </c>
      <c r="F106" s="80">
        <v>1337</v>
      </c>
      <c r="G106" s="268">
        <f t="shared" si="5"/>
        <v>37346368.715083793</v>
      </c>
      <c r="H106" s="91"/>
    </row>
    <row r="107" spans="1:16" x14ac:dyDescent="0.25">
      <c r="A107" s="56"/>
      <c r="B107" s="265"/>
      <c r="C107" s="269">
        <v>3.5800000000000003E-5</v>
      </c>
      <c r="D107" s="266"/>
      <c r="E107" s="266"/>
      <c r="F107" s="267"/>
      <c r="G107" s="267"/>
      <c r="H107" s="266"/>
    </row>
    <row r="108" spans="1:16" x14ac:dyDescent="0.25">
      <c r="A108" s="56"/>
      <c r="H108" s="56"/>
    </row>
    <row r="109" spans="1:16" x14ac:dyDescent="0.25">
      <c r="A109" s="56" t="s">
        <v>723</v>
      </c>
      <c r="B109" s="24" t="s">
        <v>42</v>
      </c>
      <c r="C109" s="24" t="s">
        <v>724</v>
      </c>
      <c r="D109" s="24" t="s">
        <v>680</v>
      </c>
      <c r="E109" s="24" t="s">
        <v>681</v>
      </c>
      <c r="F109" s="24" t="s">
        <v>725</v>
      </c>
      <c r="G109" s="24" t="s">
        <v>915</v>
      </c>
      <c r="H109" s="24" t="s">
        <v>93</v>
      </c>
      <c r="L109" s="53" t="s">
        <v>878</v>
      </c>
      <c r="M109" s="24"/>
      <c r="N109" s="24"/>
      <c r="O109" s="24"/>
      <c r="P109" s="24" t="s">
        <v>724</v>
      </c>
    </row>
    <row r="110" spans="1:16" x14ac:dyDescent="0.25">
      <c r="A110" s="56"/>
      <c r="B110" s="24" t="s">
        <v>679</v>
      </c>
      <c r="C110" s="24" t="s">
        <v>899</v>
      </c>
      <c r="D110" s="24">
        <v>0</v>
      </c>
      <c r="E110" s="24">
        <v>1982</v>
      </c>
      <c r="F110" s="24">
        <v>1982</v>
      </c>
      <c r="G110" s="268">
        <f>F110/$C$124</f>
        <v>45354691.075514875</v>
      </c>
      <c r="H110" s="91"/>
      <c r="L110" s="47" t="s">
        <v>882</v>
      </c>
    </row>
    <row r="111" spans="1:16" x14ac:dyDescent="0.25">
      <c r="A111" s="56"/>
      <c r="B111" s="24">
        <v>2</v>
      </c>
      <c r="C111" s="24" t="s">
        <v>899</v>
      </c>
      <c r="D111" s="24">
        <v>1982</v>
      </c>
      <c r="E111" s="24">
        <v>3987</v>
      </c>
      <c r="F111" s="24">
        <v>2005</v>
      </c>
      <c r="G111" s="268">
        <f t="shared" ref="G111:G122" si="6">F111/$C$124</f>
        <v>45881006.864988558</v>
      </c>
      <c r="H111" s="91"/>
    </row>
    <row r="112" spans="1:16" x14ac:dyDescent="0.25">
      <c r="A112" s="56"/>
      <c r="B112" s="24">
        <v>3</v>
      </c>
      <c r="C112" s="24" t="s">
        <v>899</v>
      </c>
      <c r="D112" s="24">
        <v>3987</v>
      </c>
      <c r="E112" s="24">
        <v>5853</v>
      </c>
      <c r="F112" s="24">
        <v>1866</v>
      </c>
      <c r="G112" s="268">
        <f t="shared" si="6"/>
        <v>42700228.832951948</v>
      </c>
      <c r="H112" s="91"/>
    </row>
    <row r="113" spans="1:16" x14ac:dyDescent="0.25">
      <c r="A113" s="56"/>
      <c r="B113" s="24">
        <v>4</v>
      </c>
      <c r="C113" s="24" t="s">
        <v>899</v>
      </c>
      <c r="D113" s="24">
        <v>5853</v>
      </c>
      <c r="E113" s="24">
        <v>7698</v>
      </c>
      <c r="F113" s="24">
        <v>1845</v>
      </c>
      <c r="G113" s="268">
        <f t="shared" si="6"/>
        <v>42219679.633867279</v>
      </c>
      <c r="H113" s="91"/>
    </row>
    <row r="114" spans="1:16" x14ac:dyDescent="0.25">
      <c r="A114" s="56"/>
      <c r="B114" s="24">
        <v>5</v>
      </c>
      <c r="C114" s="24" t="s">
        <v>899</v>
      </c>
      <c r="D114" s="24">
        <v>7698</v>
      </c>
      <c r="E114" s="24">
        <v>9703</v>
      </c>
      <c r="F114" s="24">
        <v>2005</v>
      </c>
      <c r="G114" s="268">
        <f t="shared" si="6"/>
        <v>45881006.864988558</v>
      </c>
      <c r="H114" s="91"/>
    </row>
    <row r="115" spans="1:16" x14ac:dyDescent="0.25">
      <c r="A115" s="91" t="s">
        <v>817</v>
      </c>
      <c r="B115" s="24">
        <v>6</v>
      </c>
      <c r="C115" s="24" t="s">
        <v>899</v>
      </c>
      <c r="D115" s="24">
        <v>9703</v>
      </c>
      <c r="E115" s="24">
        <v>11722</v>
      </c>
      <c r="F115" s="24">
        <v>2019</v>
      </c>
      <c r="G115" s="268">
        <f t="shared" si="6"/>
        <v>46201372.997711673</v>
      </c>
      <c r="H115" s="91"/>
      <c r="J115" s="20">
        <v>7</v>
      </c>
    </row>
    <row r="116" spans="1:16" x14ac:dyDescent="0.25">
      <c r="A116" s="56" t="s">
        <v>250</v>
      </c>
      <c r="B116" s="24">
        <v>7</v>
      </c>
      <c r="C116" s="24" t="s">
        <v>899</v>
      </c>
      <c r="D116" s="24">
        <v>11722</v>
      </c>
      <c r="E116" s="24">
        <v>13562</v>
      </c>
      <c r="F116" s="24">
        <v>1840</v>
      </c>
      <c r="G116" s="268">
        <f t="shared" si="6"/>
        <v>42105263.157894738</v>
      </c>
      <c r="H116" s="91"/>
    </row>
    <row r="117" spans="1:16" x14ac:dyDescent="0.25">
      <c r="A117" s="56"/>
      <c r="B117" s="24">
        <v>8</v>
      </c>
      <c r="C117" s="24" t="s">
        <v>899</v>
      </c>
      <c r="D117" s="24">
        <v>13562</v>
      </c>
      <c r="E117" s="24">
        <v>15511</v>
      </c>
      <c r="F117" s="24">
        <v>1949</v>
      </c>
      <c r="G117" s="268">
        <f t="shared" si="6"/>
        <v>44599542.334096111</v>
      </c>
      <c r="H117" s="91"/>
    </row>
    <row r="118" spans="1:16" x14ac:dyDescent="0.25">
      <c r="A118" s="56"/>
      <c r="B118" s="24">
        <v>9</v>
      </c>
      <c r="C118" s="24" t="s">
        <v>899</v>
      </c>
      <c r="D118" s="24">
        <v>15511</v>
      </c>
      <c r="E118" s="24">
        <v>17452</v>
      </c>
      <c r="F118" s="24">
        <v>1941</v>
      </c>
      <c r="G118" s="268">
        <f t="shared" si="6"/>
        <v>44416475.972540051</v>
      </c>
      <c r="H118" s="91"/>
    </row>
    <row r="119" spans="1:16" x14ac:dyDescent="0.25">
      <c r="A119" s="56"/>
      <c r="B119" s="24">
        <v>10</v>
      </c>
      <c r="C119" s="24" t="s">
        <v>899</v>
      </c>
      <c r="D119" s="24">
        <v>17452</v>
      </c>
      <c r="E119" s="24">
        <v>19456</v>
      </c>
      <c r="F119" s="24">
        <v>2004</v>
      </c>
      <c r="G119" s="268">
        <f t="shared" si="6"/>
        <v>45858123.569794051</v>
      </c>
      <c r="H119" s="91"/>
    </row>
    <row r="120" spans="1:16" x14ac:dyDescent="0.25">
      <c r="A120" s="56"/>
      <c r="B120" s="24">
        <v>11</v>
      </c>
      <c r="C120" s="24" t="s">
        <v>899</v>
      </c>
      <c r="D120" s="24">
        <v>19456</v>
      </c>
      <c r="E120" s="24">
        <v>21391</v>
      </c>
      <c r="F120" s="24">
        <v>1935</v>
      </c>
      <c r="G120" s="268">
        <f t="shared" si="6"/>
        <v>44279176.201372996</v>
      </c>
      <c r="H120" s="91"/>
    </row>
    <row r="121" spans="1:16" x14ac:dyDescent="0.25">
      <c r="A121" s="56"/>
      <c r="B121" s="24">
        <v>12</v>
      </c>
      <c r="C121" s="24" t="s">
        <v>899</v>
      </c>
      <c r="D121" s="24">
        <v>21391</v>
      </c>
      <c r="E121" s="24">
        <v>23153</v>
      </c>
      <c r="F121" s="24">
        <v>1762</v>
      </c>
      <c r="G121" s="268">
        <f t="shared" si="6"/>
        <v>40320366.132723115</v>
      </c>
      <c r="H121" s="91"/>
    </row>
    <row r="122" spans="1:16" x14ac:dyDescent="0.25">
      <c r="A122" s="56"/>
      <c r="B122" s="24">
        <v>13</v>
      </c>
      <c r="C122" s="24" t="s">
        <v>899</v>
      </c>
      <c r="D122" s="24">
        <v>23153</v>
      </c>
      <c r="E122" s="24">
        <v>25168</v>
      </c>
      <c r="F122" s="24">
        <v>2015</v>
      </c>
      <c r="G122" s="268">
        <f t="shared" si="6"/>
        <v>46109839.816933639</v>
      </c>
      <c r="H122" s="91"/>
    </row>
    <row r="123" spans="1:16" x14ac:dyDescent="0.25">
      <c r="A123" s="56"/>
      <c r="B123" s="24">
        <v>14</v>
      </c>
      <c r="C123" s="24" t="s">
        <v>877</v>
      </c>
      <c r="D123" s="91"/>
      <c r="E123" s="91"/>
      <c r="F123" s="91"/>
      <c r="G123" s="91"/>
      <c r="H123" s="91"/>
    </row>
    <row r="124" spans="1:16" x14ac:dyDescent="0.25">
      <c r="A124" s="56"/>
      <c r="B124" s="265"/>
      <c r="C124" s="269">
        <v>4.3699999999999998E-5</v>
      </c>
      <c r="D124" s="266"/>
      <c r="E124" s="266"/>
      <c r="F124" s="266"/>
      <c r="G124" s="266"/>
      <c r="H124" s="266"/>
    </row>
    <row r="125" spans="1:16" x14ac:dyDescent="0.25">
      <c r="A125" s="56"/>
      <c r="H125" s="56"/>
    </row>
    <row r="126" spans="1:16" x14ac:dyDescent="0.25">
      <c r="A126" s="56" t="s">
        <v>723</v>
      </c>
      <c r="B126" s="24" t="s">
        <v>42</v>
      </c>
      <c r="C126" s="24" t="s">
        <v>724</v>
      </c>
      <c r="D126" s="24" t="s">
        <v>680</v>
      </c>
      <c r="E126" s="24" t="s">
        <v>681</v>
      </c>
      <c r="F126" s="24" t="s">
        <v>725</v>
      </c>
      <c r="G126" s="24" t="s">
        <v>915</v>
      </c>
      <c r="H126" s="24" t="s">
        <v>93</v>
      </c>
      <c r="L126" s="53" t="s">
        <v>878</v>
      </c>
      <c r="M126" s="24"/>
      <c r="N126" s="24"/>
      <c r="O126" s="24"/>
      <c r="P126" s="24" t="s">
        <v>724</v>
      </c>
    </row>
    <row r="127" spans="1:16" x14ac:dyDescent="0.25">
      <c r="A127" s="56"/>
      <c r="B127" s="24" t="s">
        <v>679</v>
      </c>
      <c r="C127" s="24" t="s">
        <v>900</v>
      </c>
      <c r="D127" s="24">
        <v>25076</v>
      </c>
      <c r="E127" s="24">
        <v>23281</v>
      </c>
      <c r="F127" s="24">
        <v>1795</v>
      </c>
      <c r="G127" s="268">
        <f>F127/$C$141</f>
        <v>72379032.258064523</v>
      </c>
      <c r="H127" s="91"/>
      <c r="L127" s="47" t="s">
        <v>882</v>
      </c>
    </row>
    <row r="128" spans="1:16" x14ac:dyDescent="0.25">
      <c r="A128" s="56"/>
      <c r="B128" s="24">
        <v>2</v>
      </c>
      <c r="C128" s="24" t="s">
        <v>900</v>
      </c>
      <c r="D128" s="24">
        <v>23281</v>
      </c>
      <c r="E128" s="24">
        <v>21435</v>
      </c>
      <c r="F128" s="24">
        <v>1846</v>
      </c>
      <c r="G128" s="268">
        <f t="shared" ref="G128:G140" si="7">F128/$C$141</f>
        <v>74435483.870967746</v>
      </c>
      <c r="H128" s="91"/>
    </row>
    <row r="129" spans="1:16" x14ac:dyDescent="0.25">
      <c r="A129" s="56"/>
      <c r="B129" s="24">
        <v>3</v>
      </c>
      <c r="C129" s="24" t="s">
        <v>900</v>
      </c>
      <c r="D129" s="24">
        <v>21435</v>
      </c>
      <c r="E129" s="24">
        <v>19579</v>
      </c>
      <c r="F129" s="24">
        <v>1856</v>
      </c>
      <c r="G129" s="268">
        <f t="shared" si="7"/>
        <v>74838709.67741935</v>
      </c>
      <c r="H129" s="91"/>
    </row>
    <row r="130" spans="1:16" x14ac:dyDescent="0.25">
      <c r="A130" s="56"/>
      <c r="B130" s="24">
        <v>4</v>
      </c>
      <c r="C130" s="24" t="s">
        <v>900</v>
      </c>
      <c r="D130" s="24">
        <v>19579</v>
      </c>
      <c r="E130" s="24">
        <v>17796</v>
      </c>
      <c r="F130" s="24">
        <v>1783</v>
      </c>
      <c r="G130" s="268">
        <f t="shared" si="7"/>
        <v>71895161.290322587</v>
      </c>
      <c r="H130" s="91"/>
    </row>
    <row r="131" spans="1:16" x14ac:dyDescent="0.25">
      <c r="A131" s="56"/>
      <c r="B131" s="24">
        <v>5</v>
      </c>
      <c r="C131" s="24" t="s">
        <v>900</v>
      </c>
      <c r="D131" s="24">
        <v>17796</v>
      </c>
      <c r="E131" s="24">
        <v>15968</v>
      </c>
      <c r="F131" s="24">
        <v>1828</v>
      </c>
      <c r="G131" s="268">
        <f t="shared" si="7"/>
        <v>73709677.419354841</v>
      </c>
      <c r="H131" s="91"/>
    </row>
    <row r="132" spans="1:16" x14ac:dyDescent="0.25">
      <c r="A132" s="91" t="s">
        <v>802</v>
      </c>
      <c r="B132" s="24">
        <v>6</v>
      </c>
      <c r="C132" s="24" t="s">
        <v>900</v>
      </c>
      <c r="D132" s="24">
        <v>15968</v>
      </c>
      <c r="E132" s="24">
        <v>14238</v>
      </c>
      <c r="F132" s="24">
        <v>1730</v>
      </c>
      <c r="G132" s="268">
        <f t="shared" si="7"/>
        <v>69758064.516129032</v>
      </c>
      <c r="H132" s="91"/>
      <c r="J132" s="20">
        <v>8</v>
      </c>
    </row>
    <row r="133" spans="1:16" x14ac:dyDescent="0.25">
      <c r="A133" s="56" t="s">
        <v>259</v>
      </c>
      <c r="B133" s="24">
        <v>7</v>
      </c>
      <c r="C133" s="24" t="s">
        <v>900</v>
      </c>
      <c r="D133" s="24">
        <v>14238</v>
      </c>
      <c r="E133" s="24">
        <v>12352</v>
      </c>
      <c r="F133" s="24">
        <v>1886</v>
      </c>
      <c r="G133" s="268">
        <f t="shared" si="7"/>
        <v>76048387.096774191</v>
      </c>
      <c r="H133" s="91"/>
    </row>
    <row r="134" spans="1:16" x14ac:dyDescent="0.25">
      <c r="A134" s="56"/>
      <c r="B134" s="24">
        <v>8</v>
      </c>
      <c r="C134" s="24" t="s">
        <v>900</v>
      </c>
      <c r="D134" s="24">
        <v>12352</v>
      </c>
      <c r="E134" s="24">
        <v>10566</v>
      </c>
      <c r="F134" s="24">
        <v>1786</v>
      </c>
      <c r="G134" s="268">
        <f t="shared" si="7"/>
        <v>72016129.032258064</v>
      </c>
      <c r="H134" s="91"/>
    </row>
    <row r="135" spans="1:16" x14ac:dyDescent="0.25">
      <c r="A135" s="56"/>
      <c r="B135" s="24">
        <v>9</v>
      </c>
      <c r="C135" s="24" t="s">
        <v>900</v>
      </c>
      <c r="D135" s="24">
        <v>10566</v>
      </c>
      <c r="E135" s="24">
        <v>8798</v>
      </c>
      <c r="F135" s="24">
        <v>1768</v>
      </c>
      <c r="G135" s="268">
        <f t="shared" si="7"/>
        <v>71290322.580645159</v>
      </c>
      <c r="H135" s="91"/>
    </row>
    <row r="136" spans="1:16" x14ac:dyDescent="0.25">
      <c r="A136" s="56"/>
      <c r="B136" s="24">
        <v>10</v>
      </c>
      <c r="C136" s="24" t="s">
        <v>900</v>
      </c>
      <c r="D136" s="24">
        <v>8798</v>
      </c>
      <c r="E136" s="24">
        <v>7065</v>
      </c>
      <c r="F136" s="24">
        <v>1733</v>
      </c>
      <c r="G136" s="268">
        <f t="shared" si="7"/>
        <v>69879032.258064523</v>
      </c>
      <c r="H136" s="91"/>
    </row>
    <row r="137" spans="1:16" x14ac:dyDescent="0.25">
      <c r="A137" s="56"/>
      <c r="B137" s="24">
        <v>11</v>
      </c>
      <c r="C137" s="24" t="s">
        <v>900</v>
      </c>
      <c r="D137" s="24">
        <v>7065</v>
      </c>
      <c r="E137" s="24">
        <v>5522</v>
      </c>
      <c r="F137" s="24">
        <v>1543</v>
      </c>
      <c r="G137" s="268">
        <f t="shared" si="7"/>
        <v>62217741.935483873</v>
      </c>
      <c r="H137" s="91"/>
    </row>
    <row r="138" spans="1:16" x14ac:dyDescent="0.25">
      <c r="A138" s="56"/>
      <c r="B138" s="24">
        <v>12</v>
      </c>
      <c r="C138" s="24" t="s">
        <v>900</v>
      </c>
      <c r="D138" s="24">
        <v>5522</v>
      </c>
      <c r="E138" s="24">
        <v>3685</v>
      </c>
      <c r="F138" s="24">
        <v>1837</v>
      </c>
      <c r="G138" s="268">
        <f t="shared" si="7"/>
        <v>74072580.645161286</v>
      </c>
      <c r="H138" s="91"/>
    </row>
    <row r="139" spans="1:16" x14ac:dyDescent="0.25">
      <c r="A139" s="56"/>
      <c r="B139" s="24">
        <v>13</v>
      </c>
      <c r="C139" s="24" t="s">
        <v>900</v>
      </c>
      <c r="D139" s="24">
        <v>3685</v>
      </c>
      <c r="E139" s="24">
        <v>1823</v>
      </c>
      <c r="F139" s="24">
        <v>1862</v>
      </c>
      <c r="G139" s="268">
        <f t="shared" si="7"/>
        <v>75080645.161290318</v>
      </c>
      <c r="H139" s="91"/>
    </row>
    <row r="140" spans="1:16" x14ac:dyDescent="0.25">
      <c r="A140" s="56"/>
      <c r="B140" s="24">
        <v>14</v>
      </c>
      <c r="C140" s="24" t="s">
        <v>900</v>
      </c>
      <c r="D140" s="91">
        <v>1823</v>
      </c>
      <c r="E140" s="91">
        <v>0</v>
      </c>
      <c r="F140" s="91">
        <v>1823</v>
      </c>
      <c r="G140" s="268">
        <f t="shared" si="7"/>
        <v>73508064.516129032</v>
      </c>
      <c r="H140" s="91"/>
    </row>
    <row r="141" spans="1:16" x14ac:dyDescent="0.25">
      <c r="A141" s="56"/>
      <c r="B141" s="265"/>
      <c r="C141" s="269">
        <v>2.48E-5</v>
      </c>
      <c r="D141" s="266"/>
      <c r="E141" s="266"/>
      <c r="F141" s="266"/>
      <c r="G141" s="266"/>
      <c r="H141" s="266"/>
    </row>
    <row r="142" spans="1:16" x14ac:dyDescent="0.25">
      <c r="A142" s="56"/>
      <c r="H142" s="56"/>
    </row>
    <row r="143" spans="1:16" x14ac:dyDescent="0.25">
      <c r="A143" s="56" t="s">
        <v>723</v>
      </c>
      <c r="B143" s="24" t="s">
        <v>42</v>
      </c>
      <c r="C143" s="24" t="s">
        <v>724</v>
      </c>
      <c r="D143" s="24" t="s">
        <v>680</v>
      </c>
      <c r="E143" s="24" t="s">
        <v>681</v>
      </c>
      <c r="F143" s="24" t="s">
        <v>725</v>
      </c>
      <c r="G143" s="24" t="s">
        <v>915</v>
      </c>
      <c r="H143" s="24" t="s">
        <v>93</v>
      </c>
      <c r="L143" s="53" t="s">
        <v>878</v>
      </c>
      <c r="M143" s="24"/>
      <c r="N143" s="24"/>
      <c r="O143" s="24"/>
      <c r="P143" s="24" t="s">
        <v>724</v>
      </c>
    </row>
    <row r="144" spans="1:16" x14ac:dyDescent="0.25">
      <c r="A144" s="56"/>
      <c r="B144" s="24" t="s">
        <v>679</v>
      </c>
      <c r="C144" s="24" t="s">
        <v>901</v>
      </c>
      <c r="D144" s="24">
        <v>0</v>
      </c>
      <c r="E144" s="24">
        <v>1924</v>
      </c>
      <c r="F144" s="24">
        <v>1924</v>
      </c>
      <c r="G144" s="268">
        <f>F144/$C$158</f>
        <v>46585956.416464888</v>
      </c>
      <c r="H144" s="91"/>
      <c r="L144" s="47" t="s">
        <v>902</v>
      </c>
      <c r="P144" s="20" t="s">
        <v>903</v>
      </c>
    </row>
    <row r="145" spans="1:16" x14ac:dyDescent="0.25">
      <c r="A145" s="56"/>
      <c r="B145" s="24">
        <v>2</v>
      </c>
      <c r="C145" s="24" t="s">
        <v>901</v>
      </c>
      <c r="D145" s="24">
        <v>1924</v>
      </c>
      <c r="E145" s="24">
        <v>3938</v>
      </c>
      <c r="F145" s="24">
        <v>2014</v>
      </c>
      <c r="G145" s="268">
        <f t="shared" ref="G145:G157" si="8">F145/$C$158</f>
        <v>48765133.171912834</v>
      </c>
      <c r="H145" s="91"/>
    </row>
    <row r="146" spans="1:16" x14ac:dyDescent="0.25">
      <c r="A146" s="56"/>
      <c r="B146" s="24">
        <v>3</v>
      </c>
      <c r="C146" s="24" t="s">
        <v>901</v>
      </c>
      <c r="D146" s="24">
        <v>3938</v>
      </c>
      <c r="E146" s="24">
        <v>5706</v>
      </c>
      <c r="F146" s="24">
        <v>1768</v>
      </c>
      <c r="G146" s="268">
        <f t="shared" si="8"/>
        <v>42808716.707021788</v>
      </c>
      <c r="H146" s="91"/>
    </row>
    <row r="147" spans="1:16" x14ac:dyDescent="0.25">
      <c r="A147" s="56"/>
      <c r="B147" s="24">
        <v>4</v>
      </c>
      <c r="C147" s="24" t="s">
        <v>901</v>
      </c>
      <c r="D147" s="24">
        <v>5706</v>
      </c>
      <c r="E147" s="24">
        <v>7893</v>
      </c>
      <c r="F147" s="24">
        <v>2187</v>
      </c>
      <c r="G147" s="268">
        <f t="shared" si="8"/>
        <v>52953995.157384984</v>
      </c>
      <c r="H147" s="91"/>
    </row>
    <row r="148" spans="1:16" x14ac:dyDescent="0.25">
      <c r="A148" s="56"/>
      <c r="B148" s="24">
        <v>5</v>
      </c>
      <c r="C148" s="24" t="s">
        <v>901</v>
      </c>
      <c r="D148" s="24">
        <v>7893</v>
      </c>
      <c r="E148" s="24">
        <v>9561</v>
      </c>
      <c r="F148" s="24">
        <v>1668</v>
      </c>
      <c r="G148" s="268">
        <f t="shared" si="8"/>
        <v>40387409.200968519</v>
      </c>
      <c r="H148" s="91"/>
    </row>
    <row r="149" spans="1:16" x14ac:dyDescent="0.25">
      <c r="A149" s="91" t="s">
        <v>808</v>
      </c>
      <c r="B149" s="24">
        <v>6</v>
      </c>
      <c r="C149" s="24" t="s">
        <v>901</v>
      </c>
      <c r="D149" s="24">
        <v>9561</v>
      </c>
      <c r="E149" s="24">
        <v>11396</v>
      </c>
      <c r="F149" s="24">
        <v>1835</v>
      </c>
      <c r="G149" s="268">
        <f t="shared" si="8"/>
        <v>44430992.73607748</v>
      </c>
      <c r="H149" s="91"/>
      <c r="J149" s="20">
        <v>9</v>
      </c>
    </row>
    <row r="150" spans="1:16" x14ac:dyDescent="0.25">
      <c r="A150" s="56" t="s">
        <v>256</v>
      </c>
      <c r="B150" s="24">
        <v>7</v>
      </c>
      <c r="C150" s="24" t="s">
        <v>901</v>
      </c>
      <c r="D150" s="24">
        <v>11346</v>
      </c>
      <c r="E150" s="24">
        <v>13263</v>
      </c>
      <c r="F150" s="24">
        <v>1867</v>
      </c>
      <c r="G150" s="268">
        <f t="shared" si="8"/>
        <v>45205811.138014525</v>
      </c>
      <c r="H150" s="91"/>
    </row>
    <row r="151" spans="1:16" x14ac:dyDescent="0.25">
      <c r="A151" s="56"/>
      <c r="B151" s="24">
        <v>8</v>
      </c>
      <c r="C151" s="24" t="s">
        <v>901</v>
      </c>
      <c r="D151" s="24">
        <v>13263</v>
      </c>
      <c r="E151" s="24">
        <v>14363</v>
      </c>
      <c r="F151" s="27">
        <v>1100</v>
      </c>
      <c r="G151" s="268">
        <f t="shared" si="8"/>
        <v>26634382.566585954</v>
      </c>
      <c r="H151" s="91"/>
    </row>
    <row r="152" spans="1:16" x14ac:dyDescent="0.25">
      <c r="A152" s="56"/>
      <c r="B152" s="24">
        <v>9</v>
      </c>
      <c r="C152" s="24" t="s">
        <v>901</v>
      </c>
      <c r="D152" s="24">
        <v>14363</v>
      </c>
      <c r="E152" s="24">
        <v>15542</v>
      </c>
      <c r="F152" s="27">
        <v>1179</v>
      </c>
      <c r="G152" s="268">
        <f t="shared" si="8"/>
        <v>28547215.496368039</v>
      </c>
      <c r="H152" s="91"/>
    </row>
    <row r="153" spans="1:16" x14ac:dyDescent="0.25">
      <c r="A153" s="56"/>
      <c r="B153" s="24">
        <v>10</v>
      </c>
      <c r="C153" s="24" t="s">
        <v>901</v>
      </c>
      <c r="D153" s="24">
        <v>15542</v>
      </c>
      <c r="E153" s="24">
        <v>17351</v>
      </c>
      <c r="F153" s="24">
        <v>1809</v>
      </c>
      <c r="G153" s="268">
        <f t="shared" si="8"/>
        <v>43801452.784503631</v>
      </c>
      <c r="H153" s="91"/>
    </row>
    <row r="154" spans="1:16" x14ac:dyDescent="0.25">
      <c r="A154" s="56"/>
      <c r="B154" s="24">
        <v>11</v>
      </c>
      <c r="C154" s="24" t="s">
        <v>901</v>
      </c>
      <c r="D154" s="24">
        <v>17351</v>
      </c>
      <c r="E154" s="24">
        <v>19404</v>
      </c>
      <c r="F154" s="24">
        <v>2053</v>
      </c>
      <c r="G154" s="268">
        <f t="shared" si="8"/>
        <v>49709443.099273607</v>
      </c>
      <c r="H154" s="91"/>
    </row>
    <row r="155" spans="1:16" x14ac:dyDescent="0.25">
      <c r="A155" s="56"/>
      <c r="B155" s="24">
        <v>12</v>
      </c>
      <c r="C155" s="24" t="s">
        <v>901</v>
      </c>
      <c r="D155" s="24">
        <v>19404</v>
      </c>
      <c r="E155" s="24">
        <v>21346</v>
      </c>
      <c r="F155" s="24">
        <v>1942</v>
      </c>
      <c r="G155" s="268">
        <f t="shared" si="8"/>
        <v>47021791.767554477</v>
      </c>
      <c r="H155" s="91"/>
    </row>
    <row r="156" spans="1:16" x14ac:dyDescent="0.25">
      <c r="A156" s="56"/>
      <c r="B156" s="24">
        <v>13</v>
      </c>
      <c r="C156" s="24" t="s">
        <v>901</v>
      </c>
      <c r="D156" s="24">
        <v>21346</v>
      </c>
      <c r="E156" s="24">
        <v>23016</v>
      </c>
      <c r="F156" s="24">
        <v>1670</v>
      </c>
      <c r="G156" s="268">
        <f t="shared" si="8"/>
        <v>40435835.351089589</v>
      </c>
      <c r="H156" s="91"/>
    </row>
    <row r="157" spans="1:16" x14ac:dyDescent="0.25">
      <c r="A157" s="56"/>
      <c r="B157" s="24">
        <v>14</v>
      </c>
      <c r="C157" s="24" t="s">
        <v>901</v>
      </c>
      <c r="D157" s="91">
        <v>23016</v>
      </c>
      <c r="E157" s="91">
        <v>25083</v>
      </c>
      <c r="F157" s="91">
        <v>2067</v>
      </c>
      <c r="G157" s="268">
        <f t="shared" si="8"/>
        <v>50048426.150121063</v>
      </c>
      <c r="H157" s="91"/>
    </row>
    <row r="158" spans="1:16" x14ac:dyDescent="0.25">
      <c r="A158" s="56"/>
      <c r="B158" s="265"/>
      <c r="C158" s="269">
        <v>4.1300000000000001E-5</v>
      </c>
      <c r="D158" s="266"/>
      <c r="E158" s="266"/>
      <c r="F158" s="266"/>
      <c r="G158" s="266"/>
      <c r="H158" s="266"/>
    </row>
    <row r="159" spans="1:16" x14ac:dyDescent="0.25">
      <c r="A159" s="56"/>
      <c r="H159" s="56"/>
    </row>
    <row r="160" spans="1:16" x14ac:dyDescent="0.25">
      <c r="A160" s="56" t="s">
        <v>723</v>
      </c>
      <c r="B160" s="24" t="s">
        <v>42</v>
      </c>
      <c r="C160" s="24" t="s">
        <v>724</v>
      </c>
      <c r="D160" s="24" t="s">
        <v>680</v>
      </c>
      <c r="E160" s="24" t="s">
        <v>681</v>
      </c>
      <c r="F160" s="24" t="s">
        <v>725</v>
      </c>
      <c r="G160" s="24" t="s">
        <v>915</v>
      </c>
      <c r="H160" s="24" t="s">
        <v>93</v>
      </c>
      <c r="L160" s="53" t="s">
        <v>878</v>
      </c>
      <c r="M160" s="24"/>
      <c r="N160" s="24"/>
      <c r="O160" s="24"/>
      <c r="P160" s="24" t="s">
        <v>724</v>
      </c>
    </row>
    <row r="161" spans="1:16" x14ac:dyDescent="0.25">
      <c r="A161" s="56"/>
      <c r="B161" s="24" t="s">
        <v>679</v>
      </c>
      <c r="C161" s="24" t="s">
        <v>907</v>
      </c>
      <c r="D161" s="24">
        <v>0</v>
      </c>
      <c r="E161" s="24">
        <v>2083</v>
      </c>
      <c r="F161" s="24">
        <v>2083</v>
      </c>
      <c r="G161" s="268">
        <f>F161/$C$175</f>
        <v>91359649.122807026</v>
      </c>
      <c r="H161" s="91"/>
      <c r="L161" s="47" t="s">
        <v>891</v>
      </c>
      <c r="P161" s="20" t="s">
        <v>908</v>
      </c>
    </row>
    <row r="162" spans="1:16" x14ac:dyDescent="0.25">
      <c r="A162" s="56"/>
      <c r="B162" s="24">
        <v>2</v>
      </c>
      <c r="C162" s="24" t="s">
        <v>907</v>
      </c>
      <c r="D162" s="24">
        <v>2083</v>
      </c>
      <c r="E162" s="24">
        <v>3585</v>
      </c>
      <c r="F162" s="41">
        <v>1502</v>
      </c>
      <c r="G162" s="268">
        <f t="shared" ref="G162:G174" si="9">F162/$C$175</f>
        <v>65877192.982456148</v>
      </c>
      <c r="H162" s="91"/>
      <c r="L162" s="47" t="s">
        <v>898</v>
      </c>
    </row>
    <row r="163" spans="1:16" x14ac:dyDescent="0.25">
      <c r="A163" s="56"/>
      <c r="B163" s="24">
        <v>3</v>
      </c>
      <c r="C163" s="24" t="s">
        <v>907</v>
      </c>
      <c r="D163" s="24">
        <v>3585</v>
      </c>
      <c r="E163" s="24">
        <v>5607</v>
      </c>
      <c r="F163" s="24">
        <v>2022</v>
      </c>
      <c r="G163" s="268">
        <f t="shared" si="9"/>
        <v>88684210.526315793</v>
      </c>
      <c r="H163" s="91"/>
    </row>
    <row r="164" spans="1:16" x14ac:dyDescent="0.25">
      <c r="A164" s="56"/>
      <c r="B164" s="24">
        <v>4</v>
      </c>
      <c r="C164" s="24" t="s">
        <v>907</v>
      </c>
      <c r="D164" s="24">
        <v>5607</v>
      </c>
      <c r="E164" s="24">
        <v>7773</v>
      </c>
      <c r="F164" s="24">
        <v>2166</v>
      </c>
      <c r="G164" s="268">
        <f t="shared" si="9"/>
        <v>95000000</v>
      </c>
      <c r="H164" s="91"/>
    </row>
    <row r="165" spans="1:16" x14ac:dyDescent="0.25">
      <c r="A165" s="56"/>
      <c r="B165" s="24">
        <v>5</v>
      </c>
      <c r="C165" s="24" t="s">
        <v>907</v>
      </c>
      <c r="D165" s="24">
        <v>7773</v>
      </c>
      <c r="E165" s="24">
        <v>9420</v>
      </c>
      <c r="F165" s="24">
        <v>1647</v>
      </c>
      <c r="G165" s="268">
        <f t="shared" si="9"/>
        <v>72236842.105263159</v>
      </c>
      <c r="H165" s="91"/>
    </row>
    <row r="166" spans="1:16" x14ac:dyDescent="0.25">
      <c r="A166" s="91" t="s">
        <v>906</v>
      </c>
      <c r="B166" s="24">
        <v>6</v>
      </c>
      <c r="C166" s="24" t="s">
        <v>907</v>
      </c>
      <c r="D166" s="24">
        <v>9420</v>
      </c>
      <c r="E166" s="24">
        <v>11411</v>
      </c>
      <c r="F166" s="24">
        <v>1991</v>
      </c>
      <c r="G166" s="268">
        <f t="shared" si="9"/>
        <v>87324561.403508782</v>
      </c>
      <c r="H166" s="91"/>
      <c r="J166" s="20">
        <v>10</v>
      </c>
    </row>
    <row r="167" spans="1:16" x14ac:dyDescent="0.25">
      <c r="A167" s="56" t="s">
        <v>254</v>
      </c>
      <c r="B167" s="24">
        <v>7</v>
      </c>
      <c r="C167" s="24" t="s">
        <v>907</v>
      </c>
      <c r="D167" s="24">
        <v>11411</v>
      </c>
      <c r="E167" s="24">
        <v>13423</v>
      </c>
      <c r="F167" s="24">
        <v>2012</v>
      </c>
      <c r="G167" s="268">
        <f t="shared" si="9"/>
        <v>88245614.03508772</v>
      </c>
      <c r="H167" s="91"/>
    </row>
    <row r="168" spans="1:16" x14ac:dyDescent="0.25">
      <c r="A168" s="56"/>
      <c r="B168" s="24">
        <v>8</v>
      </c>
      <c r="C168" s="24" t="s">
        <v>907</v>
      </c>
      <c r="D168" s="24">
        <v>13423</v>
      </c>
      <c r="E168" s="24">
        <v>15404</v>
      </c>
      <c r="F168" s="24">
        <v>1981</v>
      </c>
      <c r="G168" s="268">
        <f t="shared" si="9"/>
        <v>86885964.912280709</v>
      </c>
      <c r="H168" s="91"/>
    </row>
    <row r="169" spans="1:16" x14ac:dyDescent="0.25">
      <c r="A169" s="56"/>
      <c r="B169" s="24">
        <v>9</v>
      </c>
      <c r="C169" s="24" t="s">
        <v>907</v>
      </c>
      <c r="D169" s="24">
        <v>15404</v>
      </c>
      <c r="E169" s="24">
        <v>17525</v>
      </c>
      <c r="F169" s="24">
        <v>2121</v>
      </c>
      <c r="G169" s="268">
        <f t="shared" si="9"/>
        <v>93026315.789473698</v>
      </c>
      <c r="H169" s="91"/>
    </row>
    <row r="170" spans="1:16" x14ac:dyDescent="0.25">
      <c r="A170" s="56"/>
      <c r="B170" s="24">
        <v>10</v>
      </c>
      <c r="C170" s="24" t="s">
        <v>907</v>
      </c>
      <c r="D170" s="24">
        <v>17525</v>
      </c>
      <c r="E170" s="24">
        <v>19177</v>
      </c>
      <c r="F170" s="24">
        <v>1652</v>
      </c>
      <c r="G170" s="268">
        <f t="shared" si="9"/>
        <v>72456140.350877196</v>
      </c>
      <c r="H170" s="91"/>
    </row>
    <row r="171" spans="1:16" x14ac:dyDescent="0.25">
      <c r="A171" s="56"/>
      <c r="B171" s="24">
        <v>11</v>
      </c>
      <c r="C171" s="24" t="s">
        <v>907</v>
      </c>
      <c r="D171" s="24">
        <v>19177</v>
      </c>
      <c r="E171" s="24">
        <v>20439</v>
      </c>
      <c r="F171" s="27">
        <v>1262</v>
      </c>
      <c r="G171" s="268">
        <f t="shared" si="9"/>
        <v>55350877.192982458</v>
      </c>
      <c r="H171" s="91"/>
    </row>
    <row r="172" spans="1:16" x14ac:dyDescent="0.25">
      <c r="A172" s="56"/>
      <c r="B172" s="24">
        <v>12</v>
      </c>
      <c r="C172" s="24" t="s">
        <v>907</v>
      </c>
      <c r="D172" s="24">
        <v>20439</v>
      </c>
      <c r="E172" s="24">
        <v>21974</v>
      </c>
      <c r="F172" s="41">
        <v>1535</v>
      </c>
      <c r="G172" s="268">
        <f t="shared" si="9"/>
        <v>67324561.403508782</v>
      </c>
      <c r="H172" s="91"/>
    </row>
    <row r="173" spans="1:16" x14ac:dyDescent="0.25">
      <c r="A173" s="56"/>
      <c r="B173" s="24">
        <v>13</v>
      </c>
      <c r="C173" s="24" t="s">
        <v>907</v>
      </c>
      <c r="D173" s="24">
        <v>21974</v>
      </c>
      <c r="E173" s="24">
        <v>23942</v>
      </c>
      <c r="F173" s="24">
        <v>1968</v>
      </c>
      <c r="G173" s="268">
        <f t="shared" si="9"/>
        <v>86315789.473684222</v>
      </c>
      <c r="H173" s="91"/>
    </row>
    <row r="174" spans="1:16" x14ac:dyDescent="0.25">
      <c r="A174" s="56"/>
      <c r="B174" s="24">
        <v>14</v>
      </c>
      <c r="C174" s="24" t="s">
        <v>907</v>
      </c>
      <c r="D174" s="91">
        <v>23942</v>
      </c>
      <c r="E174" s="91">
        <v>25006</v>
      </c>
      <c r="F174" s="80">
        <v>1064</v>
      </c>
      <c r="G174" s="268">
        <f t="shared" si="9"/>
        <v>46666666.666666672</v>
      </c>
      <c r="H174" s="91"/>
    </row>
    <row r="175" spans="1:16" x14ac:dyDescent="0.25">
      <c r="A175" s="56"/>
      <c r="B175" s="265"/>
      <c r="C175" s="269">
        <v>2.2799999999999999E-5</v>
      </c>
      <c r="D175" s="266"/>
      <c r="E175" s="266"/>
      <c r="F175" s="267"/>
      <c r="G175" s="267"/>
      <c r="H175" s="266"/>
    </row>
    <row r="176" spans="1:16" x14ac:dyDescent="0.25">
      <c r="A176" s="56"/>
      <c r="H176" s="56"/>
    </row>
    <row r="177" spans="1:16" x14ac:dyDescent="0.25">
      <c r="A177" s="56" t="s">
        <v>723</v>
      </c>
      <c r="B177" s="24" t="s">
        <v>42</v>
      </c>
      <c r="C177" s="24" t="s">
        <v>724</v>
      </c>
      <c r="D177" s="24" t="s">
        <v>680</v>
      </c>
      <c r="E177" s="24" t="s">
        <v>681</v>
      </c>
      <c r="F177" s="24" t="s">
        <v>725</v>
      </c>
      <c r="G177" s="24" t="s">
        <v>915</v>
      </c>
      <c r="H177" s="24" t="s">
        <v>93</v>
      </c>
      <c r="L177" s="53" t="s">
        <v>878</v>
      </c>
      <c r="M177" s="24"/>
      <c r="N177" s="24"/>
      <c r="O177" s="24"/>
      <c r="P177" s="24" t="s">
        <v>724</v>
      </c>
    </row>
    <row r="178" spans="1:16" x14ac:dyDescent="0.25">
      <c r="A178" s="56"/>
      <c r="B178" s="24" t="s">
        <v>679</v>
      </c>
      <c r="C178" s="24" t="s">
        <v>910</v>
      </c>
      <c r="D178" s="24">
        <v>0</v>
      </c>
      <c r="E178" s="24">
        <v>1345</v>
      </c>
      <c r="F178" s="27">
        <v>1345</v>
      </c>
      <c r="G178" s="268">
        <f>F178/$C$192</f>
        <v>85668789.80891721</v>
      </c>
      <c r="H178" s="91"/>
      <c r="L178" s="47" t="s">
        <v>891</v>
      </c>
      <c r="P178" s="20" t="s">
        <v>908</v>
      </c>
    </row>
    <row r="179" spans="1:16" x14ac:dyDescent="0.25">
      <c r="A179" s="56"/>
      <c r="B179" s="24">
        <v>2</v>
      </c>
      <c r="C179" s="24" t="s">
        <v>910</v>
      </c>
      <c r="D179" s="24">
        <v>1345</v>
      </c>
      <c r="E179" s="24">
        <v>3104</v>
      </c>
      <c r="F179" s="24">
        <v>1759</v>
      </c>
      <c r="G179" s="268">
        <f t="shared" ref="G179:G191" si="10">F179/$C$192</f>
        <v>112038216.56050956</v>
      </c>
      <c r="H179" s="91"/>
      <c r="L179" s="47" t="s">
        <v>911</v>
      </c>
    </row>
    <row r="180" spans="1:16" x14ac:dyDescent="0.25">
      <c r="A180" s="56"/>
      <c r="B180" s="24">
        <v>3</v>
      </c>
      <c r="C180" s="24" t="s">
        <v>910</v>
      </c>
      <c r="D180" s="24">
        <v>3104</v>
      </c>
      <c r="E180" s="24">
        <v>5061</v>
      </c>
      <c r="F180" s="24">
        <v>1957</v>
      </c>
      <c r="G180" s="268">
        <f t="shared" si="10"/>
        <v>124649681.52866243</v>
      </c>
      <c r="H180" s="91"/>
    </row>
    <row r="181" spans="1:16" x14ac:dyDescent="0.25">
      <c r="A181" s="56"/>
      <c r="B181" s="24">
        <v>4</v>
      </c>
      <c r="C181" s="24" t="s">
        <v>910</v>
      </c>
      <c r="D181" s="24">
        <v>5061</v>
      </c>
      <c r="E181" s="24">
        <v>6674</v>
      </c>
      <c r="F181" s="24">
        <v>1613</v>
      </c>
      <c r="G181" s="268">
        <f t="shared" si="10"/>
        <v>102738853.50318472</v>
      </c>
      <c r="H181" s="91"/>
    </row>
    <row r="182" spans="1:16" x14ac:dyDescent="0.25">
      <c r="A182" s="56"/>
      <c r="B182" s="24">
        <v>5</v>
      </c>
      <c r="C182" s="24" t="s">
        <v>910</v>
      </c>
      <c r="D182" s="24">
        <v>6674</v>
      </c>
      <c r="E182" s="24">
        <v>7161</v>
      </c>
      <c r="F182" s="27">
        <v>487</v>
      </c>
      <c r="G182" s="268">
        <f t="shared" si="10"/>
        <v>31019108.280254781</v>
      </c>
      <c r="H182" s="91"/>
    </row>
    <row r="183" spans="1:16" x14ac:dyDescent="0.25">
      <c r="A183" s="91" t="s">
        <v>909</v>
      </c>
      <c r="B183" s="24">
        <v>6</v>
      </c>
      <c r="C183" s="24" t="s">
        <v>910</v>
      </c>
      <c r="D183" s="24">
        <v>7161</v>
      </c>
      <c r="E183" s="24">
        <v>8995</v>
      </c>
      <c r="F183" s="24">
        <v>1834</v>
      </c>
      <c r="G183" s="268">
        <f t="shared" si="10"/>
        <v>116815286.62420383</v>
      </c>
      <c r="H183" s="91"/>
      <c r="J183" s="20">
        <v>11</v>
      </c>
    </row>
    <row r="184" spans="1:16" x14ac:dyDescent="0.25">
      <c r="A184" s="56" t="s">
        <v>258</v>
      </c>
      <c r="B184" s="24">
        <v>7</v>
      </c>
      <c r="C184" s="24" t="s">
        <v>910</v>
      </c>
      <c r="D184" s="24">
        <v>8995</v>
      </c>
      <c r="E184" s="24">
        <v>10841</v>
      </c>
      <c r="F184" s="24">
        <v>1846</v>
      </c>
      <c r="G184" s="268">
        <f t="shared" si="10"/>
        <v>117579617.83439492</v>
      </c>
      <c r="H184" s="91"/>
    </row>
    <row r="185" spans="1:16" x14ac:dyDescent="0.25">
      <c r="A185" s="56"/>
      <c r="B185" s="24">
        <v>8</v>
      </c>
      <c r="C185" s="24" t="s">
        <v>910</v>
      </c>
      <c r="D185" s="24">
        <v>10841</v>
      </c>
      <c r="E185" s="24">
        <v>12818</v>
      </c>
      <c r="F185" s="24">
        <v>1977</v>
      </c>
      <c r="G185" s="268">
        <f t="shared" si="10"/>
        <v>125923566.8789809</v>
      </c>
      <c r="H185" s="91"/>
    </row>
    <row r="186" spans="1:16" x14ac:dyDescent="0.25">
      <c r="A186" s="56"/>
      <c r="B186" s="24">
        <v>9</v>
      </c>
      <c r="C186" s="24" t="s">
        <v>910</v>
      </c>
      <c r="D186" s="24">
        <v>12818</v>
      </c>
      <c r="E186" s="24">
        <v>13887</v>
      </c>
      <c r="F186" s="27">
        <v>1069</v>
      </c>
      <c r="G186" s="268">
        <f t="shared" si="10"/>
        <v>68089171.974522293</v>
      </c>
      <c r="H186" s="91"/>
    </row>
    <row r="187" spans="1:16" x14ac:dyDescent="0.25">
      <c r="A187" s="56"/>
      <c r="B187" s="24">
        <v>10</v>
      </c>
      <c r="C187" s="24" t="s">
        <v>910</v>
      </c>
      <c r="D187" s="24">
        <v>13887</v>
      </c>
      <c r="E187" s="24">
        <v>15541</v>
      </c>
      <c r="F187" s="24">
        <v>1654</v>
      </c>
      <c r="G187" s="268">
        <f t="shared" si="10"/>
        <v>105350318.47133759</v>
      </c>
      <c r="H187" s="91"/>
    </row>
    <row r="188" spans="1:16" x14ac:dyDescent="0.25">
      <c r="A188" s="56"/>
      <c r="B188" s="24">
        <v>11</v>
      </c>
      <c r="C188" s="24" t="s">
        <v>910</v>
      </c>
      <c r="D188" s="24">
        <v>15541</v>
      </c>
      <c r="E188" s="24">
        <v>17248</v>
      </c>
      <c r="F188" s="24">
        <v>1707</v>
      </c>
      <c r="G188" s="268">
        <f t="shared" si="10"/>
        <v>108726114.64968154</v>
      </c>
      <c r="H188" s="91"/>
    </row>
    <row r="189" spans="1:16" x14ac:dyDescent="0.25">
      <c r="A189" s="56"/>
      <c r="B189" s="24">
        <v>12</v>
      </c>
      <c r="C189" s="24" t="s">
        <v>910</v>
      </c>
      <c r="D189" s="24">
        <v>17248</v>
      </c>
      <c r="E189" s="24">
        <v>19451</v>
      </c>
      <c r="F189" s="24">
        <v>2203</v>
      </c>
      <c r="G189" s="268">
        <f t="shared" si="10"/>
        <v>140318471.33757964</v>
      </c>
      <c r="H189" s="91"/>
    </row>
    <row r="190" spans="1:16" x14ac:dyDescent="0.25">
      <c r="A190" s="56"/>
      <c r="B190" s="24">
        <v>13</v>
      </c>
      <c r="C190" s="24" t="s">
        <v>910</v>
      </c>
      <c r="D190" s="24">
        <v>20347</v>
      </c>
      <c r="E190" s="24">
        <v>23078</v>
      </c>
      <c r="F190" s="24">
        <v>2731</v>
      </c>
      <c r="G190" s="268">
        <f t="shared" si="10"/>
        <v>173949044.58598727</v>
      </c>
      <c r="H190" s="91"/>
    </row>
    <row r="191" spans="1:16" x14ac:dyDescent="0.25">
      <c r="A191" s="56"/>
      <c r="B191" s="24">
        <v>14</v>
      </c>
      <c r="C191" s="24" t="s">
        <v>910</v>
      </c>
      <c r="D191" s="91">
        <v>23078</v>
      </c>
      <c r="E191" s="91">
        <v>25226</v>
      </c>
      <c r="F191" s="91">
        <v>2148</v>
      </c>
      <c r="G191" s="268">
        <f t="shared" si="10"/>
        <v>136815286.62420383</v>
      </c>
      <c r="H191" s="91"/>
    </row>
    <row r="192" spans="1:16" x14ac:dyDescent="0.25">
      <c r="A192" s="56"/>
      <c r="B192" s="265"/>
      <c r="C192" s="269">
        <v>1.5699999999999999E-5</v>
      </c>
      <c r="D192" s="266"/>
      <c r="E192" s="266"/>
      <c r="F192" s="266"/>
      <c r="G192" s="266"/>
      <c r="H192" s="266"/>
    </row>
    <row r="193" spans="1:16" x14ac:dyDescent="0.25">
      <c r="A193" s="56"/>
      <c r="H193" s="56"/>
    </row>
    <row r="194" spans="1:16" x14ac:dyDescent="0.25">
      <c r="A194" s="56" t="s">
        <v>723</v>
      </c>
      <c r="B194" s="24" t="s">
        <v>42</v>
      </c>
      <c r="C194" s="24" t="s">
        <v>724</v>
      </c>
      <c r="D194" s="24" t="s">
        <v>680</v>
      </c>
      <c r="E194" s="24" t="s">
        <v>681</v>
      </c>
      <c r="F194" s="24" t="s">
        <v>725</v>
      </c>
      <c r="G194" s="24" t="s">
        <v>915</v>
      </c>
      <c r="H194" s="24" t="s">
        <v>93</v>
      </c>
      <c r="L194" s="53" t="s">
        <v>878</v>
      </c>
      <c r="M194" s="24"/>
      <c r="N194" s="24"/>
      <c r="O194" s="24"/>
      <c r="P194" s="24" t="s">
        <v>724</v>
      </c>
    </row>
    <row r="195" spans="1:16" x14ac:dyDescent="0.25">
      <c r="A195" s="56"/>
      <c r="B195" s="24" t="s">
        <v>679</v>
      </c>
      <c r="C195" s="24" t="s">
        <v>912</v>
      </c>
      <c r="D195" s="24">
        <v>25040</v>
      </c>
      <c r="E195" s="24">
        <v>23302</v>
      </c>
      <c r="F195" s="24">
        <v>1739</v>
      </c>
      <c r="G195" s="268">
        <f>F195/$C$209</f>
        <v>55031645.569620252</v>
      </c>
      <c r="H195" s="91"/>
      <c r="L195" s="47" t="s">
        <v>913</v>
      </c>
      <c r="P195" s="20" t="s">
        <v>914</v>
      </c>
    </row>
    <row r="196" spans="1:16" x14ac:dyDescent="0.25">
      <c r="A196" s="56"/>
      <c r="B196" s="24">
        <v>2</v>
      </c>
      <c r="C196" s="24" t="s">
        <v>912</v>
      </c>
      <c r="D196" s="24">
        <v>23302</v>
      </c>
      <c r="E196" s="24">
        <v>21055</v>
      </c>
      <c r="F196" s="24">
        <v>2247</v>
      </c>
      <c r="G196" s="268">
        <f t="shared" ref="G196:G208" si="11">F196/$C$209</f>
        <v>71107594.936708853</v>
      </c>
      <c r="H196" s="91"/>
      <c r="L196" s="47" t="s">
        <v>911</v>
      </c>
    </row>
    <row r="197" spans="1:16" x14ac:dyDescent="0.25">
      <c r="A197" s="56"/>
      <c r="B197" s="24">
        <v>3</v>
      </c>
      <c r="C197" s="24" t="s">
        <v>912</v>
      </c>
      <c r="D197" s="24">
        <v>21055</v>
      </c>
      <c r="E197" s="24">
        <v>19063</v>
      </c>
      <c r="F197" s="24">
        <v>1992</v>
      </c>
      <c r="G197" s="268">
        <f t="shared" si="11"/>
        <v>63037974.6835443</v>
      </c>
      <c r="H197" s="91"/>
    </row>
    <row r="198" spans="1:16" x14ac:dyDescent="0.25">
      <c r="A198" s="56"/>
      <c r="B198" s="24">
        <v>4</v>
      </c>
      <c r="C198" s="24" t="s">
        <v>912</v>
      </c>
      <c r="D198" s="24">
        <v>19063</v>
      </c>
      <c r="E198" s="24">
        <v>17055</v>
      </c>
      <c r="F198" s="24">
        <v>2008</v>
      </c>
      <c r="G198" s="268">
        <f t="shared" si="11"/>
        <v>63544303.797468349</v>
      </c>
      <c r="H198" s="91"/>
    </row>
    <row r="199" spans="1:16" x14ac:dyDescent="0.25">
      <c r="A199" s="56"/>
      <c r="B199" s="24">
        <v>5</v>
      </c>
      <c r="C199" s="24" t="s">
        <v>912</v>
      </c>
      <c r="D199" s="24">
        <v>17055</v>
      </c>
      <c r="E199" s="24">
        <v>14811</v>
      </c>
      <c r="F199" s="24">
        <v>2244</v>
      </c>
      <c r="G199" s="268">
        <f t="shared" si="11"/>
        <v>71012658.227848098</v>
      </c>
      <c r="H199" s="91"/>
    </row>
    <row r="200" spans="1:16" x14ac:dyDescent="0.25">
      <c r="A200" s="91" t="s">
        <v>807</v>
      </c>
      <c r="B200" s="24">
        <v>6</v>
      </c>
      <c r="C200" s="24" t="s">
        <v>912</v>
      </c>
      <c r="D200" s="24">
        <v>14811</v>
      </c>
      <c r="E200" s="24">
        <v>13429</v>
      </c>
      <c r="F200" s="27">
        <v>1382</v>
      </c>
      <c r="G200" s="268">
        <f t="shared" si="11"/>
        <v>43734177.215189867</v>
      </c>
      <c r="H200" s="91"/>
      <c r="J200" s="20">
        <v>12</v>
      </c>
    </row>
    <row r="201" spans="1:16" x14ac:dyDescent="0.25">
      <c r="A201" s="56" t="s">
        <v>255</v>
      </c>
      <c r="B201" s="24">
        <v>7</v>
      </c>
      <c r="C201" s="24" t="s">
        <v>912</v>
      </c>
      <c r="D201" s="24">
        <v>13429</v>
      </c>
      <c r="E201" s="24">
        <v>11233</v>
      </c>
      <c r="F201" s="24">
        <v>2196</v>
      </c>
      <c r="G201" s="268">
        <f t="shared" si="11"/>
        <v>69493670.886075944</v>
      </c>
      <c r="H201" s="91"/>
    </row>
    <row r="202" spans="1:16" x14ac:dyDescent="0.25">
      <c r="A202" s="56"/>
      <c r="B202" s="24">
        <v>8</v>
      </c>
      <c r="C202" s="24" t="s">
        <v>912</v>
      </c>
      <c r="D202" s="24">
        <v>11233</v>
      </c>
      <c r="E202" s="24">
        <v>9168</v>
      </c>
      <c r="F202" s="24">
        <v>2065</v>
      </c>
      <c r="G202" s="268">
        <f t="shared" si="11"/>
        <v>65348101.265822783</v>
      </c>
      <c r="H202" s="91"/>
    </row>
    <row r="203" spans="1:16" x14ac:dyDescent="0.25">
      <c r="A203" s="56"/>
      <c r="B203" s="24">
        <v>9</v>
      </c>
      <c r="C203" s="24" t="s">
        <v>912</v>
      </c>
      <c r="D203" s="24">
        <v>9168</v>
      </c>
      <c r="E203" s="24">
        <v>7404</v>
      </c>
      <c r="F203" s="24">
        <v>1764</v>
      </c>
      <c r="G203" s="268">
        <f t="shared" si="11"/>
        <v>55822784.81012658</v>
      </c>
      <c r="H203" s="91"/>
    </row>
    <row r="204" spans="1:16" x14ac:dyDescent="0.25">
      <c r="A204" s="56"/>
      <c r="B204" s="24">
        <v>10</v>
      </c>
      <c r="C204" s="24" t="s">
        <v>912</v>
      </c>
      <c r="D204" s="24">
        <v>7404</v>
      </c>
      <c r="E204" s="24">
        <v>5193</v>
      </c>
      <c r="F204" s="24">
        <v>2211</v>
      </c>
      <c r="G204" s="268">
        <f t="shared" si="11"/>
        <v>69968354.430379748</v>
      </c>
      <c r="H204" s="91"/>
    </row>
    <row r="205" spans="1:16" x14ac:dyDescent="0.25">
      <c r="A205" s="56"/>
      <c r="B205" s="24">
        <v>11</v>
      </c>
      <c r="C205" s="24" t="s">
        <v>912</v>
      </c>
      <c r="D205" s="24">
        <v>5193</v>
      </c>
      <c r="E205" s="24">
        <v>3403</v>
      </c>
      <c r="F205" s="24">
        <v>1790</v>
      </c>
      <c r="G205" s="268">
        <f t="shared" si="11"/>
        <v>56645569.620253161</v>
      </c>
      <c r="H205" s="91"/>
    </row>
    <row r="206" spans="1:16" x14ac:dyDescent="0.25">
      <c r="A206" s="56"/>
      <c r="B206" s="24">
        <v>12</v>
      </c>
      <c r="C206" s="24" t="s">
        <v>912</v>
      </c>
      <c r="D206" s="24">
        <v>3403</v>
      </c>
      <c r="E206" s="24">
        <v>1426</v>
      </c>
      <c r="F206" s="24">
        <v>1977</v>
      </c>
      <c r="G206" s="268">
        <f t="shared" si="11"/>
        <v>62563291.139240503</v>
      </c>
      <c r="H206" s="91"/>
    </row>
    <row r="207" spans="1:16" x14ac:dyDescent="0.25">
      <c r="A207" s="56"/>
      <c r="B207" s="24">
        <v>13</v>
      </c>
      <c r="C207" s="24" t="s">
        <v>912</v>
      </c>
      <c r="D207" s="24">
        <v>1426</v>
      </c>
      <c r="E207" s="24">
        <v>561</v>
      </c>
      <c r="F207" s="27">
        <v>865</v>
      </c>
      <c r="G207" s="268">
        <f t="shared" si="11"/>
        <v>27373417.721518986</v>
      </c>
      <c r="H207" s="91"/>
    </row>
    <row r="208" spans="1:16" x14ac:dyDescent="0.25">
      <c r="A208" s="56"/>
      <c r="B208" s="24">
        <v>14</v>
      </c>
      <c r="C208" s="24" t="s">
        <v>912</v>
      </c>
      <c r="D208" s="91">
        <v>561</v>
      </c>
      <c r="E208" s="91">
        <v>0</v>
      </c>
      <c r="F208" s="80">
        <v>561</v>
      </c>
      <c r="G208" s="268">
        <f t="shared" si="11"/>
        <v>17753164.556962024</v>
      </c>
      <c r="H208" s="91"/>
    </row>
    <row r="209" spans="3:3" x14ac:dyDescent="0.25">
      <c r="C209" s="270" t="s">
        <v>916</v>
      </c>
    </row>
  </sheetData>
  <pageMargins left="0.25" right="0.25" top="0.75" bottom="0.75" header="0.3" footer="0.3"/>
  <pageSetup paperSize="257" scale="88" fitToHeight="0" orientation="landscape"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C1BD-5E05-4F3E-9DB1-EF53B47EE375}">
  <dimension ref="A1:L386"/>
  <sheetViews>
    <sheetView windowProtection="1" workbookViewId="0">
      <selection activeCell="N36" sqref="N36"/>
    </sheetView>
  </sheetViews>
  <sheetFormatPr defaultRowHeight="15" x14ac:dyDescent="0.25"/>
  <cols>
    <col min="1" max="1" width="10.7109375" style="56" customWidth="1"/>
    <col min="2" max="2" width="9.140625" style="20"/>
    <col min="3" max="3" width="18.7109375" style="20" customWidth="1"/>
    <col min="4" max="4" width="20.7109375" style="1" customWidth="1"/>
    <col min="5" max="5" width="20.7109375" style="56" customWidth="1"/>
    <col min="6" max="6" width="12.7109375" style="179" customWidth="1"/>
    <col min="7" max="7" width="12.7109375" style="238" customWidth="1"/>
    <col min="8" max="8" width="21.7109375" style="56" customWidth="1"/>
    <col min="9" max="9" width="10.7109375" style="56" customWidth="1"/>
    <col min="10" max="10" width="13.7109375" style="56" customWidth="1"/>
    <col min="11" max="11" width="22.7109375" customWidth="1"/>
    <col min="12" max="12" width="22.7109375" style="20" customWidth="1"/>
  </cols>
  <sheetData>
    <row r="1" spans="1:11" x14ac:dyDescent="0.25">
      <c r="B1" s="121"/>
      <c r="C1" s="241" t="s">
        <v>837</v>
      </c>
      <c r="D1" s="242"/>
      <c r="E1" s="242"/>
      <c r="F1" s="20"/>
      <c r="H1" s="20"/>
      <c r="I1" s="20"/>
      <c r="K1" s="172"/>
    </row>
    <row r="2" spans="1:11" ht="15.75" thickBot="1" x14ac:dyDescent="0.3">
      <c r="B2" s="121"/>
      <c r="C2" s="121" t="s">
        <v>6</v>
      </c>
      <c r="D2" s="243"/>
      <c r="E2" s="243"/>
      <c r="F2" s="242"/>
      <c r="G2" s="244" t="s">
        <v>6</v>
      </c>
      <c r="H2" s="20"/>
      <c r="I2" s="20"/>
      <c r="K2" s="172"/>
    </row>
    <row r="3" spans="1:11" x14ac:dyDescent="0.25">
      <c r="A3" s="194" t="s">
        <v>749</v>
      </c>
      <c r="B3" s="253" t="s">
        <v>42</v>
      </c>
      <c r="C3" s="185" t="s">
        <v>838</v>
      </c>
      <c r="D3" s="186" t="s">
        <v>833</v>
      </c>
      <c r="E3" s="186" t="s">
        <v>834</v>
      </c>
      <c r="F3" s="227" t="s">
        <v>835</v>
      </c>
      <c r="G3" s="233" t="s">
        <v>839</v>
      </c>
      <c r="H3" s="101" t="s">
        <v>836</v>
      </c>
      <c r="I3" s="101" t="s">
        <v>841</v>
      </c>
      <c r="J3" s="228" t="s">
        <v>634</v>
      </c>
      <c r="K3" s="172"/>
    </row>
    <row r="4" spans="1:11" x14ac:dyDescent="0.25">
      <c r="A4" s="190">
        <v>1</v>
      </c>
      <c r="B4" s="231">
        <v>1</v>
      </c>
      <c r="C4" s="24"/>
      <c r="D4" s="91"/>
      <c r="E4" s="91"/>
      <c r="F4" s="181"/>
      <c r="G4" s="234"/>
      <c r="H4" s="24"/>
      <c r="I4" s="24"/>
      <c r="J4" s="188"/>
      <c r="K4" s="56"/>
    </row>
    <row r="5" spans="1:11" x14ac:dyDescent="0.25">
      <c r="A5" s="190">
        <v>1</v>
      </c>
      <c r="B5" s="231">
        <v>2</v>
      </c>
      <c r="C5" s="24"/>
      <c r="D5" s="24"/>
      <c r="E5" s="24"/>
      <c r="F5" s="180"/>
      <c r="G5" s="235"/>
      <c r="H5" s="24"/>
      <c r="I5" s="24"/>
      <c r="J5" s="259"/>
      <c r="K5" s="20"/>
    </row>
    <row r="6" spans="1:11" x14ac:dyDescent="0.25">
      <c r="A6" s="190">
        <v>1</v>
      </c>
      <c r="B6" s="231">
        <v>3</v>
      </c>
      <c r="C6" s="24"/>
      <c r="D6" s="24"/>
      <c r="E6" s="24"/>
      <c r="F6" s="180"/>
      <c r="G6" s="235"/>
      <c r="H6" s="24"/>
      <c r="I6" s="24"/>
      <c r="J6" s="188"/>
      <c r="K6" s="20"/>
    </row>
    <row r="7" spans="1:11" x14ac:dyDescent="0.25">
      <c r="A7" s="190">
        <v>1</v>
      </c>
      <c r="B7" s="231">
        <v>4</v>
      </c>
      <c r="C7" s="24"/>
      <c r="D7" s="24"/>
      <c r="E7" s="24"/>
      <c r="F7" s="180"/>
      <c r="G7" s="235"/>
      <c r="H7" s="24"/>
      <c r="I7" s="24"/>
      <c r="J7" s="188"/>
      <c r="K7" s="20"/>
    </row>
    <row r="8" spans="1:11" x14ac:dyDescent="0.25">
      <c r="A8" s="190">
        <v>1</v>
      </c>
      <c r="B8" s="231">
        <v>5</v>
      </c>
      <c r="C8" s="24"/>
      <c r="D8" s="24"/>
      <c r="E8" s="24"/>
      <c r="F8" s="180"/>
      <c r="G8" s="235"/>
      <c r="H8" s="24"/>
      <c r="I8" s="24"/>
      <c r="J8" s="188"/>
      <c r="K8" s="20"/>
    </row>
    <row r="9" spans="1:11" x14ac:dyDescent="0.25">
      <c r="A9" s="261">
        <v>1</v>
      </c>
      <c r="B9" s="262">
        <v>6</v>
      </c>
      <c r="C9" s="24"/>
      <c r="D9" s="24"/>
      <c r="E9" s="24"/>
      <c r="F9" s="180"/>
      <c r="G9" s="235"/>
      <c r="H9" s="24"/>
      <c r="I9" s="24"/>
      <c r="J9" s="188"/>
      <c r="K9" s="20"/>
    </row>
    <row r="10" spans="1:11" x14ac:dyDescent="0.25">
      <c r="A10" s="91"/>
      <c r="B10" s="24"/>
      <c r="C10" s="254"/>
      <c r="D10" s="24"/>
      <c r="E10" s="24"/>
      <c r="F10" s="180"/>
      <c r="G10" s="258"/>
      <c r="H10" s="24"/>
      <c r="I10" s="24"/>
      <c r="J10" s="259"/>
      <c r="K10" s="20"/>
    </row>
    <row r="11" spans="1:11" x14ac:dyDescent="0.25">
      <c r="A11" s="91" t="s">
        <v>749</v>
      </c>
      <c r="B11" s="254" t="s">
        <v>42</v>
      </c>
      <c r="C11" s="254"/>
      <c r="D11" s="255"/>
      <c r="E11" s="255"/>
      <c r="F11" s="256"/>
      <c r="G11" s="257"/>
      <c r="H11" s="24"/>
      <c r="I11" s="24"/>
      <c r="J11" s="188"/>
      <c r="K11" s="20"/>
    </row>
    <row r="12" spans="1:11" x14ac:dyDescent="0.25">
      <c r="A12" s="91">
        <v>2</v>
      </c>
      <c r="B12" s="24">
        <v>1</v>
      </c>
      <c r="C12" s="24"/>
      <c r="D12" s="91"/>
      <c r="E12" s="91"/>
      <c r="F12" s="181"/>
      <c r="G12" s="234"/>
      <c r="H12" s="24"/>
      <c r="I12" s="24"/>
      <c r="J12" s="188"/>
      <c r="K12" s="20"/>
    </row>
    <row r="13" spans="1:11" x14ac:dyDescent="0.25">
      <c r="A13" s="91">
        <v>2</v>
      </c>
      <c r="B13" s="24">
        <v>2</v>
      </c>
      <c r="C13" s="24"/>
      <c r="D13" s="24"/>
      <c r="E13" s="24"/>
      <c r="F13" s="180"/>
      <c r="G13" s="235"/>
      <c r="H13" s="24"/>
      <c r="I13" s="24"/>
      <c r="J13" s="188"/>
      <c r="K13" s="20"/>
    </row>
    <row r="14" spans="1:11" x14ac:dyDescent="0.25">
      <c r="A14" s="91">
        <v>2</v>
      </c>
      <c r="B14" s="24">
        <v>3</v>
      </c>
      <c r="C14" s="24"/>
      <c r="D14" s="24"/>
      <c r="E14" s="24"/>
      <c r="F14" s="180"/>
      <c r="G14" s="235"/>
      <c r="H14" s="24"/>
      <c r="I14" s="24"/>
      <c r="J14" s="259"/>
      <c r="K14" s="20"/>
    </row>
    <row r="15" spans="1:11" x14ac:dyDescent="0.25">
      <c r="A15" s="91">
        <v>2</v>
      </c>
      <c r="B15" s="24">
        <v>4</v>
      </c>
      <c r="C15" s="24"/>
      <c r="D15" s="24"/>
      <c r="E15" s="24"/>
      <c r="F15" s="180"/>
      <c r="G15" s="235"/>
      <c r="H15" s="24"/>
      <c r="I15" s="24"/>
      <c r="J15" s="188"/>
      <c r="K15" s="20"/>
    </row>
    <row r="16" spans="1:11" x14ac:dyDescent="0.25">
      <c r="A16" s="91">
        <v>2</v>
      </c>
      <c r="B16" s="24">
        <v>5</v>
      </c>
      <c r="C16" s="24"/>
      <c r="D16" s="24"/>
      <c r="E16" s="24"/>
      <c r="F16" s="180"/>
      <c r="G16" s="235"/>
      <c r="H16" s="24"/>
      <c r="I16" s="24"/>
      <c r="J16" s="188"/>
      <c r="K16" s="20"/>
    </row>
    <row r="17" spans="1:11" x14ac:dyDescent="0.25">
      <c r="A17" s="91">
        <v>2</v>
      </c>
      <c r="B17" s="24">
        <v>6</v>
      </c>
      <c r="C17" s="24"/>
      <c r="D17" s="24"/>
      <c r="E17" s="24"/>
      <c r="F17" s="180"/>
      <c r="G17" s="235"/>
      <c r="H17" s="24"/>
      <c r="I17" s="24"/>
      <c r="J17" s="188"/>
      <c r="K17" s="20"/>
    </row>
    <row r="18" spans="1:11" x14ac:dyDescent="0.25">
      <c r="A18" s="91"/>
      <c r="B18" s="24"/>
      <c r="C18" s="254"/>
      <c r="D18" s="24"/>
      <c r="E18" s="24"/>
      <c r="F18" s="180"/>
      <c r="G18" s="258"/>
      <c r="H18" s="24"/>
      <c r="I18" s="24"/>
      <c r="J18" s="259"/>
      <c r="K18" s="20"/>
    </row>
    <row r="19" spans="1:11" x14ac:dyDescent="0.25">
      <c r="A19" s="91" t="s">
        <v>749</v>
      </c>
      <c r="B19" s="254" t="s">
        <v>42</v>
      </c>
      <c r="C19" s="254"/>
      <c r="D19" s="255"/>
      <c r="E19" s="255"/>
      <c r="F19" s="256"/>
      <c r="G19" s="257"/>
      <c r="H19" s="24"/>
      <c r="I19" s="24"/>
      <c r="J19" s="188"/>
      <c r="K19" s="20"/>
    </row>
    <row r="20" spans="1:11" x14ac:dyDescent="0.25">
      <c r="A20" s="91">
        <v>3</v>
      </c>
      <c r="B20" s="24">
        <v>1</v>
      </c>
      <c r="C20" s="24"/>
      <c r="D20" s="91"/>
      <c r="E20" s="91"/>
      <c r="F20" s="181"/>
      <c r="G20" s="234"/>
      <c r="H20" s="24"/>
      <c r="I20" s="24"/>
      <c r="J20" s="188"/>
    </row>
    <row r="21" spans="1:11" x14ac:dyDescent="0.25">
      <c r="A21" s="91">
        <v>3</v>
      </c>
      <c r="B21" s="24">
        <v>2</v>
      </c>
      <c r="C21" s="24"/>
      <c r="D21" s="24"/>
      <c r="E21" s="24"/>
      <c r="F21" s="180"/>
      <c r="G21" s="235"/>
      <c r="H21" s="24"/>
      <c r="I21" s="24"/>
      <c r="J21" s="188"/>
      <c r="K21" s="20"/>
    </row>
    <row r="22" spans="1:11" x14ac:dyDescent="0.25">
      <c r="A22" s="91">
        <v>3</v>
      </c>
      <c r="B22" s="24">
        <v>3</v>
      </c>
      <c r="C22" s="24"/>
      <c r="D22" s="24"/>
      <c r="E22" s="24"/>
      <c r="F22" s="180"/>
      <c r="G22" s="235"/>
      <c r="H22" s="24"/>
      <c r="I22" s="24"/>
      <c r="J22" s="188"/>
      <c r="K22" s="20"/>
    </row>
    <row r="23" spans="1:11" x14ac:dyDescent="0.25">
      <c r="A23" s="91">
        <v>3</v>
      </c>
      <c r="B23" s="24">
        <v>4</v>
      </c>
      <c r="C23" s="24"/>
      <c r="D23" s="24"/>
      <c r="E23" s="24"/>
      <c r="F23" s="180"/>
      <c r="G23" s="235"/>
      <c r="H23" s="24"/>
      <c r="I23" s="24"/>
      <c r="J23" s="188"/>
      <c r="K23" s="20"/>
    </row>
    <row r="24" spans="1:11" x14ac:dyDescent="0.25">
      <c r="A24" s="91">
        <v>3</v>
      </c>
      <c r="B24" s="24">
        <v>5</v>
      </c>
      <c r="C24" s="24"/>
      <c r="D24" s="24"/>
      <c r="E24" s="24"/>
      <c r="F24" s="180"/>
      <c r="G24" s="235"/>
      <c r="H24" s="24"/>
      <c r="I24" s="24"/>
      <c r="J24" s="188"/>
      <c r="K24" s="20"/>
    </row>
    <row r="25" spans="1:11" x14ac:dyDescent="0.25">
      <c r="A25" s="91">
        <v>3</v>
      </c>
      <c r="B25" s="24">
        <v>6</v>
      </c>
      <c r="C25" s="24"/>
      <c r="D25" s="24"/>
      <c r="E25" s="24"/>
      <c r="F25" s="180"/>
      <c r="G25" s="235"/>
      <c r="H25" s="24"/>
      <c r="I25" s="24"/>
      <c r="J25" s="259"/>
      <c r="K25" s="20"/>
    </row>
    <row r="26" spans="1:11" x14ac:dyDescent="0.25">
      <c r="A26" s="91"/>
      <c r="B26" s="24"/>
      <c r="C26" s="254"/>
      <c r="D26" s="24"/>
      <c r="E26" s="24"/>
      <c r="F26" s="180"/>
      <c r="G26" s="258"/>
      <c r="H26" s="24"/>
      <c r="I26" s="24"/>
      <c r="J26" s="259"/>
      <c r="K26" s="20"/>
    </row>
    <row r="27" spans="1:11" x14ac:dyDescent="0.25">
      <c r="A27" s="263" t="s">
        <v>749</v>
      </c>
      <c r="B27" s="264" t="s">
        <v>42</v>
      </c>
      <c r="C27" s="254"/>
      <c r="D27" s="255"/>
      <c r="E27" s="255"/>
      <c r="F27" s="256"/>
      <c r="G27" s="257"/>
      <c r="H27" s="24"/>
      <c r="I27" s="24"/>
      <c r="J27" s="188"/>
      <c r="K27" s="20"/>
    </row>
    <row r="28" spans="1:11" x14ac:dyDescent="0.25">
      <c r="A28" s="190">
        <v>4</v>
      </c>
      <c r="B28" s="231">
        <v>1</v>
      </c>
      <c r="C28" s="24"/>
      <c r="D28" s="91"/>
      <c r="E28" s="91"/>
      <c r="F28" s="181"/>
      <c r="G28" s="234"/>
      <c r="H28" s="24"/>
      <c r="I28" s="24"/>
      <c r="J28" s="188"/>
      <c r="K28" s="20"/>
    </row>
    <row r="29" spans="1:11" x14ac:dyDescent="0.25">
      <c r="A29" s="190">
        <v>4</v>
      </c>
      <c r="B29" s="231">
        <v>2</v>
      </c>
      <c r="C29" s="24"/>
      <c r="D29" s="24"/>
      <c r="E29" s="24"/>
      <c r="F29" s="180"/>
      <c r="G29" s="235"/>
      <c r="H29" s="24"/>
      <c r="I29" s="24"/>
      <c r="J29" s="188"/>
      <c r="K29" s="20"/>
    </row>
    <row r="30" spans="1:11" x14ac:dyDescent="0.25">
      <c r="A30" s="190">
        <v>4</v>
      </c>
      <c r="B30" s="231">
        <v>3</v>
      </c>
      <c r="C30" s="24"/>
      <c r="D30" s="24"/>
      <c r="E30" s="24"/>
      <c r="F30" s="180"/>
      <c r="G30" s="235"/>
      <c r="H30" s="24"/>
      <c r="I30" s="24"/>
      <c r="J30" s="188"/>
      <c r="K30" s="20"/>
    </row>
    <row r="31" spans="1:11" x14ac:dyDescent="0.25">
      <c r="A31" s="190">
        <v>4</v>
      </c>
      <c r="B31" s="231">
        <v>4</v>
      </c>
      <c r="C31" s="24"/>
      <c r="D31" s="24"/>
      <c r="E31" s="24"/>
      <c r="F31" s="180"/>
      <c r="G31" s="235"/>
      <c r="H31" s="24"/>
      <c r="I31" s="24"/>
      <c r="J31" s="188"/>
      <c r="K31" s="20"/>
    </row>
    <row r="32" spans="1:11" x14ac:dyDescent="0.25">
      <c r="A32" s="190">
        <v>4</v>
      </c>
      <c r="B32" s="231">
        <v>5</v>
      </c>
      <c r="C32" s="24"/>
      <c r="D32" s="24"/>
      <c r="E32" s="24"/>
      <c r="F32" s="180"/>
      <c r="G32" s="235"/>
      <c r="H32" s="24"/>
      <c r="I32" s="24"/>
      <c r="J32" s="188"/>
      <c r="K32" s="20"/>
    </row>
    <row r="33" spans="1:12" ht="15.75" thickBot="1" x14ac:dyDescent="0.3">
      <c r="A33" s="229">
        <v>4</v>
      </c>
      <c r="B33" s="232">
        <v>6</v>
      </c>
      <c r="C33" s="103"/>
      <c r="D33" s="103"/>
      <c r="E33" s="103"/>
      <c r="F33" s="192"/>
      <c r="G33" s="236"/>
      <c r="H33" s="103"/>
      <c r="I33" s="103"/>
      <c r="J33" s="260"/>
      <c r="K33" s="20"/>
    </row>
    <row r="34" spans="1:12" x14ac:dyDescent="0.25">
      <c r="D34" s="20"/>
      <c r="E34" s="20"/>
      <c r="F34" s="245"/>
      <c r="G34" s="247"/>
      <c r="H34" s="20"/>
      <c r="I34" s="20"/>
      <c r="K34" s="20"/>
    </row>
    <row r="35" spans="1:12" x14ac:dyDescent="0.25">
      <c r="B35" s="121"/>
      <c r="C35" s="241" t="s">
        <v>840</v>
      </c>
      <c r="D35" s="242"/>
      <c r="E35" s="242"/>
      <c r="F35" s="20"/>
      <c r="H35" s="20"/>
      <c r="I35" s="20"/>
    </row>
    <row r="36" spans="1:12" ht="15.75" thickBot="1" x14ac:dyDescent="0.3">
      <c r="B36" s="121"/>
      <c r="C36" s="121" t="s">
        <v>6</v>
      </c>
      <c r="D36" s="243"/>
      <c r="E36" s="243"/>
      <c r="F36" s="242"/>
      <c r="G36" s="244" t="s">
        <v>6</v>
      </c>
      <c r="H36" s="20"/>
      <c r="I36" s="20"/>
      <c r="K36" s="20"/>
    </row>
    <row r="37" spans="1:12" x14ac:dyDescent="0.25">
      <c r="A37" s="194" t="s">
        <v>749</v>
      </c>
      <c r="B37" s="185" t="s">
        <v>42</v>
      </c>
      <c r="C37" s="185" t="s">
        <v>838</v>
      </c>
      <c r="D37" s="186" t="s">
        <v>833</v>
      </c>
      <c r="E37" s="186" t="s">
        <v>834</v>
      </c>
      <c r="F37" s="227" t="s">
        <v>835</v>
      </c>
      <c r="G37" s="233" t="s">
        <v>839</v>
      </c>
      <c r="H37" s="101" t="s">
        <v>836</v>
      </c>
      <c r="I37" s="101" t="s">
        <v>841</v>
      </c>
      <c r="J37" s="240" t="s">
        <v>634</v>
      </c>
      <c r="K37" s="101" t="s">
        <v>850</v>
      </c>
      <c r="L37" s="196" t="s">
        <v>852</v>
      </c>
    </row>
    <row r="38" spans="1:12" x14ac:dyDescent="0.25">
      <c r="A38" s="190">
        <v>1</v>
      </c>
      <c r="B38" s="24">
        <v>1</v>
      </c>
      <c r="C38" s="24"/>
      <c r="D38" s="91"/>
      <c r="E38" s="91"/>
      <c r="F38" s="181"/>
      <c r="G38" s="234"/>
      <c r="H38" s="24"/>
      <c r="I38" s="24"/>
      <c r="J38" s="91"/>
      <c r="K38" s="24"/>
      <c r="L38" s="189"/>
    </row>
    <row r="39" spans="1:12" x14ac:dyDescent="0.25">
      <c r="A39" s="190">
        <v>1</v>
      </c>
      <c r="B39" s="24">
        <v>2</v>
      </c>
      <c r="C39" s="24"/>
      <c r="D39" s="24"/>
      <c r="E39" s="24"/>
      <c r="F39" s="180"/>
      <c r="G39" s="235"/>
      <c r="H39" s="24"/>
      <c r="I39" s="24"/>
      <c r="J39" s="24"/>
      <c r="K39" s="24"/>
      <c r="L39" s="189"/>
    </row>
    <row r="40" spans="1:12" x14ac:dyDescent="0.25">
      <c r="A40" s="190">
        <v>1</v>
      </c>
      <c r="B40" s="24">
        <v>3</v>
      </c>
      <c r="C40" s="24"/>
      <c r="D40" s="24"/>
      <c r="E40" s="24"/>
      <c r="F40" s="180"/>
      <c r="G40" s="235"/>
      <c r="H40" s="24"/>
      <c r="I40" s="24"/>
      <c r="J40" s="91"/>
      <c r="K40" s="24"/>
      <c r="L40" s="189"/>
    </row>
    <row r="41" spans="1:12" x14ac:dyDescent="0.25">
      <c r="A41" s="190">
        <v>1</v>
      </c>
      <c r="B41" s="24">
        <v>4</v>
      </c>
      <c r="C41" s="24"/>
      <c r="D41" s="24"/>
      <c r="E41" s="24"/>
      <c r="F41" s="180"/>
      <c r="G41" s="235"/>
      <c r="H41" s="24"/>
      <c r="I41" s="24"/>
      <c r="J41" s="91"/>
      <c r="K41" s="24"/>
      <c r="L41" s="189"/>
    </row>
    <row r="42" spans="1:12" x14ac:dyDescent="0.25">
      <c r="A42" s="190">
        <v>1</v>
      </c>
      <c r="B42" s="24">
        <v>5</v>
      </c>
      <c r="C42" s="24"/>
      <c r="D42" s="24"/>
      <c r="E42" s="24"/>
      <c r="F42" s="180"/>
      <c r="G42" s="235"/>
      <c r="H42" s="24"/>
      <c r="I42" s="24"/>
      <c r="J42" s="91"/>
      <c r="K42" s="24"/>
      <c r="L42" s="189"/>
    </row>
    <row r="43" spans="1:12" x14ac:dyDescent="0.25">
      <c r="A43" s="190">
        <v>1</v>
      </c>
      <c r="B43" s="24">
        <v>6</v>
      </c>
      <c r="C43" s="24"/>
      <c r="D43" s="24"/>
      <c r="E43" s="24"/>
      <c r="F43" s="180"/>
      <c r="G43" s="235"/>
      <c r="H43" s="24"/>
      <c r="I43" s="24"/>
      <c r="J43" s="91"/>
      <c r="K43" s="24"/>
      <c r="L43" s="189"/>
    </row>
    <row r="44" spans="1:12" x14ac:dyDescent="0.25">
      <c r="A44" s="190"/>
      <c r="B44" s="24"/>
      <c r="C44" s="254"/>
      <c r="D44" s="24"/>
      <c r="E44" s="24"/>
      <c r="F44" s="180"/>
      <c r="G44" s="258"/>
      <c r="H44" s="24"/>
      <c r="I44" s="24"/>
      <c r="J44" s="25"/>
      <c r="K44" s="24"/>
      <c r="L44" s="189"/>
    </row>
    <row r="45" spans="1:12" x14ac:dyDescent="0.25">
      <c r="A45" s="190" t="s">
        <v>749</v>
      </c>
      <c r="B45" s="254" t="s">
        <v>42</v>
      </c>
      <c r="C45" s="254"/>
      <c r="D45" s="255"/>
      <c r="E45" s="255"/>
      <c r="F45" s="256"/>
      <c r="G45" s="257"/>
      <c r="H45" s="24"/>
      <c r="I45" s="24"/>
      <c r="J45" s="91"/>
      <c r="K45" s="24"/>
      <c r="L45" s="189"/>
    </row>
    <row r="46" spans="1:12" x14ac:dyDescent="0.25">
      <c r="A46" s="190">
        <v>2</v>
      </c>
      <c r="B46" s="24">
        <v>1</v>
      </c>
      <c r="C46" s="24"/>
      <c r="D46" s="24"/>
      <c r="E46" s="24"/>
      <c r="F46" s="24"/>
      <c r="G46" s="24"/>
      <c r="H46" s="24"/>
      <c r="I46" s="24"/>
      <c r="J46" s="91"/>
      <c r="K46" s="24"/>
      <c r="L46" s="189"/>
    </row>
    <row r="47" spans="1:12" x14ac:dyDescent="0.25">
      <c r="A47" s="190">
        <v>2</v>
      </c>
      <c r="B47" s="24">
        <v>2</v>
      </c>
      <c r="C47" s="24"/>
      <c r="D47" s="24"/>
      <c r="E47" s="24"/>
      <c r="F47" s="24"/>
      <c r="G47" s="24"/>
      <c r="H47" s="24"/>
      <c r="I47" s="24"/>
      <c r="J47" s="24"/>
      <c r="K47" s="24"/>
      <c r="L47" s="189"/>
    </row>
    <row r="48" spans="1:12" x14ac:dyDescent="0.25">
      <c r="A48" s="190">
        <v>2</v>
      </c>
      <c r="B48" s="24">
        <v>3</v>
      </c>
      <c r="C48" s="24"/>
      <c r="D48" s="24"/>
      <c r="E48" s="24"/>
      <c r="F48" s="24"/>
      <c r="G48" s="24"/>
      <c r="H48" s="24"/>
      <c r="I48" s="24"/>
      <c r="J48" s="91"/>
      <c r="K48" s="24"/>
      <c r="L48" s="189"/>
    </row>
    <row r="49" spans="1:12" x14ac:dyDescent="0.25">
      <c r="A49" s="190">
        <v>2</v>
      </c>
      <c r="B49" s="24">
        <v>4</v>
      </c>
      <c r="C49" s="24"/>
      <c r="D49" s="24"/>
      <c r="E49" s="24"/>
      <c r="F49" s="24"/>
      <c r="G49" s="24"/>
      <c r="H49" s="24"/>
      <c r="I49" s="24"/>
      <c r="J49" s="91"/>
      <c r="K49" s="24"/>
      <c r="L49" s="189"/>
    </row>
    <row r="50" spans="1:12" x14ac:dyDescent="0.25">
      <c r="A50" s="190">
        <v>2</v>
      </c>
      <c r="B50" s="24">
        <v>5</v>
      </c>
      <c r="C50" s="24"/>
      <c r="D50" s="24"/>
      <c r="E50" s="24"/>
      <c r="F50" s="24"/>
      <c r="G50" s="24"/>
      <c r="H50" s="24"/>
      <c r="I50" s="24"/>
      <c r="J50" s="91"/>
      <c r="K50" s="24"/>
      <c r="L50" s="189"/>
    </row>
    <row r="51" spans="1:12" x14ac:dyDescent="0.25">
      <c r="A51" s="190">
        <v>2</v>
      </c>
      <c r="B51" s="24">
        <v>6</v>
      </c>
      <c r="C51" s="24"/>
      <c r="D51" s="24"/>
      <c r="E51" s="24"/>
      <c r="F51" s="24"/>
      <c r="G51" s="24"/>
      <c r="H51" s="24"/>
      <c r="I51" s="24"/>
      <c r="J51" s="91"/>
      <c r="K51" s="24"/>
      <c r="L51" s="189"/>
    </row>
    <row r="52" spans="1:12" x14ac:dyDescent="0.25">
      <c r="A52" s="190"/>
      <c r="B52" s="24"/>
      <c r="C52" s="254"/>
      <c r="D52" s="24"/>
      <c r="E52" s="24"/>
      <c r="F52" s="180"/>
      <c r="G52" s="258"/>
      <c r="H52" s="24"/>
      <c r="I52" s="24"/>
      <c r="J52" s="25"/>
      <c r="K52" s="25"/>
      <c r="L52" s="189"/>
    </row>
    <row r="53" spans="1:12" x14ac:dyDescent="0.25">
      <c r="A53" s="190" t="s">
        <v>749</v>
      </c>
      <c r="B53" s="254" t="s">
        <v>42</v>
      </c>
      <c r="C53" s="254"/>
      <c r="D53" s="255"/>
      <c r="E53" s="255"/>
      <c r="F53" s="256"/>
      <c r="G53" s="257"/>
      <c r="H53" s="24"/>
      <c r="I53" s="24"/>
      <c r="J53" s="91"/>
      <c r="K53" s="24"/>
      <c r="L53" s="189"/>
    </row>
    <row r="54" spans="1:12" x14ac:dyDescent="0.25">
      <c r="A54" s="190">
        <v>3</v>
      </c>
      <c r="B54" s="24">
        <v>1</v>
      </c>
      <c r="C54" s="24"/>
      <c r="D54" s="91"/>
      <c r="E54" s="91"/>
      <c r="F54" s="181"/>
      <c r="G54" s="234"/>
      <c r="H54" s="24"/>
      <c r="I54" s="24"/>
      <c r="J54" s="91"/>
      <c r="K54" s="24"/>
      <c r="L54" s="189"/>
    </row>
    <row r="55" spans="1:12" x14ac:dyDescent="0.25">
      <c r="A55" s="190">
        <v>3</v>
      </c>
      <c r="B55" s="24">
        <v>2</v>
      </c>
      <c r="C55" s="24"/>
      <c r="D55" s="24"/>
      <c r="E55" s="24"/>
      <c r="F55" s="180"/>
      <c r="G55" s="235"/>
      <c r="H55" s="24"/>
      <c r="I55" s="24"/>
      <c r="J55" s="24"/>
      <c r="K55" s="24"/>
      <c r="L55" s="189"/>
    </row>
    <row r="56" spans="1:12" x14ac:dyDescent="0.25">
      <c r="A56" s="190">
        <v>3</v>
      </c>
      <c r="B56" s="24">
        <v>3</v>
      </c>
      <c r="C56" s="24"/>
      <c r="D56" s="24"/>
      <c r="E56" s="24"/>
      <c r="F56" s="180"/>
      <c r="G56" s="235"/>
      <c r="H56" s="24"/>
      <c r="I56" s="24"/>
      <c r="J56" s="91"/>
      <c r="K56" s="24"/>
      <c r="L56" s="189"/>
    </row>
    <row r="57" spans="1:12" x14ac:dyDescent="0.25">
      <c r="A57" s="190">
        <v>3</v>
      </c>
      <c r="B57" s="24">
        <v>4</v>
      </c>
      <c r="C57" s="24"/>
      <c r="D57" s="24"/>
      <c r="E57" s="24"/>
      <c r="F57" s="180"/>
      <c r="G57" s="235"/>
      <c r="H57" s="24"/>
      <c r="I57" s="24"/>
      <c r="J57" s="91"/>
      <c r="K57" s="24"/>
      <c r="L57" s="189"/>
    </row>
    <row r="58" spans="1:12" x14ac:dyDescent="0.25">
      <c r="A58" s="190">
        <v>3</v>
      </c>
      <c r="B58" s="24">
        <v>5</v>
      </c>
      <c r="C58" s="24"/>
      <c r="D58" s="24"/>
      <c r="E58" s="24"/>
      <c r="F58" s="180"/>
      <c r="G58" s="235"/>
      <c r="H58" s="24"/>
      <c r="I58" s="24"/>
      <c r="J58" s="91"/>
      <c r="K58" s="24"/>
      <c r="L58" s="189"/>
    </row>
    <row r="59" spans="1:12" x14ac:dyDescent="0.25">
      <c r="A59" s="190">
        <v>3</v>
      </c>
      <c r="B59" s="24">
        <v>6</v>
      </c>
      <c r="C59" s="24"/>
      <c r="D59" s="24"/>
      <c r="E59" s="24"/>
      <c r="F59" s="180"/>
      <c r="G59" s="235"/>
      <c r="H59" s="24"/>
      <c r="I59" s="24"/>
      <c r="J59" s="91"/>
      <c r="K59" s="24"/>
      <c r="L59" s="189"/>
    </row>
    <row r="60" spans="1:12" x14ac:dyDescent="0.25">
      <c r="A60" s="190"/>
      <c r="B60" s="24"/>
      <c r="C60" s="254"/>
      <c r="D60" s="24"/>
      <c r="E60" s="24"/>
      <c r="F60" s="180"/>
      <c r="G60" s="258"/>
      <c r="H60" s="24"/>
      <c r="I60" s="24"/>
      <c r="J60" s="25"/>
      <c r="K60" s="25"/>
      <c r="L60" s="189"/>
    </row>
    <row r="61" spans="1:12" x14ac:dyDescent="0.25">
      <c r="A61" s="190" t="s">
        <v>749</v>
      </c>
      <c r="B61" s="254" t="s">
        <v>42</v>
      </c>
      <c r="C61" s="254"/>
      <c r="D61" s="255"/>
      <c r="E61" s="255"/>
      <c r="F61" s="256"/>
      <c r="G61" s="257"/>
      <c r="H61" s="24"/>
      <c r="I61" s="24"/>
      <c r="J61" s="91"/>
      <c r="K61" s="24"/>
      <c r="L61" s="189"/>
    </row>
    <row r="62" spans="1:12" x14ac:dyDescent="0.25">
      <c r="A62" s="190">
        <v>4</v>
      </c>
      <c r="B62" s="24">
        <v>1</v>
      </c>
      <c r="C62" s="24"/>
      <c r="D62" s="24"/>
      <c r="E62" s="91"/>
      <c r="F62" s="181"/>
      <c r="G62" s="234"/>
      <c r="H62" s="24"/>
      <c r="I62" s="24"/>
      <c r="J62" s="91"/>
      <c r="K62" s="24"/>
      <c r="L62" s="189"/>
    </row>
    <row r="63" spans="1:12" x14ac:dyDescent="0.25">
      <c r="A63" s="190">
        <v>4</v>
      </c>
      <c r="B63" s="24">
        <v>2</v>
      </c>
      <c r="C63" s="24"/>
      <c r="D63" s="24"/>
      <c r="E63" s="24"/>
      <c r="F63" s="180"/>
      <c r="G63" s="235"/>
      <c r="H63" s="24"/>
      <c r="I63" s="24"/>
      <c r="J63" s="24"/>
      <c r="K63" s="24"/>
      <c r="L63" s="189"/>
    </row>
    <row r="64" spans="1:12" x14ac:dyDescent="0.25">
      <c r="A64" s="190">
        <v>4</v>
      </c>
      <c r="B64" s="24">
        <v>3</v>
      </c>
      <c r="C64" s="24"/>
      <c r="D64" s="24"/>
      <c r="E64" s="24"/>
      <c r="F64" s="180"/>
      <c r="G64" s="235"/>
      <c r="H64" s="24"/>
      <c r="I64" s="24"/>
      <c r="J64" s="91"/>
      <c r="K64" s="24"/>
      <c r="L64" s="189"/>
    </row>
    <row r="65" spans="1:12" x14ac:dyDescent="0.25">
      <c r="A65" s="190">
        <v>4</v>
      </c>
      <c r="B65" s="24">
        <v>4</v>
      </c>
      <c r="C65" s="24"/>
      <c r="D65" s="24"/>
      <c r="E65" s="24"/>
      <c r="F65" s="180"/>
      <c r="G65" s="235"/>
      <c r="H65" s="24"/>
      <c r="I65" s="24"/>
      <c r="J65" s="91"/>
      <c r="K65" s="24"/>
      <c r="L65" s="189"/>
    </row>
    <row r="66" spans="1:12" x14ac:dyDescent="0.25">
      <c r="A66" s="190">
        <v>4</v>
      </c>
      <c r="B66" s="24">
        <v>5</v>
      </c>
      <c r="C66" s="24"/>
      <c r="D66" s="24"/>
      <c r="E66" s="24"/>
      <c r="F66" s="180"/>
      <c r="G66" s="235"/>
      <c r="H66" s="24"/>
      <c r="I66" s="24"/>
      <c r="J66" s="91"/>
      <c r="K66" s="24"/>
      <c r="L66" s="189"/>
    </row>
    <row r="67" spans="1:12" ht="15.75" thickBot="1" x14ac:dyDescent="0.3">
      <c r="A67" s="229">
        <v>4</v>
      </c>
      <c r="B67" s="103">
        <v>6</v>
      </c>
      <c r="C67" s="103"/>
      <c r="D67" s="103"/>
      <c r="E67" s="103"/>
      <c r="F67" s="192"/>
      <c r="G67" s="236"/>
      <c r="H67" s="103"/>
      <c r="I67" s="103"/>
      <c r="J67" s="198"/>
      <c r="K67" s="103"/>
      <c r="L67" s="193"/>
    </row>
    <row r="68" spans="1:12" x14ac:dyDescent="0.25">
      <c r="A68"/>
      <c r="B68"/>
      <c r="C68"/>
      <c r="D68"/>
      <c r="E68"/>
      <c r="F68"/>
      <c r="G68" s="237"/>
      <c r="H68"/>
      <c r="I68"/>
      <c r="J68"/>
    </row>
    <row r="69" spans="1:12" x14ac:dyDescent="0.25">
      <c r="A69"/>
      <c r="B69"/>
      <c r="C69"/>
      <c r="D69"/>
      <c r="E69"/>
      <c r="F69"/>
      <c r="G69" s="237"/>
      <c r="H69"/>
      <c r="I69"/>
      <c r="J69"/>
    </row>
    <row r="70" spans="1:12" x14ac:dyDescent="0.25">
      <c r="A70"/>
      <c r="B70"/>
      <c r="C70"/>
      <c r="D70"/>
      <c r="E70"/>
      <c r="F70"/>
      <c r="G70" s="237"/>
      <c r="H70"/>
      <c r="I70"/>
      <c r="J70"/>
    </row>
    <row r="71" spans="1:12" x14ac:dyDescent="0.25">
      <c r="A71"/>
      <c r="B71"/>
      <c r="C71"/>
      <c r="D71"/>
      <c r="E71"/>
      <c r="F71"/>
      <c r="G71" s="237"/>
      <c r="H71"/>
      <c r="I71"/>
      <c r="J71"/>
    </row>
    <row r="72" spans="1:12" x14ac:dyDescent="0.25">
      <c r="A72"/>
      <c r="B72"/>
      <c r="C72"/>
      <c r="D72"/>
      <c r="E72"/>
      <c r="F72"/>
      <c r="G72" s="237"/>
      <c r="H72"/>
      <c r="I72"/>
      <c r="J72"/>
    </row>
    <row r="73" spans="1:12" x14ac:dyDescent="0.25">
      <c r="A73"/>
      <c r="B73"/>
      <c r="C73"/>
      <c r="D73"/>
      <c r="E73"/>
      <c r="F73"/>
      <c r="G73" s="237"/>
      <c r="H73"/>
      <c r="I73"/>
      <c r="J73"/>
    </row>
    <row r="74" spans="1:12" x14ac:dyDescent="0.25">
      <c r="A74"/>
      <c r="B74"/>
      <c r="C74"/>
      <c r="D74"/>
      <c r="E74"/>
      <c r="F74"/>
      <c r="G74" s="237"/>
      <c r="H74"/>
      <c r="I74"/>
      <c r="J74"/>
    </row>
    <row r="75" spans="1:12" x14ac:dyDescent="0.25">
      <c r="A75"/>
      <c r="B75"/>
      <c r="C75"/>
      <c r="D75"/>
      <c r="E75"/>
      <c r="F75"/>
      <c r="G75" s="237"/>
      <c r="H75"/>
      <c r="I75"/>
      <c r="J75"/>
    </row>
    <row r="76" spans="1:12" x14ac:dyDescent="0.25">
      <c r="A76"/>
      <c r="B76"/>
      <c r="C76"/>
      <c r="D76"/>
      <c r="E76"/>
      <c r="F76"/>
      <c r="G76" s="237"/>
      <c r="H76"/>
      <c r="I76"/>
      <c r="J76"/>
    </row>
    <row r="77" spans="1:12" x14ac:dyDescent="0.25">
      <c r="A77"/>
      <c r="B77"/>
      <c r="C77"/>
      <c r="D77"/>
      <c r="E77"/>
      <c r="F77"/>
      <c r="G77" s="237"/>
      <c r="H77"/>
      <c r="I77"/>
      <c r="J77"/>
    </row>
    <row r="78" spans="1:12" x14ac:dyDescent="0.25">
      <c r="A78"/>
      <c r="B78"/>
      <c r="C78"/>
      <c r="D78"/>
      <c r="E78"/>
      <c r="F78"/>
      <c r="G78" s="237"/>
      <c r="H78"/>
      <c r="I78"/>
      <c r="J78"/>
    </row>
    <row r="79" spans="1:12" x14ac:dyDescent="0.25">
      <c r="A79"/>
      <c r="B79"/>
      <c r="C79"/>
      <c r="D79"/>
      <c r="E79"/>
      <c r="F79"/>
      <c r="G79" s="237"/>
      <c r="H79"/>
      <c r="I79"/>
      <c r="J79"/>
    </row>
    <row r="80" spans="1:12" x14ac:dyDescent="0.25">
      <c r="A80"/>
      <c r="B80"/>
      <c r="C80"/>
      <c r="D80"/>
      <c r="E80"/>
      <c r="F80"/>
      <c r="G80" s="237"/>
      <c r="H80"/>
      <c r="I80"/>
      <c r="J80"/>
    </row>
    <row r="81" spans="1:10" x14ac:dyDescent="0.25">
      <c r="A81"/>
      <c r="B81"/>
      <c r="C81"/>
      <c r="D81"/>
      <c r="E81"/>
      <c r="F81"/>
      <c r="G81" s="237"/>
      <c r="H81"/>
      <c r="I81"/>
      <c r="J81"/>
    </row>
    <row r="82" spans="1:10" x14ac:dyDescent="0.25">
      <c r="A82"/>
      <c r="B82"/>
      <c r="C82"/>
      <c r="D82"/>
      <c r="E82"/>
      <c r="F82"/>
      <c r="G82" s="237"/>
      <c r="H82"/>
      <c r="I82"/>
      <c r="J82"/>
    </row>
    <row r="83" spans="1:10" x14ac:dyDescent="0.25">
      <c r="A83"/>
      <c r="B83"/>
      <c r="C83"/>
      <c r="D83"/>
      <c r="E83"/>
      <c r="F83"/>
      <c r="G83" s="237"/>
      <c r="H83"/>
      <c r="I83"/>
      <c r="J83"/>
    </row>
    <row r="84" spans="1:10" x14ac:dyDescent="0.25">
      <c r="A84"/>
      <c r="B84"/>
      <c r="C84"/>
      <c r="D84"/>
      <c r="E84"/>
      <c r="F84"/>
      <c r="G84" s="237"/>
      <c r="H84"/>
      <c r="I84"/>
      <c r="J84"/>
    </row>
    <row r="85" spans="1:10" x14ac:dyDescent="0.25">
      <c r="A85"/>
      <c r="B85"/>
      <c r="C85"/>
      <c r="D85"/>
      <c r="E85"/>
      <c r="F85"/>
      <c r="G85" s="237"/>
      <c r="H85"/>
      <c r="I85"/>
      <c r="J85"/>
    </row>
    <row r="86" spans="1:10" x14ac:dyDescent="0.25">
      <c r="A86"/>
      <c r="B86"/>
      <c r="C86"/>
      <c r="D86"/>
      <c r="E86"/>
      <c r="F86"/>
      <c r="G86" s="237"/>
      <c r="H86"/>
      <c r="I86"/>
      <c r="J86"/>
    </row>
    <row r="87" spans="1:10" x14ac:dyDescent="0.25">
      <c r="A87"/>
      <c r="B87"/>
      <c r="C87"/>
      <c r="D87"/>
      <c r="E87"/>
      <c r="F87"/>
      <c r="G87" s="237"/>
      <c r="H87"/>
      <c r="I87"/>
      <c r="J87"/>
    </row>
    <row r="88" spans="1:10" x14ac:dyDescent="0.25">
      <c r="A88"/>
      <c r="B88"/>
      <c r="C88"/>
      <c r="D88"/>
      <c r="E88"/>
      <c r="F88"/>
      <c r="G88" s="237"/>
      <c r="H88"/>
      <c r="I88"/>
      <c r="J88"/>
    </row>
    <row r="89" spans="1:10" x14ac:dyDescent="0.25">
      <c r="A89"/>
      <c r="B89"/>
      <c r="C89"/>
      <c r="D89"/>
      <c r="E89"/>
      <c r="F89"/>
      <c r="G89" s="237"/>
      <c r="H89"/>
      <c r="I89"/>
      <c r="J89"/>
    </row>
    <row r="90" spans="1:10" x14ac:dyDescent="0.25">
      <c r="A90"/>
      <c r="B90"/>
      <c r="C90"/>
      <c r="D90"/>
      <c r="E90"/>
      <c r="F90"/>
      <c r="G90" s="237"/>
      <c r="H90"/>
      <c r="I90"/>
      <c r="J90"/>
    </row>
    <row r="91" spans="1:10" x14ac:dyDescent="0.25">
      <c r="A91"/>
      <c r="B91"/>
      <c r="C91"/>
      <c r="D91"/>
      <c r="E91"/>
      <c r="F91"/>
      <c r="G91" s="237"/>
      <c r="H91"/>
      <c r="I91"/>
      <c r="J91"/>
    </row>
    <row r="92" spans="1:10" x14ac:dyDescent="0.25">
      <c r="A92"/>
      <c r="B92"/>
      <c r="C92"/>
      <c r="D92"/>
      <c r="E92"/>
      <c r="F92"/>
      <c r="G92" s="237"/>
      <c r="H92"/>
      <c r="I92"/>
      <c r="J92"/>
    </row>
    <row r="93" spans="1:10" x14ac:dyDescent="0.25">
      <c r="A93"/>
      <c r="B93"/>
      <c r="C93"/>
      <c r="D93"/>
      <c r="E93"/>
      <c r="F93"/>
      <c r="G93" s="237"/>
      <c r="H93"/>
      <c r="I93"/>
      <c r="J93"/>
    </row>
    <row r="94" spans="1:10" x14ac:dyDescent="0.25">
      <c r="A94"/>
      <c r="B94"/>
      <c r="C94"/>
      <c r="D94"/>
      <c r="E94"/>
      <c r="F94"/>
      <c r="G94" s="237"/>
      <c r="H94"/>
      <c r="I94"/>
      <c r="J94"/>
    </row>
    <row r="95" spans="1:10" x14ac:dyDescent="0.25">
      <c r="A95"/>
      <c r="B95"/>
      <c r="C95"/>
      <c r="D95"/>
      <c r="E95"/>
      <c r="F95"/>
      <c r="G95" s="237"/>
      <c r="H95"/>
      <c r="I95"/>
      <c r="J95"/>
    </row>
    <row r="96" spans="1:10" x14ac:dyDescent="0.25">
      <c r="A96"/>
      <c r="B96"/>
      <c r="C96"/>
      <c r="D96"/>
      <c r="E96"/>
      <c r="F96"/>
      <c r="G96" s="237"/>
      <c r="H96"/>
      <c r="I96"/>
      <c r="J96"/>
    </row>
    <row r="97" spans="1:10" x14ac:dyDescent="0.25">
      <c r="A97"/>
      <c r="B97"/>
      <c r="C97"/>
      <c r="D97"/>
      <c r="E97"/>
      <c r="F97"/>
      <c r="G97" s="237"/>
      <c r="H97"/>
      <c r="I97"/>
      <c r="J97"/>
    </row>
    <row r="98" spans="1:10" x14ac:dyDescent="0.25">
      <c r="A98"/>
      <c r="B98"/>
      <c r="C98"/>
      <c r="D98"/>
      <c r="E98"/>
      <c r="F98"/>
      <c r="G98" s="237"/>
      <c r="H98"/>
      <c r="I98"/>
      <c r="J98"/>
    </row>
    <row r="99" spans="1:10" x14ac:dyDescent="0.25">
      <c r="A99"/>
      <c r="B99"/>
      <c r="C99"/>
      <c r="D99"/>
      <c r="E99"/>
      <c r="F99"/>
      <c r="G99" s="237"/>
      <c r="H99"/>
      <c r="I99"/>
      <c r="J99"/>
    </row>
    <row r="100" spans="1:10" x14ac:dyDescent="0.25">
      <c r="A100"/>
      <c r="B100"/>
      <c r="C100"/>
      <c r="D100"/>
      <c r="E100"/>
      <c r="F100"/>
      <c r="G100" s="237"/>
      <c r="H100"/>
      <c r="I100"/>
      <c r="J100"/>
    </row>
    <row r="101" spans="1:10" x14ac:dyDescent="0.25">
      <c r="A101"/>
      <c r="B101"/>
      <c r="C101"/>
      <c r="D101"/>
      <c r="E101"/>
      <c r="F101"/>
      <c r="G101" s="237"/>
      <c r="H101"/>
      <c r="I101"/>
      <c r="J101"/>
    </row>
    <row r="102" spans="1:10" x14ac:dyDescent="0.25">
      <c r="A102"/>
      <c r="B102"/>
      <c r="C102"/>
      <c r="D102"/>
      <c r="E102"/>
      <c r="F102"/>
      <c r="G102" s="237"/>
      <c r="H102"/>
      <c r="I102"/>
      <c r="J102"/>
    </row>
    <row r="103" spans="1:10" x14ac:dyDescent="0.25">
      <c r="A103"/>
      <c r="B103"/>
      <c r="C103"/>
      <c r="D103"/>
      <c r="E103"/>
      <c r="F103"/>
      <c r="G103" s="237"/>
      <c r="H103"/>
      <c r="I103"/>
      <c r="J103"/>
    </row>
    <row r="104" spans="1:10" x14ac:dyDescent="0.25">
      <c r="A104"/>
      <c r="B104"/>
      <c r="C104"/>
      <c r="D104"/>
      <c r="E104"/>
      <c r="F104"/>
      <c r="G104" s="237"/>
      <c r="H104"/>
      <c r="I104"/>
      <c r="J104"/>
    </row>
    <row r="105" spans="1:10" x14ac:dyDescent="0.25">
      <c r="A105"/>
      <c r="B105"/>
      <c r="C105"/>
      <c r="D105"/>
      <c r="E105"/>
      <c r="F105"/>
      <c r="G105" s="237"/>
      <c r="H105"/>
      <c r="I105"/>
      <c r="J105"/>
    </row>
    <row r="106" spans="1:10" x14ac:dyDescent="0.25">
      <c r="A106"/>
      <c r="B106"/>
      <c r="C106"/>
      <c r="D106"/>
      <c r="E106"/>
      <c r="F106"/>
      <c r="G106" s="237"/>
      <c r="H106"/>
      <c r="I106"/>
      <c r="J106"/>
    </row>
    <row r="107" spans="1:10" x14ac:dyDescent="0.25">
      <c r="A107"/>
      <c r="B107"/>
      <c r="C107"/>
      <c r="D107"/>
      <c r="E107"/>
      <c r="F107"/>
      <c r="G107" s="237"/>
      <c r="H107"/>
      <c r="I107"/>
      <c r="J107"/>
    </row>
    <row r="108" spans="1:10" x14ac:dyDescent="0.25">
      <c r="A108"/>
      <c r="B108"/>
      <c r="C108"/>
      <c r="D108"/>
      <c r="E108"/>
      <c r="F108"/>
      <c r="G108" s="237"/>
      <c r="H108"/>
      <c r="I108"/>
      <c r="J108"/>
    </row>
    <row r="109" spans="1:10" x14ac:dyDescent="0.25">
      <c r="A109"/>
      <c r="B109"/>
      <c r="C109"/>
      <c r="D109"/>
      <c r="E109"/>
      <c r="F109"/>
      <c r="G109" s="237"/>
      <c r="H109"/>
      <c r="I109"/>
      <c r="J109"/>
    </row>
    <row r="110" spans="1:10" x14ac:dyDescent="0.25">
      <c r="A110"/>
      <c r="B110"/>
      <c r="C110"/>
      <c r="D110"/>
      <c r="E110"/>
      <c r="F110"/>
      <c r="G110" s="237"/>
      <c r="H110"/>
      <c r="I110"/>
      <c r="J110"/>
    </row>
    <row r="111" spans="1:10" x14ac:dyDescent="0.25">
      <c r="A111"/>
      <c r="B111"/>
      <c r="C111"/>
      <c r="D111"/>
      <c r="E111"/>
      <c r="F111"/>
      <c r="G111" s="237"/>
      <c r="H111"/>
      <c r="I111"/>
      <c r="J111"/>
    </row>
    <row r="112" spans="1:10" x14ac:dyDescent="0.25">
      <c r="A112"/>
      <c r="B112"/>
      <c r="C112"/>
      <c r="D112"/>
      <c r="E112"/>
      <c r="F112"/>
      <c r="G112" s="237"/>
      <c r="H112"/>
      <c r="I112"/>
      <c r="J112"/>
    </row>
    <row r="113" spans="1:10" x14ac:dyDescent="0.25">
      <c r="A113"/>
      <c r="B113"/>
      <c r="C113"/>
      <c r="D113"/>
      <c r="E113"/>
      <c r="F113"/>
      <c r="G113" s="237"/>
      <c r="H113"/>
      <c r="I113"/>
      <c r="J113"/>
    </row>
    <row r="114" spans="1:10" x14ac:dyDescent="0.25">
      <c r="A114"/>
      <c r="B114"/>
      <c r="C114"/>
      <c r="D114"/>
      <c r="E114"/>
      <c r="F114"/>
      <c r="G114" s="237"/>
      <c r="H114"/>
      <c r="I114"/>
      <c r="J114"/>
    </row>
    <row r="115" spans="1:10" x14ac:dyDescent="0.25">
      <c r="A115"/>
      <c r="B115"/>
      <c r="C115"/>
      <c r="D115"/>
      <c r="E115"/>
      <c r="F115"/>
      <c r="G115" s="237"/>
      <c r="H115"/>
      <c r="I115"/>
      <c r="J115"/>
    </row>
    <row r="116" spans="1:10" x14ac:dyDescent="0.25">
      <c r="A116"/>
      <c r="B116"/>
      <c r="C116"/>
      <c r="D116"/>
      <c r="E116"/>
      <c r="F116"/>
      <c r="G116" s="237"/>
      <c r="H116"/>
      <c r="I116"/>
      <c r="J116"/>
    </row>
    <row r="117" spans="1:10" x14ac:dyDescent="0.25">
      <c r="A117"/>
      <c r="B117"/>
      <c r="C117"/>
      <c r="D117"/>
      <c r="E117"/>
      <c r="F117"/>
      <c r="G117" s="237"/>
      <c r="H117"/>
      <c r="I117"/>
      <c r="J117"/>
    </row>
    <row r="118" spans="1:10" x14ac:dyDescent="0.25">
      <c r="A118"/>
      <c r="B118"/>
      <c r="C118"/>
      <c r="D118"/>
      <c r="E118"/>
      <c r="F118"/>
      <c r="G118" s="237"/>
      <c r="H118"/>
      <c r="I118"/>
      <c r="J118"/>
    </row>
    <row r="119" spans="1:10" x14ac:dyDescent="0.25">
      <c r="A119"/>
      <c r="B119"/>
      <c r="C119"/>
      <c r="D119"/>
      <c r="E119"/>
      <c r="F119"/>
      <c r="G119" s="237"/>
      <c r="H119"/>
      <c r="I119"/>
      <c r="J119"/>
    </row>
    <row r="120" spans="1:10" x14ac:dyDescent="0.25">
      <c r="A120"/>
      <c r="B120"/>
      <c r="C120"/>
      <c r="D120"/>
      <c r="E120"/>
      <c r="F120"/>
      <c r="G120" s="237"/>
      <c r="H120"/>
      <c r="I120"/>
      <c r="J120"/>
    </row>
    <row r="121" spans="1:10" x14ac:dyDescent="0.25">
      <c r="A121"/>
      <c r="B121"/>
      <c r="C121"/>
      <c r="D121"/>
      <c r="E121"/>
      <c r="F121"/>
      <c r="G121" s="237"/>
      <c r="H121"/>
      <c r="I121"/>
      <c r="J121"/>
    </row>
    <row r="122" spans="1:10" x14ac:dyDescent="0.25">
      <c r="A122"/>
      <c r="B122"/>
      <c r="C122"/>
      <c r="D122"/>
      <c r="E122"/>
      <c r="F122"/>
      <c r="G122" s="237"/>
      <c r="H122"/>
      <c r="I122"/>
      <c r="J122"/>
    </row>
    <row r="123" spans="1:10" x14ac:dyDescent="0.25">
      <c r="A123"/>
      <c r="B123"/>
      <c r="C123"/>
      <c r="D123"/>
      <c r="E123"/>
      <c r="F123"/>
      <c r="G123" s="237"/>
      <c r="H123"/>
      <c r="I123"/>
      <c r="J123"/>
    </row>
    <row r="124" spans="1:10" x14ac:dyDescent="0.25">
      <c r="A124"/>
      <c r="B124"/>
      <c r="C124"/>
      <c r="D124"/>
      <c r="E124"/>
      <c r="F124"/>
      <c r="G124" s="237"/>
      <c r="H124"/>
      <c r="I124"/>
      <c r="J124"/>
    </row>
    <row r="125" spans="1:10" x14ac:dyDescent="0.25">
      <c r="A125"/>
      <c r="B125"/>
      <c r="C125"/>
      <c r="D125"/>
      <c r="E125"/>
      <c r="F125"/>
      <c r="G125" s="237"/>
      <c r="H125"/>
      <c r="I125"/>
      <c r="J125"/>
    </row>
    <row r="126" spans="1:10" x14ac:dyDescent="0.25">
      <c r="A126"/>
      <c r="B126"/>
      <c r="C126"/>
      <c r="D126"/>
      <c r="E126"/>
      <c r="F126"/>
      <c r="G126" s="237"/>
      <c r="H126"/>
      <c r="I126"/>
      <c r="J126"/>
    </row>
    <row r="127" spans="1:10" x14ac:dyDescent="0.25">
      <c r="A127"/>
      <c r="B127"/>
      <c r="C127"/>
      <c r="D127"/>
      <c r="E127"/>
      <c r="F127"/>
      <c r="G127" s="237"/>
      <c r="H127"/>
      <c r="I127"/>
      <c r="J127"/>
    </row>
    <row r="128" spans="1:10" x14ac:dyDescent="0.25">
      <c r="A128"/>
      <c r="B128"/>
      <c r="C128"/>
      <c r="D128"/>
      <c r="E128"/>
      <c r="F128"/>
      <c r="G128" s="237"/>
      <c r="H128"/>
      <c r="I128"/>
      <c r="J128"/>
    </row>
    <row r="129" spans="1:10" x14ac:dyDescent="0.25">
      <c r="A129"/>
      <c r="B129"/>
      <c r="C129"/>
      <c r="D129"/>
      <c r="E129"/>
      <c r="F129"/>
      <c r="G129" s="237"/>
      <c r="H129"/>
      <c r="I129"/>
      <c r="J129"/>
    </row>
    <row r="130" spans="1:10" x14ac:dyDescent="0.25">
      <c r="A130"/>
      <c r="B130"/>
      <c r="C130"/>
      <c r="D130"/>
      <c r="E130"/>
      <c r="F130"/>
      <c r="G130" s="237"/>
      <c r="H130"/>
      <c r="I130"/>
      <c r="J130"/>
    </row>
    <row r="131" spans="1:10" x14ac:dyDescent="0.25">
      <c r="A131"/>
      <c r="B131"/>
      <c r="C131"/>
      <c r="D131"/>
      <c r="E131"/>
      <c r="F131"/>
      <c r="G131" s="237"/>
      <c r="H131"/>
      <c r="I131"/>
      <c r="J131"/>
    </row>
    <row r="132" spans="1:10" x14ac:dyDescent="0.25">
      <c r="A132"/>
      <c r="B132"/>
      <c r="C132"/>
      <c r="D132"/>
      <c r="E132"/>
      <c r="F132"/>
      <c r="G132" s="237"/>
      <c r="H132"/>
      <c r="I132"/>
      <c r="J132"/>
    </row>
    <row r="133" spans="1:10" x14ac:dyDescent="0.25">
      <c r="A133"/>
      <c r="B133"/>
      <c r="C133"/>
      <c r="D133"/>
      <c r="E133"/>
      <c r="F133"/>
      <c r="G133" s="237"/>
      <c r="H133"/>
      <c r="I133"/>
      <c r="J133"/>
    </row>
    <row r="134" spans="1:10" x14ac:dyDescent="0.25">
      <c r="A134"/>
      <c r="B134"/>
      <c r="C134"/>
      <c r="D134"/>
      <c r="E134"/>
      <c r="F134"/>
      <c r="G134" s="237"/>
      <c r="H134"/>
      <c r="I134"/>
      <c r="J134"/>
    </row>
    <row r="135" spans="1:10" x14ac:dyDescent="0.25">
      <c r="A135"/>
      <c r="B135"/>
      <c r="C135"/>
      <c r="D135"/>
      <c r="E135"/>
      <c r="F135"/>
      <c r="G135" s="237"/>
      <c r="H135"/>
      <c r="I135"/>
      <c r="J135"/>
    </row>
    <row r="136" spans="1:10" x14ac:dyDescent="0.25">
      <c r="A136"/>
      <c r="B136"/>
      <c r="C136"/>
      <c r="D136"/>
      <c r="E136"/>
      <c r="F136"/>
      <c r="G136" s="237"/>
      <c r="H136"/>
      <c r="I136"/>
      <c r="J136"/>
    </row>
    <row r="137" spans="1:10" x14ac:dyDescent="0.25">
      <c r="A137"/>
      <c r="B137"/>
      <c r="C137"/>
      <c r="D137"/>
      <c r="E137"/>
      <c r="F137"/>
      <c r="G137" s="237"/>
      <c r="H137"/>
      <c r="I137"/>
      <c r="J137"/>
    </row>
    <row r="138" spans="1:10" x14ac:dyDescent="0.25">
      <c r="A138"/>
      <c r="B138"/>
      <c r="C138"/>
      <c r="D138"/>
      <c r="E138"/>
      <c r="F138"/>
      <c r="G138" s="237"/>
      <c r="H138"/>
      <c r="I138"/>
      <c r="J138"/>
    </row>
    <row r="139" spans="1:10" x14ac:dyDescent="0.25">
      <c r="A139"/>
      <c r="B139"/>
      <c r="C139"/>
      <c r="D139"/>
      <c r="E139"/>
      <c r="F139"/>
      <c r="G139" s="237"/>
      <c r="H139"/>
      <c r="I139"/>
      <c r="J139"/>
    </row>
    <row r="140" spans="1:10" x14ac:dyDescent="0.25">
      <c r="A140"/>
      <c r="B140"/>
      <c r="C140"/>
      <c r="D140"/>
      <c r="E140"/>
      <c r="F140"/>
      <c r="G140" s="237"/>
      <c r="H140"/>
      <c r="I140"/>
      <c r="J140"/>
    </row>
    <row r="141" spans="1:10" x14ac:dyDescent="0.25">
      <c r="A141"/>
      <c r="B141"/>
      <c r="C141"/>
      <c r="D141"/>
      <c r="E141"/>
      <c r="F141"/>
      <c r="G141" s="237"/>
      <c r="H141"/>
      <c r="I141"/>
      <c r="J141"/>
    </row>
    <row r="142" spans="1:10" x14ac:dyDescent="0.25">
      <c r="A142"/>
      <c r="B142"/>
      <c r="C142"/>
      <c r="D142"/>
      <c r="E142"/>
      <c r="F142"/>
      <c r="G142" s="237"/>
      <c r="H142"/>
      <c r="I142"/>
      <c r="J142"/>
    </row>
    <row r="143" spans="1:10" x14ac:dyDescent="0.25">
      <c r="A143"/>
      <c r="B143"/>
      <c r="C143"/>
      <c r="D143"/>
      <c r="E143"/>
      <c r="F143"/>
      <c r="G143" s="237"/>
      <c r="H143"/>
      <c r="I143"/>
      <c r="J143"/>
    </row>
    <row r="144" spans="1:10" x14ac:dyDescent="0.25">
      <c r="A144"/>
      <c r="B144"/>
      <c r="C144"/>
      <c r="D144"/>
      <c r="E144"/>
      <c r="F144"/>
      <c r="G144" s="237"/>
      <c r="H144"/>
      <c r="I144"/>
      <c r="J144"/>
    </row>
    <row r="145" spans="1:10" x14ac:dyDescent="0.25">
      <c r="A145"/>
      <c r="B145"/>
      <c r="C145"/>
      <c r="D145"/>
      <c r="E145"/>
      <c r="F145"/>
      <c r="G145" s="237"/>
      <c r="H145"/>
      <c r="I145"/>
      <c r="J145"/>
    </row>
    <row r="146" spans="1:10" x14ac:dyDescent="0.25">
      <c r="A146"/>
      <c r="B146"/>
      <c r="C146"/>
      <c r="D146"/>
      <c r="E146"/>
      <c r="F146"/>
      <c r="G146" s="237"/>
      <c r="H146"/>
      <c r="I146"/>
      <c r="J146"/>
    </row>
    <row r="147" spans="1:10" x14ac:dyDescent="0.25">
      <c r="A147"/>
      <c r="B147"/>
      <c r="C147"/>
      <c r="D147"/>
      <c r="E147"/>
      <c r="F147"/>
      <c r="G147" s="237"/>
      <c r="H147"/>
      <c r="I147"/>
      <c r="J147"/>
    </row>
    <row r="148" spans="1:10" x14ac:dyDescent="0.25">
      <c r="A148"/>
      <c r="B148"/>
      <c r="C148"/>
      <c r="D148"/>
      <c r="E148"/>
      <c r="F148"/>
      <c r="G148" s="237"/>
      <c r="H148"/>
      <c r="I148"/>
      <c r="J148"/>
    </row>
    <row r="149" spans="1:10" x14ac:dyDescent="0.25">
      <c r="A149"/>
      <c r="B149"/>
      <c r="C149"/>
      <c r="D149"/>
      <c r="E149"/>
      <c r="F149"/>
      <c r="G149" s="237"/>
      <c r="H149"/>
      <c r="I149"/>
      <c r="J149"/>
    </row>
    <row r="150" spans="1:10" x14ac:dyDescent="0.25">
      <c r="A150"/>
      <c r="B150"/>
      <c r="C150"/>
      <c r="D150"/>
      <c r="E150"/>
      <c r="F150"/>
      <c r="G150" s="237"/>
      <c r="H150"/>
      <c r="I150"/>
      <c r="J150"/>
    </row>
    <row r="151" spans="1:10" x14ac:dyDescent="0.25">
      <c r="A151"/>
      <c r="B151"/>
      <c r="C151"/>
      <c r="D151"/>
      <c r="E151"/>
      <c r="F151"/>
      <c r="G151" s="237"/>
      <c r="H151"/>
      <c r="I151"/>
      <c r="J151"/>
    </row>
    <row r="152" spans="1:10" x14ac:dyDescent="0.25">
      <c r="A152"/>
      <c r="B152"/>
      <c r="C152"/>
      <c r="D152"/>
      <c r="E152"/>
      <c r="F152"/>
      <c r="G152" s="237"/>
      <c r="H152"/>
      <c r="I152"/>
      <c r="J152"/>
    </row>
    <row r="153" spans="1:10" x14ac:dyDescent="0.25">
      <c r="A153"/>
      <c r="B153"/>
      <c r="C153"/>
      <c r="D153"/>
      <c r="E153"/>
      <c r="F153"/>
      <c r="G153" s="237"/>
      <c r="H153"/>
      <c r="I153"/>
      <c r="J153"/>
    </row>
    <row r="154" spans="1:10" x14ac:dyDescent="0.25">
      <c r="A154"/>
      <c r="B154"/>
      <c r="C154"/>
      <c r="D154"/>
      <c r="E154"/>
      <c r="F154"/>
      <c r="G154" s="237"/>
      <c r="H154"/>
      <c r="I154"/>
      <c r="J154"/>
    </row>
    <row r="155" spans="1:10" x14ac:dyDescent="0.25">
      <c r="A155"/>
      <c r="B155"/>
      <c r="C155"/>
      <c r="D155"/>
      <c r="E155"/>
      <c r="F155"/>
      <c r="G155" s="237"/>
      <c r="H155"/>
      <c r="I155"/>
      <c r="J155"/>
    </row>
    <row r="156" spans="1:10" x14ac:dyDescent="0.25">
      <c r="A156"/>
      <c r="B156"/>
      <c r="C156"/>
      <c r="D156"/>
      <c r="E156"/>
      <c r="F156"/>
      <c r="G156" s="237"/>
      <c r="H156"/>
      <c r="I156"/>
      <c r="J156"/>
    </row>
    <row r="157" spans="1:10" x14ac:dyDescent="0.25">
      <c r="A157"/>
      <c r="B157"/>
      <c r="C157"/>
      <c r="D157"/>
      <c r="E157"/>
      <c r="F157"/>
      <c r="G157" s="237"/>
      <c r="H157"/>
      <c r="I157"/>
      <c r="J157"/>
    </row>
    <row r="158" spans="1:10" x14ac:dyDescent="0.25">
      <c r="A158"/>
      <c r="B158"/>
      <c r="C158"/>
      <c r="D158"/>
      <c r="E158"/>
      <c r="F158"/>
      <c r="G158" s="237"/>
      <c r="H158"/>
      <c r="I158"/>
      <c r="J158"/>
    </row>
    <row r="159" spans="1:10" x14ac:dyDescent="0.25">
      <c r="A159"/>
      <c r="B159"/>
      <c r="C159"/>
      <c r="D159"/>
      <c r="E159"/>
      <c r="F159"/>
      <c r="G159" s="237"/>
      <c r="H159"/>
      <c r="I159"/>
      <c r="J159"/>
    </row>
    <row r="160" spans="1:10" x14ac:dyDescent="0.25">
      <c r="A160"/>
      <c r="B160"/>
      <c r="C160"/>
      <c r="D160"/>
      <c r="E160"/>
      <c r="F160"/>
      <c r="G160" s="237"/>
      <c r="H160"/>
      <c r="I160"/>
      <c r="J160"/>
    </row>
    <row r="161" spans="1:10" x14ac:dyDescent="0.25">
      <c r="A161"/>
      <c r="B161"/>
      <c r="C161"/>
      <c r="D161"/>
      <c r="E161"/>
      <c r="F161"/>
      <c r="G161" s="237"/>
      <c r="H161"/>
      <c r="I161"/>
      <c r="J161"/>
    </row>
    <row r="162" spans="1:10" x14ac:dyDescent="0.25">
      <c r="A162"/>
      <c r="B162"/>
      <c r="C162"/>
      <c r="D162"/>
      <c r="E162"/>
      <c r="F162"/>
      <c r="G162" s="237"/>
      <c r="H162"/>
      <c r="I162"/>
      <c r="J162"/>
    </row>
    <row r="163" spans="1:10" x14ac:dyDescent="0.25">
      <c r="A163"/>
      <c r="B163"/>
      <c r="C163"/>
      <c r="D163"/>
      <c r="E163"/>
      <c r="F163"/>
      <c r="G163" s="237"/>
      <c r="H163"/>
      <c r="I163"/>
      <c r="J163"/>
    </row>
    <row r="164" spans="1:10" x14ac:dyDescent="0.25">
      <c r="A164"/>
      <c r="B164"/>
      <c r="C164"/>
      <c r="D164"/>
      <c r="E164"/>
      <c r="F164"/>
      <c r="G164" s="237"/>
      <c r="H164"/>
      <c r="I164"/>
      <c r="J164"/>
    </row>
    <row r="165" spans="1:10" x14ac:dyDescent="0.25">
      <c r="A165"/>
      <c r="B165"/>
      <c r="C165"/>
      <c r="D165"/>
      <c r="E165"/>
      <c r="F165"/>
      <c r="G165" s="237"/>
      <c r="H165"/>
      <c r="I165"/>
      <c r="J165"/>
    </row>
    <row r="166" spans="1:10" x14ac:dyDescent="0.25">
      <c r="A166"/>
      <c r="B166"/>
      <c r="C166"/>
      <c r="D166"/>
      <c r="E166"/>
      <c r="F166"/>
      <c r="G166" s="237"/>
      <c r="H166"/>
      <c r="I166"/>
      <c r="J166"/>
    </row>
    <row r="167" spans="1:10" x14ac:dyDescent="0.25">
      <c r="A167"/>
      <c r="B167"/>
      <c r="C167"/>
      <c r="D167"/>
      <c r="E167"/>
      <c r="F167"/>
      <c r="G167" s="237"/>
      <c r="H167"/>
      <c r="I167"/>
      <c r="J167"/>
    </row>
    <row r="168" spans="1:10" x14ac:dyDescent="0.25">
      <c r="A168"/>
      <c r="B168"/>
      <c r="C168"/>
      <c r="D168"/>
      <c r="E168"/>
      <c r="F168"/>
      <c r="G168" s="237"/>
      <c r="H168"/>
      <c r="I168"/>
      <c r="J168"/>
    </row>
    <row r="169" spans="1:10" x14ac:dyDescent="0.25">
      <c r="A169"/>
      <c r="B169"/>
      <c r="C169"/>
      <c r="D169"/>
      <c r="E169"/>
      <c r="F169"/>
      <c r="G169" s="237"/>
      <c r="H169"/>
      <c r="I169"/>
      <c r="J169"/>
    </row>
    <row r="170" spans="1:10" x14ac:dyDescent="0.25">
      <c r="A170"/>
      <c r="B170"/>
      <c r="C170"/>
      <c r="D170"/>
      <c r="E170"/>
      <c r="F170"/>
      <c r="G170" s="237"/>
      <c r="H170"/>
      <c r="I170"/>
      <c r="J170"/>
    </row>
    <row r="171" spans="1:10" x14ac:dyDescent="0.25">
      <c r="A171"/>
      <c r="B171"/>
      <c r="C171"/>
      <c r="D171"/>
      <c r="E171"/>
      <c r="F171"/>
      <c r="G171" s="237"/>
      <c r="H171"/>
      <c r="I171"/>
      <c r="J171"/>
    </row>
    <row r="172" spans="1:10" x14ac:dyDescent="0.25">
      <c r="A172"/>
      <c r="B172"/>
      <c r="C172"/>
      <c r="D172"/>
      <c r="E172"/>
      <c r="F172"/>
      <c r="G172" s="237"/>
      <c r="H172"/>
      <c r="I172"/>
      <c r="J172"/>
    </row>
    <row r="173" spans="1:10" x14ac:dyDescent="0.25">
      <c r="A173"/>
      <c r="B173"/>
      <c r="C173"/>
      <c r="D173"/>
      <c r="E173"/>
      <c r="F173"/>
      <c r="G173" s="237"/>
      <c r="H173"/>
      <c r="I173"/>
      <c r="J173"/>
    </row>
    <row r="174" spans="1:10" x14ac:dyDescent="0.25">
      <c r="A174"/>
      <c r="B174"/>
      <c r="C174"/>
      <c r="D174"/>
      <c r="E174"/>
      <c r="F174"/>
      <c r="G174" s="237"/>
      <c r="H174"/>
      <c r="I174"/>
      <c r="J174"/>
    </row>
    <row r="175" spans="1:10" x14ac:dyDescent="0.25">
      <c r="A175"/>
      <c r="B175"/>
      <c r="C175"/>
      <c r="D175"/>
      <c r="E175"/>
      <c r="F175"/>
      <c r="G175" s="237"/>
      <c r="H175"/>
      <c r="I175"/>
      <c r="J175"/>
    </row>
    <row r="176" spans="1:10" x14ac:dyDescent="0.25">
      <c r="A176"/>
      <c r="B176"/>
      <c r="C176"/>
      <c r="D176"/>
      <c r="E176"/>
      <c r="F176"/>
      <c r="G176" s="237"/>
      <c r="H176"/>
      <c r="I176"/>
      <c r="J176"/>
    </row>
    <row r="177" spans="1:10" x14ac:dyDescent="0.25">
      <c r="A177"/>
      <c r="B177"/>
      <c r="C177"/>
      <c r="D177"/>
      <c r="E177"/>
      <c r="F177"/>
      <c r="G177" s="237"/>
      <c r="H177"/>
      <c r="I177"/>
      <c r="J177"/>
    </row>
    <row r="178" spans="1:10" x14ac:dyDescent="0.25">
      <c r="A178"/>
      <c r="B178"/>
      <c r="C178"/>
      <c r="D178"/>
      <c r="E178"/>
      <c r="F178"/>
      <c r="G178" s="237"/>
      <c r="H178"/>
      <c r="I178"/>
      <c r="J178"/>
    </row>
    <row r="179" spans="1:10" x14ac:dyDescent="0.25">
      <c r="A179"/>
      <c r="B179"/>
      <c r="C179"/>
      <c r="D179"/>
      <c r="E179"/>
      <c r="F179"/>
      <c r="G179" s="237"/>
      <c r="H179"/>
      <c r="I179"/>
      <c r="J179"/>
    </row>
    <row r="180" spans="1:10" x14ac:dyDescent="0.25">
      <c r="A180"/>
      <c r="B180"/>
      <c r="C180"/>
      <c r="D180"/>
      <c r="E180"/>
      <c r="F180"/>
      <c r="G180" s="237"/>
      <c r="H180"/>
      <c r="I180"/>
      <c r="J180"/>
    </row>
    <row r="181" spans="1:10" x14ac:dyDescent="0.25">
      <c r="A181"/>
      <c r="B181"/>
      <c r="C181"/>
      <c r="D181"/>
      <c r="E181"/>
      <c r="F181"/>
      <c r="G181" s="237"/>
      <c r="H181"/>
      <c r="I181"/>
      <c r="J181"/>
    </row>
    <row r="182" spans="1:10" x14ac:dyDescent="0.25">
      <c r="A182"/>
      <c r="B182"/>
      <c r="C182"/>
      <c r="D182"/>
      <c r="E182"/>
      <c r="F182"/>
      <c r="G182" s="237"/>
      <c r="H182"/>
      <c r="I182"/>
      <c r="J182"/>
    </row>
    <row r="183" spans="1:10" x14ac:dyDescent="0.25">
      <c r="A183"/>
      <c r="B183"/>
      <c r="C183"/>
      <c r="D183"/>
      <c r="E183"/>
      <c r="F183"/>
      <c r="G183" s="237"/>
      <c r="H183"/>
      <c r="I183"/>
      <c r="J183"/>
    </row>
    <row r="184" spans="1:10" x14ac:dyDescent="0.25">
      <c r="A184"/>
      <c r="B184"/>
      <c r="C184"/>
      <c r="D184"/>
      <c r="E184"/>
      <c r="F184"/>
      <c r="G184" s="237"/>
      <c r="H184"/>
      <c r="I184"/>
      <c r="J184"/>
    </row>
    <row r="185" spans="1:10" x14ac:dyDescent="0.25">
      <c r="A185"/>
      <c r="B185"/>
      <c r="C185"/>
      <c r="D185"/>
      <c r="E185"/>
      <c r="F185"/>
      <c r="G185" s="237"/>
      <c r="H185"/>
      <c r="I185"/>
      <c r="J185"/>
    </row>
    <row r="186" spans="1:10" x14ac:dyDescent="0.25">
      <c r="A186"/>
      <c r="B186"/>
      <c r="C186"/>
      <c r="D186"/>
      <c r="E186"/>
      <c r="F186"/>
      <c r="G186" s="237"/>
      <c r="H186"/>
      <c r="I186"/>
      <c r="J186"/>
    </row>
    <row r="187" spans="1:10" x14ac:dyDescent="0.25">
      <c r="A187"/>
      <c r="B187"/>
      <c r="C187"/>
      <c r="D187"/>
      <c r="E187"/>
      <c r="F187"/>
      <c r="G187" s="237"/>
      <c r="H187"/>
      <c r="I187"/>
      <c r="J187"/>
    </row>
    <row r="188" spans="1:10" x14ac:dyDescent="0.25">
      <c r="A188"/>
      <c r="B188"/>
      <c r="C188"/>
      <c r="D188"/>
      <c r="E188"/>
      <c r="F188"/>
      <c r="G188" s="237"/>
      <c r="H188"/>
      <c r="I188"/>
      <c r="J188"/>
    </row>
    <row r="189" spans="1:10" x14ac:dyDescent="0.25">
      <c r="A189"/>
      <c r="B189"/>
      <c r="C189"/>
      <c r="D189"/>
      <c r="E189"/>
      <c r="F189"/>
      <c r="G189" s="237"/>
      <c r="H189"/>
      <c r="I189"/>
      <c r="J189"/>
    </row>
    <row r="190" spans="1:10" x14ac:dyDescent="0.25">
      <c r="A190"/>
      <c r="B190"/>
      <c r="C190"/>
      <c r="D190"/>
      <c r="E190"/>
      <c r="F190"/>
      <c r="G190" s="237"/>
      <c r="H190"/>
      <c r="I190"/>
      <c r="J190"/>
    </row>
    <row r="191" spans="1:10" x14ac:dyDescent="0.25">
      <c r="A191"/>
      <c r="B191"/>
      <c r="C191"/>
      <c r="D191"/>
      <c r="E191"/>
      <c r="F191"/>
      <c r="G191" s="237"/>
      <c r="H191"/>
      <c r="I191"/>
      <c r="J191"/>
    </row>
    <row r="192" spans="1:10" x14ac:dyDescent="0.25">
      <c r="A192"/>
      <c r="B192"/>
      <c r="C192"/>
      <c r="D192"/>
      <c r="E192"/>
      <c r="F192"/>
      <c r="G192" s="237"/>
      <c r="H192"/>
      <c r="I192"/>
      <c r="J192"/>
    </row>
    <row r="193" spans="1:10" x14ac:dyDescent="0.25">
      <c r="A193"/>
      <c r="B193"/>
      <c r="C193"/>
      <c r="D193"/>
      <c r="E193"/>
      <c r="F193"/>
      <c r="G193" s="237"/>
      <c r="H193"/>
      <c r="I193"/>
      <c r="J193"/>
    </row>
    <row r="194" spans="1:10" x14ac:dyDescent="0.25">
      <c r="A194"/>
      <c r="B194"/>
      <c r="C194"/>
      <c r="D194"/>
      <c r="E194"/>
      <c r="F194"/>
      <c r="G194" s="237"/>
      <c r="H194"/>
      <c r="I194"/>
      <c r="J194"/>
    </row>
    <row r="195" spans="1:10" x14ac:dyDescent="0.25">
      <c r="A195"/>
      <c r="B195"/>
      <c r="C195"/>
      <c r="D195"/>
      <c r="E195"/>
      <c r="F195"/>
      <c r="G195" s="237"/>
      <c r="H195"/>
      <c r="I195"/>
      <c r="J195"/>
    </row>
    <row r="196" spans="1:10" x14ac:dyDescent="0.25">
      <c r="A196"/>
      <c r="B196"/>
      <c r="C196"/>
      <c r="D196"/>
      <c r="E196"/>
      <c r="F196"/>
      <c r="G196" s="237"/>
      <c r="H196"/>
      <c r="I196"/>
      <c r="J196"/>
    </row>
    <row r="197" spans="1:10" x14ac:dyDescent="0.25">
      <c r="A197"/>
      <c r="B197"/>
      <c r="C197"/>
      <c r="D197"/>
      <c r="E197"/>
      <c r="F197"/>
      <c r="G197" s="237"/>
      <c r="H197"/>
      <c r="I197"/>
      <c r="J197"/>
    </row>
    <row r="198" spans="1:10" x14ac:dyDescent="0.25">
      <c r="A198"/>
      <c r="B198"/>
      <c r="C198"/>
      <c r="D198"/>
      <c r="E198"/>
      <c r="F198"/>
      <c r="G198" s="237"/>
      <c r="H198"/>
      <c r="I198"/>
      <c r="J198"/>
    </row>
    <row r="199" spans="1:10" x14ac:dyDescent="0.25">
      <c r="A199"/>
      <c r="B199"/>
      <c r="C199"/>
      <c r="D199"/>
      <c r="E199"/>
      <c r="F199"/>
      <c r="G199" s="237"/>
      <c r="H199"/>
      <c r="I199"/>
      <c r="J199"/>
    </row>
    <row r="200" spans="1:10" x14ac:dyDescent="0.25">
      <c r="A200"/>
      <c r="B200"/>
      <c r="C200"/>
      <c r="D200"/>
      <c r="E200"/>
      <c r="F200"/>
      <c r="G200" s="237"/>
      <c r="H200"/>
      <c r="I200"/>
      <c r="J200"/>
    </row>
    <row r="201" spans="1:10" x14ac:dyDescent="0.25">
      <c r="A201"/>
      <c r="B201"/>
      <c r="C201"/>
      <c r="D201"/>
      <c r="E201"/>
      <c r="F201"/>
      <c r="G201" s="237"/>
      <c r="H201"/>
      <c r="I201"/>
      <c r="J201"/>
    </row>
    <row r="202" spans="1:10" x14ac:dyDescent="0.25">
      <c r="A202"/>
      <c r="B202"/>
      <c r="C202"/>
      <c r="D202"/>
      <c r="E202"/>
      <c r="F202"/>
      <c r="G202" s="237"/>
      <c r="H202"/>
      <c r="I202"/>
      <c r="J202"/>
    </row>
    <row r="203" spans="1:10" x14ac:dyDescent="0.25">
      <c r="A203"/>
      <c r="B203"/>
      <c r="C203"/>
      <c r="D203"/>
      <c r="E203"/>
      <c r="F203"/>
      <c r="G203" s="237"/>
      <c r="H203"/>
      <c r="I203"/>
      <c r="J203"/>
    </row>
    <row r="204" spans="1:10" x14ac:dyDescent="0.25">
      <c r="A204"/>
      <c r="B204"/>
      <c r="C204"/>
      <c r="D204"/>
      <c r="E204"/>
      <c r="F204"/>
      <c r="G204" s="237"/>
      <c r="H204"/>
      <c r="I204"/>
      <c r="J204"/>
    </row>
    <row r="205" spans="1:10" x14ac:dyDescent="0.25">
      <c r="A205"/>
      <c r="B205"/>
      <c r="C205"/>
      <c r="D205"/>
      <c r="E205"/>
      <c r="F205"/>
      <c r="G205" s="237"/>
      <c r="H205"/>
      <c r="I205"/>
      <c r="J205"/>
    </row>
    <row r="206" spans="1:10" x14ac:dyDescent="0.25">
      <c r="A206"/>
      <c r="B206"/>
      <c r="C206"/>
      <c r="D206"/>
      <c r="E206"/>
      <c r="F206"/>
      <c r="G206" s="237"/>
      <c r="H206"/>
      <c r="I206"/>
      <c r="J206"/>
    </row>
    <row r="207" spans="1:10" x14ac:dyDescent="0.25">
      <c r="A207"/>
      <c r="B207"/>
      <c r="C207"/>
      <c r="D207"/>
      <c r="E207"/>
      <c r="F207"/>
      <c r="G207" s="237"/>
      <c r="H207"/>
      <c r="I207"/>
      <c r="J207"/>
    </row>
    <row r="208" spans="1:10" x14ac:dyDescent="0.25">
      <c r="A208"/>
      <c r="B208"/>
      <c r="C208"/>
      <c r="D208"/>
      <c r="E208"/>
      <c r="F208"/>
      <c r="G208" s="237"/>
      <c r="H208"/>
      <c r="I208"/>
      <c r="J208"/>
    </row>
    <row r="209" spans="1:10" x14ac:dyDescent="0.25">
      <c r="A209"/>
      <c r="B209"/>
      <c r="C209"/>
      <c r="D209"/>
      <c r="E209"/>
      <c r="F209"/>
      <c r="G209" s="237"/>
      <c r="H209"/>
      <c r="I209"/>
      <c r="J209"/>
    </row>
    <row r="210" spans="1:10" x14ac:dyDescent="0.25">
      <c r="A210"/>
      <c r="B210"/>
      <c r="C210"/>
      <c r="D210"/>
      <c r="E210"/>
      <c r="F210"/>
      <c r="G210" s="237"/>
      <c r="H210"/>
      <c r="I210"/>
      <c r="J210"/>
    </row>
    <row r="211" spans="1:10" x14ac:dyDescent="0.25">
      <c r="A211"/>
      <c r="B211"/>
      <c r="C211"/>
      <c r="D211"/>
      <c r="E211"/>
      <c r="F211"/>
      <c r="G211" s="237"/>
      <c r="H211"/>
      <c r="I211"/>
      <c r="J211"/>
    </row>
    <row r="212" spans="1:10" x14ac:dyDescent="0.25">
      <c r="A212"/>
      <c r="B212"/>
      <c r="C212"/>
      <c r="D212"/>
      <c r="E212"/>
      <c r="F212"/>
      <c r="G212" s="237"/>
      <c r="H212"/>
      <c r="I212"/>
      <c r="J212"/>
    </row>
    <row r="213" spans="1:10" x14ac:dyDescent="0.25">
      <c r="A213"/>
      <c r="B213"/>
      <c r="C213"/>
      <c r="D213"/>
      <c r="E213"/>
      <c r="F213"/>
      <c r="G213" s="237"/>
      <c r="H213"/>
      <c r="I213"/>
      <c r="J213"/>
    </row>
    <row r="214" spans="1:10" x14ac:dyDescent="0.25">
      <c r="A214"/>
      <c r="B214"/>
      <c r="C214"/>
      <c r="D214"/>
      <c r="E214"/>
      <c r="F214"/>
      <c r="G214" s="237"/>
      <c r="H214"/>
      <c r="I214"/>
      <c r="J214"/>
    </row>
    <row r="215" spans="1:10" x14ac:dyDescent="0.25">
      <c r="A215"/>
      <c r="B215"/>
      <c r="C215"/>
      <c r="D215"/>
      <c r="E215"/>
      <c r="F215"/>
      <c r="G215" s="237"/>
      <c r="H215"/>
      <c r="I215"/>
      <c r="J215"/>
    </row>
    <row r="216" spans="1:10" x14ac:dyDescent="0.25">
      <c r="A216"/>
      <c r="B216"/>
      <c r="C216"/>
      <c r="D216"/>
      <c r="E216"/>
      <c r="F216"/>
      <c r="G216" s="237"/>
      <c r="H216"/>
      <c r="I216"/>
      <c r="J216"/>
    </row>
    <row r="217" spans="1:10" x14ac:dyDescent="0.25">
      <c r="A217"/>
      <c r="B217"/>
      <c r="C217"/>
      <c r="D217"/>
      <c r="E217"/>
      <c r="F217"/>
      <c r="G217" s="237"/>
      <c r="H217"/>
      <c r="I217"/>
      <c r="J217"/>
    </row>
    <row r="218" spans="1:10" x14ac:dyDescent="0.25">
      <c r="A218"/>
      <c r="B218"/>
      <c r="C218"/>
      <c r="D218"/>
      <c r="E218"/>
      <c r="F218"/>
      <c r="G218" s="237"/>
      <c r="H218"/>
      <c r="I218"/>
      <c r="J218"/>
    </row>
    <row r="219" spans="1:10" x14ac:dyDescent="0.25">
      <c r="A219"/>
      <c r="B219"/>
      <c r="C219"/>
      <c r="D219"/>
      <c r="E219"/>
      <c r="F219"/>
      <c r="G219" s="237"/>
      <c r="H219"/>
      <c r="I219"/>
      <c r="J219"/>
    </row>
    <row r="220" spans="1:10" x14ac:dyDescent="0.25">
      <c r="A220"/>
      <c r="B220"/>
      <c r="C220"/>
      <c r="D220"/>
      <c r="E220"/>
      <c r="F220"/>
      <c r="G220" s="237"/>
      <c r="H220"/>
      <c r="I220"/>
      <c r="J220"/>
    </row>
    <row r="221" spans="1:10" x14ac:dyDescent="0.25">
      <c r="A221"/>
      <c r="B221"/>
      <c r="C221"/>
      <c r="D221"/>
      <c r="E221"/>
      <c r="F221"/>
      <c r="G221" s="237"/>
      <c r="H221"/>
      <c r="I221"/>
      <c r="J221"/>
    </row>
    <row r="222" spans="1:10" x14ac:dyDescent="0.25">
      <c r="A222"/>
      <c r="B222"/>
      <c r="C222"/>
      <c r="D222"/>
      <c r="E222"/>
      <c r="F222"/>
      <c r="G222" s="237"/>
      <c r="H222"/>
      <c r="I222"/>
      <c r="J222"/>
    </row>
    <row r="223" spans="1:10" x14ac:dyDescent="0.25">
      <c r="A223"/>
      <c r="B223"/>
      <c r="C223"/>
      <c r="D223"/>
      <c r="E223"/>
      <c r="F223"/>
      <c r="G223" s="237"/>
      <c r="H223"/>
      <c r="I223"/>
      <c r="J223"/>
    </row>
    <row r="224" spans="1:10" x14ac:dyDescent="0.25">
      <c r="A224"/>
      <c r="B224"/>
      <c r="C224"/>
      <c r="D224"/>
      <c r="E224"/>
      <c r="F224"/>
      <c r="G224" s="237"/>
      <c r="H224"/>
      <c r="I224"/>
      <c r="J224"/>
    </row>
    <row r="225" spans="1:10" x14ac:dyDescent="0.25">
      <c r="A225"/>
      <c r="B225"/>
      <c r="C225"/>
      <c r="D225"/>
      <c r="E225"/>
      <c r="F225"/>
      <c r="G225" s="237"/>
      <c r="H225"/>
      <c r="I225"/>
      <c r="J225"/>
    </row>
    <row r="226" spans="1:10" x14ac:dyDescent="0.25">
      <c r="A226"/>
      <c r="B226"/>
      <c r="C226"/>
      <c r="D226"/>
      <c r="E226"/>
      <c r="F226"/>
      <c r="G226" s="237"/>
      <c r="H226"/>
      <c r="I226"/>
      <c r="J226"/>
    </row>
    <row r="227" spans="1:10" x14ac:dyDescent="0.25">
      <c r="A227"/>
      <c r="B227"/>
      <c r="C227"/>
      <c r="D227"/>
      <c r="E227"/>
      <c r="F227"/>
      <c r="G227" s="237"/>
      <c r="H227"/>
      <c r="I227"/>
      <c r="J227"/>
    </row>
    <row r="228" spans="1:10" x14ac:dyDescent="0.25">
      <c r="A228"/>
      <c r="B228"/>
      <c r="C228"/>
      <c r="D228"/>
      <c r="E228"/>
      <c r="F228"/>
      <c r="G228" s="237"/>
      <c r="H228"/>
      <c r="I228"/>
      <c r="J228"/>
    </row>
    <row r="229" spans="1:10" x14ac:dyDescent="0.25">
      <c r="A229"/>
      <c r="B229"/>
      <c r="C229"/>
      <c r="D229"/>
      <c r="E229"/>
      <c r="F229"/>
      <c r="G229" s="237"/>
      <c r="H229"/>
      <c r="I229"/>
      <c r="J229"/>
    </row>
    <row r="230" spans="1:10" x14ac:dyDescent="0.25">
      <c r="A230"/>
      <c r="B230"/>
      <c r="C230"/>
      <c r="D230"/>
      <c r="E230"/>
      <c r="F230"/>
      <c r="G230" s="237"/>
      <c r="H230"/>
      <c r="I230"/>
      <c r="J230"/>
    </row>
    <row r="231" spans="1:10" x14ac:dyDescent="0.25">
      <c r="A231"/>
      <c r="B231"/>
      <c r="C231"/>
      <c r="D231"/>
      <c r="E231"/>
      <c r="F231"/>
      <c r="G231" s="237"/>
      <c r="H231"/>
      <c r="I231"/>
      <c r="J231"/>
    </row>
    <row r="232" spans="1:10" x14ac:dyDescent="0.25">
      <c r="A232"/>
      <c r="B232"/>
      <c r="C232"/>
      <c r="D232"/>
      <c r="E232"/>
      <c r="F232"/>
      <c r="G232" s="237"/>
      <c r="H232"/>
      <c r="I232"/>
      <c r="J232"/>
    </row>
    <row r="233" spans="1:10" x14ac:dyDescent="0.25">
      <c r="A233"/>
      <c r="B233"/>
      <c r="C233"/>
      <c r="D233"/>
      <c r="E233"/>
      <c r="F233"/>
      <c r="G233" s="237"/>
      <c r="H233"/>
      <c r="I233"/>
      <c r="J233"/>
    </row>
    <row r="234" spans="1:10" x14ac:dyDescent="0.25">
      <c r="A234"/>
      <c r="B234"/>
      <c r="C234"/>
      <c r="D234"/>
      <c r="E234"/>
      <c r="F234"/>
      <c r="G234" s="237"/>
      <c r="H234"/>
      <c r="I234"/>
      <c r="J234"/>
    </row>
    <row r="235" spans="1:10" x14ac:dyDescent="0.25">
      <c r="A235"/>
      <c r="B235"/>
      <c r="C235"/>
      <c r="D235"/>
      <c r="E235"/>
      <c r="F235"/>
      <c r="G235" s="237"/>
      <c r="H235"/>
      <c r="I235"/>
      <c r="J235"/>
    </row>
    <row r="236" spans="1:10" x14ac:dyDescent="0.25">
      <c r="A236"/>
      <c r="B236"/>
      <c r="C236"/>
      <c r="D236"/>
      <c r="E236"/>
      <c r="F236"/>
      <c r="G236" s="237"/>
      <c r="H236"/>
      <c r="I236"/>
      <c r="J236"/>
    </row>
    <row r="237" spans="1:10" x14ac:dyDescent="0.25">
      <c r="A237"/>
      <c r="B237"/>
      <c r="C237"/>
      <c r="D237"/>
      <c r="E237"/>
      <c r="F237"/>
      <c r="G237" s="237"/>
      <c r="H237"/>
      <c r="I237"/>
      <c r="J237"/>
    </row>
    <row r="238" spans="1:10" x14ac:dyDescent="0.25">
      <c r="A238"/>
      <c r="B238"/>
      <c r="C238"/>
      <c r="D238"/>
      <c r="E238"/>
      <c r="F238"/>
      <c r="G238" s="237"/>
      <c r="H238"/>
      <c r="I238"/>
      <c r="J238"/>
    </row>
    <row r="239" spans="1:10" x14ac:dyDescent="0.25">
      <c r="A239"/>
      <c r="B239"/>
      <c r="C239"/>
      <c r="D239"/>
      <c r="E239"/>
      <c r="F239"/>
      <c r="G239" s="237"/>
      <c r="H239"/>
      <c r="I239"/>
      <c r="J239"/>
    </row>
    <row r="240" spans="1:10" x14ac:dyDescent="0.25">
      <c r="A240"/>
      <c r="B240"/>
      <c r="C240"/>
      <c r="D240"/>
      <c r="E240"/>
      <c r="F240"/>
      <c r="G240" s="237"/>
      <c r="H240"/>
      <c r="I240"/>
      <c r="J240"/>
    </row>
    <row r="241" spans="1:10" x14ac:dyDescent="0.25">
      <c r="A241"/>
      <c r="B241"/>
      <c r="C241"/>
      <c r="D241"/>
      <c r="E241"/>
      <c r="F241"/>
      <c r="G241" s="237"/>
      <c r="H241"/>
      <c r="I241"/>
      <c r="J241"/>
    </row>
    <row r="242" spans="1:10" x14ac:dyDescent="0.25">
      <c r="A242"/>
      <c r="B242"/>
      <c r="C242"/>
      <c r="D242"/>
      <c r="E242"/>
      <c r="F242"/>
      <c r="G242" s="237"/>
      <c r="H242"/>
      <c r="I242"/>
      <c r="J242"/>
    </row>
    <row r="243" spans="1:10" x14ac:dyDescent="0.25">
      <c r="A243"/>
      <c r="B243"/>
      <c r="C243"/>
      <c r="D243"/>
      <c r="E243"/>
      <c r="F243"/>
      <c r="G243" s="237"/>
      <c r="H243"/>
      <c r="I243"/>
      <c r="J243"/>
    </row>
    <row r="244" spans="1:10" x14ac:dyDescent="0.25">
      <c r="A244"/>
      <c r="B244"/>
      <c r="C244"/>
      <c r="D244"/>
      <c r="E244"/>
      <c r="F244"/>
      <c r="G244" s="237"/>
      <c r="H244"/>
      <c r="I244"/>
      <c r="J244"/>
    </row>
    <row r="245" spans="1:10" x14ac:dyDescent="0.25">
      <c r="A245"/>
      <c r="B245"/>
      <c r="C245"/>
      <c r="D245"/>
      <c r="E245"/>
      <c r="F245"/>
      <c r="G245" s="237"/>
      <c r="H245"/>
      <c r="I245"/>
      <c r="J245"/>
    </row>
    <row r="246" spans="1:10" x14ac:dyDescent="0.25">
      <c r="A246"/>
      <c r="B246"/>
      <c r="C246"/>
      <c r="D246"/>
      <c r="E246"/>
      <c r="F246"/>
      <c r="G246" s="237"/>
      <c r="H246"/>
      <c r="I246"/>
      <c r="J246"/>
    </row>
    <row r="247" spans="1:10" x14ac:dyDescent="0.25">
      <c r="A247"/>
      <c r="B247"/>
      <c r="C247"/>
      <c r="D247"/>
      <c r="E247"/>
      <c r="F247"/>
      <c r="G247" s="237"/>
      <c r="H247"/>
      <c r="I247"/>
      <c r="J247"/>
    </row>
    <row r="248" spans="1:10" x14ac:dyDescent="0.25">
      <c r="A248"/>
      <c r="B248"/>
      <c r="C248"/>
      <c r="D248"/>
      <c r="E248"/>
      <c r="F248"/>
      <c r="G248" s="237"/>
      <c r="H248"/>
      <c r="I248"/>
      <c r="J248"/>
    </row>
    <row r="249" spans="1:10" x14ac:dyDescent="0.25">
      <c r="A249"/>
      <c r="B249"/>
      <c r="C249"/>
      <c r="D249"/>
      <c r="E249"/>
      <c r="F249"/>
      <c r="G249" s="237"/>
      <c r="H249"/>
      <c r="I249"/>
      <c r="J249"/>
    </row>
    <row r="250" spans="1:10" x14ac:dyDescent="0.25">
      <c r="A250"/>
      <c r="B250"/>
      <c r="C250"/>
      <c r="D250"/>
      <c r="E250"/>
      <c r="F250"/>
      <c r="G250" s="237"/>
      <c r="H250"/>
      <c r="I250"/>
      <c r="J250"/>
    </row>
    <row r="251" spans="1:10" x14ac:dyDescent="0.25">
      <c r="A251"/>
      <c r="B251"/>
      <c r="C251"/>
      <c r="D251"/>
      <c r="E251"/>
      <c r="F251"/>
      <c r="G251" s="237"/>
      <c r="H251"/>
      <c r="I251"/>
      <c r="J251"/>
    </row>
    <row r="252" spans="1:10" x14ac:dyDescent="0.25">
      <c r="A252"/>
      <c r="B252"/>
      <c r="C252"/>
      <c r="D252"/>
      <c r="E252"/>
      <c r="F252"/>
      <c r="G252" s="237"/>
      <c r="H252"/>
      <c r="I252"/>
      <c r="J252"/>
    </row>
    <row r="253" spans="1:10" x14ac:dyDescent="0.25">
      <c r="A253"/>
      <c r="B253"/>
      <c r="C253"/>
      <c r="D253"/>
      <c r="E253"/>
      <c r="F253"/>
      <c r="G253" s="237"/>
      <c r="H253"/>
      <c r="I253"/>
      <c r="J253"/>
    </row>
    <row r="254" spans="1:10" x14ac:dyDescent="0.25">
      <c r="A254"/>
      <c r="B254"/>
      <c r="C254"/>
      <c r="D254"/>
      <c r="E254"/>
      <c r="F254"/>
      <c r="G254" s="237"/>
      <c r="H254"/>
      <c r="I254"/>
      <c r="J254"/>
    </row>
    <row r="255" spans="1:10" x14ac:dyDescent="0.25">
      <c r="A255"/>
      <c r="B255"/>
      <c r="C255"/>
      <c r="D255"/>
      <c r="E255"/>
      <c r="F255"/>
      <c r="G255" s="237"/>
      <c r="H255"/>
      <c r="I255"/>
      <c r="J255"/>
    </row>
    <row r="256" spans="1:10" x14ac:dyDescent="0.25">
      <c r="A256"/>
      <c r="B256"/>
      <c r="C256"/>
      <c r="D256"/>
      <c r="E256"/>
      <c r="F256"/>
      <c r="G256" s="237"/>
      <c r="H256"/>
      <c r="I256"/>
      <c r="J256"/>
    </row>
    <row r="257" spans="1:10" x14ac:dyDescent="0.25">
      <c r="A257"/>
      <c r="B257"/>
      <c r="C257"/>
      <c r="D257"/>
      <c r="E257"/>
      <c r="F257"/>
      <c r="G257" s="237"/>
      <c r="H257"/>
      <c r="I257"/>
      <c r="J257"/>
    </row>
    <row r="258" spans="1:10" x14ac:dyDescent="0.25">
      <c r="A258"/>
      <c r="B258"/>
      <c r="C258"/>
      <c r="D258"/>
      <c r="E258"/>
      <c r="F258"/>
      <c r="G258" s="237"/>
      <c r="H258"/>
      <c r="I258"/>
      <c r="J258"/>
    </row>
    <row r="259" spans="1:10" x14ac:dyDescent="0.25">
      <c r="A259"/>
      <c r="B259"/>
      <c r="C259"/>
      <c r="D259"/>
      <c r="E259"/>
      <c r="F259"/>
      <c r="G259" s="237"/>
      <c r="H259"/>
      <c r="I259"/>
      <c r="J259"/>
    </row>
    <row r="260" spans="1:10" x14ac:dyDescent="0.25">
      <c r="A260"/>
      <c r="B260"/>
      <c r="C260"/>
      <c r="D260"/>
      <c r="E260"/>
      <c r="F260"/>
      <c r="G260" s="237"/>
      <c r="H260"/>
      <c r="I260"/>
      <c r="J260"/>
    </row>
    <row r="261" spans="1:10" x14ac:dyDescent="0.25">
      <c r="A261"/>
      <c r="B261"/>
      <c r="C261"/>
      <c r="D261"/>
      <c r="E261"/>
      <c r="F261"/>
      <c r="G261" s="237"/>
      <c r="H261"/>
      <c r="I261"/>
      <c r="J261"/>
    </row>
    <row r="262" spans="1:10" x14ac:dyDescent="0.25">
      <c r="A262"/>
      <c r="B262"/>
      <c r="C262"/>
      <c r="D262"/>
      <c r="E262"/>
      <c r="F262"/>
      <c r="G262" s="237"/>
      <c r="H262"/>
      <c r="I262"/>
      <c r="J262"/>
    </row>
    <row r="263" spans="1:10" x14ac:dyDescent="0.25">
      <c r="A263"/>
      <c r="B263"/>
      <c r="C263"/>
      <c r="D263"/>
      <c r="E263"/>
      <c r="F263"/>
      <c r="G263" s="237"/>
      <c r="H263"/>
      <c r="I263"/>
      <c r="J263"/>
    </row>
    <row r="264" spans="1:10" x14ac:dyDescent="0.25">
      <c r="A264"/>
      <c r="B264"/>
      <c r="C264"/>
      <c r="D264"/>
      <c r="E264"/>
      <c r="F264"/>
      <c r="G264" s="237"/>
      <c r="H264"/>
      <c r="I264"/>
      <c r="J264"/>
    </row>
    <row r="265" spans="1:10" x14ac:dyDescent="0.25">
      <c r="A265"/>
      <c r="B265"/>
      <c r="C265"/>
      <c r="D265"/>
      <c r="E265"/>
      <c r="F265"/>
      <c r="G265" s="237"/>
      <c r="H265"/>
      <c r="I265"/>
      <c r="J265"/>
    </row>
    <row r="266" spans="1:10" x14ac:dyDescent="0.25">
      <c r="A266"/>
      <c r="B266"/>
      <c r="C266"/>
      <c r="D266"/>
      <c r="E266"/>
      <c r="F266"/>
      <c r="G266" s="237"/>
      <c r="H266"/>
      <c r="I266"/>
      <c r="J266"/>
    </row>
    <row r="267" spans="1:10" x14ac:dyDescent="0.25">
      <c r="A267"/>
      <c r="B267"/>
      <c r="C267"/>
      <c r="D267"/>
      <c r="E267"/>
      <c r="F267"/>
      <c r="G267" s="237"/>
      <c r="H267"/>
      <c r="I267"/>
      <c r="J267"/>
    </row>
    <row r="268" spans="1:10" x14ac:dyDescent="0.25">
      <c r="A268"/>
      <c r="B268"/>
      <c r="C268"/>
      <c r="D268"/>
      <c r="E268"/>
      <c r="F268"/>
      <c r="G268" s="237"/>
      <c r="H268"/>
      <c r="I268"/>
      <c r="J268"/>
    </row>
    <row r="269" spans="1:10" x14ac:dyDescent="0.25">
      <c r="A269"/>
      <c r="B269"/>
      <c r="C269"/>
      <c r="D269"/>
      <c r="E269"/>
      <c r="F269"/>
      <c r="G269" s="237"/>
      <c r="H269"/>
      <c r="I269"/>
      <c r="J269"/>
    </row>
    <row r="270" spans="1:10" x14ac:dyDescent="0.25">
      <c r="A270"/>
      <c r="B270"/>
      <c r="C270"/>
      <c r="D270"/>
      <c r="E270"/>
      <c r="F270"/>
      <c r="G270" s="237"/>
      <c r="H270"/>
      <c r="I270"/>
      <c r="J270"/>
    </row>
    <row r="271" spans="1:10" x14ac:dyDescent="0.25">
      <c r="A271"/>
      <c r="B271"/>
      <c r="C271"/>
      <c r="D271"/>
      <c r="E271"/>
      <c r="F271"/>
      <c r="G271" s="237"/>
      <c r="H271"/>
      <c r="I271"/>
      <c r="J271"/>
    </row>
    <row r="272" spans="1:10" x14ac:dyDescent="0.25">
      <c r="A272"/>
      <c r="B272"/>
      <c r="C272"/>
      <c r="D272"/>
      <c r="E272"/>
      <c r="F272"/>
      <c r="G272" s="237"/>
      <c r="H272"/>
      <c r="I272"/>
      <c r="J272"/>
    </row>
    <row r="273" spans="1:10" x14ac:dyDescent="0.25">
      <c r="A273"/>
      <c r="B273"/>
      <c r="C273"/>
      <c r="D273"/>
      <c r="E273"/>
      <c r="F273"/>
      <c r="G273" s="237"/>
      <c r="H273"/>
      <c r="I273"/>
      <c r="J273"/>
    </row>
    <row r="274" spans="1:10" x14ac:dyDescent="0.25">
      <c r="A274"/>
      <c r="B274"/>
      <c r="C274"/>
      <c r="D274"/>
      <c r="E274"/>
      <c r="F274"/>
      <c r="G274" s="237"/>
      <c r="H274"/>
      <c r="I274"/>
      <c r="J274"/>
    </row>
    <row r="275" spans="1:10" x14ac:dyDescent="0.25">
      <c r="A275"/>
      <c r="B275"/>
      <c r="C275"/>
      <c r="D275"/>
      <c r="E275"/>
      <c r="F275"/>
      <c r="G275" s="237"/>
      <c r="H275"/>
      <c r="I275"/>
      <c r="J275"/>
    </row>
    <row r="276" spans="1:10" x14ac:dyDescent="0.25">
      <c r="A276"/>
      <c r="B276"/>
      <c r="C276"/>
      <c r="D276"/>
      <c r="E276"/>
      <c r="F276"/>
      <c r="G276" s="237"/>
      <c r="H276"/>
      <c r="I276"/>
      <c r="J276"/>
    </row>
    <row r="277" spans="1:10" x14ac:dyDescent="0.25">
      <c r="A277"/>
      <c r="B277"/>
      <c r="C277"/>
      <c r="D277"/>
      <c r="E277"/>
      <c r="F277"/>
      <c r="G277" s="237"/>
      <c r="H277"/>
      <c r="I277"/>
      <c r="J277"/>
    </row>
    <row r="278" spans="1:10" x14ac:dyDescent="0.25">
      <c r="A278"/>
      <c r="B278"/>
      <c r="C278"/>
      <c r="D278"/>
      <c r="E278"/>
      <c r="F278"/>
      <c r="G278" s="237"/>
      <c r="H278"/>
      <c r="I278"/>
      <c r="J278"/>
    </row>
    <row r="279" spans="1:10" x14ac:dyDescent="0.25">
      <c r="A279"/>
      <c r="B279"/>
      <c r="C279"/>
      <c r="D279"/>
      <c r="E279"/>
      <c r="F279"/>
      <c r="G279" s="237"/>
      <c r="H279"/>
      <c r="I279"/>
      <c r="J279"/>
    </row>
    <row r="280" spans="1:10" x14ac:dyDescent="0.25">
      <c r="A280"/>
      <c r="B280"/>
      <c r="C280"/>
      <c r="D280"/>
      <c r="E280"/>
      <c r="F280"/>
      <c r="G280" s="237"/>
      <c r="H280"/>
      <c r="I280"/>
      <c r="J280"/>
    </row>
    <row r="281" spans="1:10" x14ac:dyDescent="0.25">
      <c r="A281"/>
      <c r="B281"/>
      <c r="C281"/>
      <c r="D281"/>
      <c r="E281"/>
      <c r="F281"/>
      <c r="G281" s="237"/>
      <c r="H281"/>
      <c r="I281"/>
      <c r="J281"/>
    </row>
    <row r="282" spans="1:10" x14ac:dyDescent="0.25">
      <c r="A282"/>
      <c r="B282"/>
      <c r="C282"/>
      <c r="D282"/>
      <c r="E282"/>
      <c r="F282"/>
      <c r="G282" s="237"/>
      <c r="H282"/>
      <c r="I282"/>
      <c r="J282"/>
    </row>
    <row r="283" spans="1:10" x14ac:dyDescent="0.25">
      <c r="A283"/>
      <c r="B283"/>
      <c r="C283"/>
      <c r="D283"/>
      <c r="E283"/>
      <c r="F283"/>
      <c r="G283" s="237"/>
      <c r="H283"/>
      <c r="I283"/>
      <c r="J283"/>
    </row>
    <row r="284" spans="1:10" x14ac:dyDescent="0.25">
      <c r="A284"/>
      <c r="B284"/>
      <c r="C284"/>
      <c r="D284"/>
      <c r="E284"/>
      <c r="F284"/>
      <c r="G284" s="237"/>
      <c r="H284"/>
      <c r="I284"/>
      <c r="J284"/>
    </row>
    <row r="285" spans="1:10" x14ac:dyDescent="0.25">
      <c r="A285"/>
      <c r="B285"/>
      <c r="C285"/>
      <c r="D285"/>
      <c r="E285"/>
      <c r="F285"/>
      <c r="G285" s="237"/>
      <c r="H285"/>
      <c r="I285"/>
      <c r="J285"/>
    </row>
    <row r="286" spans="1:10" x14ac:dyDescent="0.25">
      <c r="A286"/>
      <c r="B286"/>
      <c r="C286"/>
      <c r="D286"/>
      <c r="E286"/>
      <c r="F286"/>
      <c r="G286" s="237"/>
      <c r="H286"/>
      <c r="I286"/>
      <c r="J286"/>
    </row>
    <row r="287" spans="1:10" x14ac:dyDescent="0.25">
      <c r="A287"/>
      <c r="B287"/>
      <c r="C287"/>
      <c r="D287"/>
      <c r="E287"/>
      <c r="F287"/>
      <c r="G287" s="237"/>
      <c r="H287"/>
      <c r="I287"/>
      <c r="J287"/>
    </row>
    <row r="288" spans="1:10" x14ac:dyDescent="0.25">
      <c r="A288"/>
      <c r="B288"/>
      <c r="C288"/>
      <c r="D288"/>
      <c r="E288"/>
      <c r="F288"/>
      <c r="G288" s="237"/>
      <c r="H288"/>
      <c r="I288"/>
      <c r="J288"/>
    </row>
    <row r="289" spans="1:10" x14ac:dyDescent="0.25">
      <c r="A289"/>
      <c r="B289"/>
      <c r="C289"/>
      <c r="D289"/>
      <c r="E289"/>
      <c r="F289"/>
      <c r="G289" s="237"/>
      <c r="H289"/>
      <c r="I289"/>
      <c r="J289"/>
    </row>
    <row r="290" spans="1:10" x14ac:dyDescent="0.25">
      <c r="A290"/>
      <c r="B290"/>
      <c r="C290"/>
      <c r="D290"/>
      <c r="E290"/>
      <c r="F290"/>
      <c r="G290" s="237"/>
      <c r="H290"/>
      <c r="I290"/>
      <c r="J290"/>
    </row>
    <row r="291" spans="1:10" x14ac:dyDescent="0.25">
      <c r="A291"/>
      <c r="B291"/>
      <c r="C291"/>
      <c r="D291"/>
      <c r="E291"/>
      <c r="F291"/>
      <c r="G291" s="237"/>
      <c r="H291"/>
      <c r="I291"/>
      <c r="J291"/>
    </row>
    <row r="292" spans="1:10" x14ac:dyDescent="0.25">
      <c r="A292"/>
      <c r="B292"/>
      <c r="C292"/>
      <c r="D292"/>
      <c r="E292"/>
      <c r="F292"/>
      <c r="G292" s="237"/>
      <c r="H292"/>
      <c r="I292"/>
      <c r="J292"/>
    </row>
    <row r="293" spans="1:10" x14ac:dyDescent="0.25">
      <c r="A293"/>
      <c r="B293"/>
      <c r="C293"/>
      <c r="D293"/>
      <c r="E293"/>
      <c r="F293"/>
      <c r="G293" s="237"/>
      <c r="H293"/>
      <c r="I293"/>
      <c r="J293"/>
    </row>
    <row r="294" spans="1:10" x14ac:dyDescent="0.25">
      <c r="A294"/>
      <c r="B294"/>
      <c r="C294"/>
      <c r="D294"/>
      <c r="E294"/>
      <c r="F294"/>
      <c r="G294" s="237"/>
      <c r="H294"/>
      <c r="I294"/>
      <c r="J294"/>
    </row>
    <row r="295" spans="1:10" x14ac:dyDescent="0.25">
      <c r="A295"/>
      <c r="B295"/>
      <c r="C295"/>
      <c r="D295"/>
      <c r="E295"/>
      <c r="F295"/>
      <c r="G295" s="237"/>
      <c r="H295"/>
      <c r="I295"/>
      <c r="J295"/>
    </row>
    <row r="296" spans="1:10" x14ac:dyDescent="0.25">
      <c r="A296"/>
      <c r="B296"/>
      <c r="C296"/>
      <c r="D296"/>
      <c r="E296"/>
      <c r="F296"/>
      <c r="G296" s="237"/>
      <c r="H296"/>
      <c r="I296"/>
      <c r="J296"/>
    </row>
    <row r="297" spans="1:10" x14ac:dyDescent="0.25">
      <c r="A297"/>
      <c r="B297"/>
      <c r="C297"/>
      <c r="D297"/>
      <c r="E297"/>
      <c r="F297"/>
      <c r="G297" s="237"/>
      <c r="H297"/>
      <c r="I297"/>
      <c r="J297"/>
    </row>
    <row r="298" spans="1:10" x14ac:dyDescent="0.25">
      <c r="A298"/>
      <c r="B298"/>
      <c r="C298"/>
      <c r="D298"/>
      <c r="E298"/>
      <c r="F298"/>
      <c r="G298" s="237"/>
      <c r="H298"/>
      <c r="I298"/>
      <c r="J298"/>
    </row>
    <row r="299" spans="1:10" x14ac:dyDescent="0.25">
      <c r="A299"/>
      <c r="B299"/>
      <c r="C299"/>
      <c r="D299"/>
      <c r="E299"/>
      <c r="F299"/>
      <c r="G299" s="237"/>
      <c r="H299"/>
      <c r="I299"/>
      <c r="J299"/>
    </row>
    <row r="300" spans="1:10" x14ac:dyDescent="0.25">
      <c r="A300"/>
      <c r="B300"/>
      <c r="C300"/>
      <c r="D300"/>
      <c r="E300"/>
      <c r="F300"/>
      <c r="G300" s="237"/>
      <c r="H300"/>
      <c r="I300"/>
      <c r="J300"/>
    </row>
    <row r="301" spans="1:10" x14ac:dyDescent="0.25">
      <c r="A301"/>
      <c r="B301"/>
      <c r="C301"/>
      <c r="D301"/>
      <c r="E301"/>
      <c r="F301"/>
      <c r="G301" s="237"/>
      <c r="H301"/>
      <c r="I301"/>
      <c r="J301"/>
    </row>
    <row r="302" spans="1:10" x14ac:dyDescent="0.25">
      <c r="A302"/>
      <c r="B302"/>
      <c r="C302"/>
      <c r="D302"/>
      <c r="E302"/>
      <c r="F302"/>
      <c r="G302" s="237"/>
      <c r="H302"/>
      <c r="I302"/>
      <c r="J302"/>
    </row>
    <row r="303" spans="1:10" x14ac:dyDescent="0.25">
      <c r="A303"/>
      <c r="B303"/>
      <c r="C303"/>
      <c r="D303"/>
      <c r="E303"/>
      <c r="F303"/>
      <c r="G303" s="237"/>
      <c r="H303"/>
      <c r="I303"/>
      <c r="J303"/>
    </row>
    <row r="304" spans="1:10" x14ac:dyDescent="0.25">
      <c r="A304"/>
      <c r="B304"/>
      <c r="C304"/>
      <c r="D304"/>
      <c r="E304"/>
      <c r="F304"/>
      <c r="G304" s="237"/>
      <c r="H304"/>
      <c r="I304"/>
      <c r="J304"/>
    </row>
    <row r="305" spans="1:10" x14ac:dyDescent="0.25">
      <c r="A305"/>
      <c r="B305"/>
      <c r="C305"/>
      <c r="D305"/>
      <c r="E305"/>
      <c r="F305"/>
      <c r="G305" s="237"/>
      <c r="H305"/>
      <c r="I305"/>
      <c r="J305"/>
    </row>
    <row r="306" spans="1:10" x14ac:dyDescent="0.25">
      <c r="A306"/>
      <c r="B306"/>
      <c r="C306"/>
      <c r="D306"/>
      <c r="E306"/>
      <c r="F306"/>
      <c r="G306" s="237"/>
      <c r="H306"/>
      <c r="I306"/>
      <c r="J306"/>
    </row>
    <row r="307" spans="1:10" x14ac:dyDescent="0.25">
      <c r="A307"/>
      <c r="B307"/>
      <c r="C307"/>
      <c r="D307"/>
      <c r="E307"/>
      <c r="F307"/>
      <c r="G307" s="237"/>
      <c r="H307"/>
      <c r="I307"/>
      <c r="J307"/>
    </row>
    <row r="308" spans="1:10" x14ac:dyDescent="0.25">
      <c r="A308"/>
      <c r="B308"/>
      <c r="C308"/>
      <c r="D308"/>
      <c r="E308"/>
      <c r="F308"/>
      <c r="G308" s="237"/>
      <c r="H308"/>
      <c r="I308"/>
      <c r="J308"/>
    </row>
    <row r="309" spans="1:10" x14ac:dyDescent="0.25">
      <c r="A309"/>
      <c r="B309"/>
      <c r="C309"/>
      <c r="D309"/>
      <c r="E309"/>
      <c r="F309"/>
      <c r="G309" s="237"/>
      <c r="H309"/>
      <c r="I309"/>
      <c r="J309"/>
    </row>
    <row r="310" spans="1:10" x14ac:dyDescent="0.25">
      <c r="A310"/>
      <c r="B310"/>
      <c r="C310"/>
      <c r="D310"/>
      <c r="E310"/>
      <c r="F310"/>
      <c r="G310" s="237"/>
      <c r="H310"/>
      <c r="I310"/>
      <c r="J310"/>
    </row>
    <row r="311" spans="1:10" x14ac:dyDescent="0.25">
      <c r="A311"/>
      <c r="B311"/>
      <c r="C311"/>
      <c r="D311"/>
      <c r="E311"/>
      <c r="F311"/>
      <c r="G311" s="237"/>
      <c r="H311"/>
      <c r="I311"/>
      <c r="J311"/>
    </row>
    <row r="312" spans="1:10" x14ac:dyDescent="0.25">
      <c r="A312"/>
      <c r="B312"/>
      <c r="C312"/>
      <c r="D312"/>
      <c r="E312"/>
      <c r="F312"/>
      <c r="G312" s="237"/>
      <c r="H312"/>
      <c r="I312"/>
      <c r="J312"/>
    </row>
    <row r="313" spans="1:10" x14ac:dyDescent="0.25">
      <c r="A313"/>
      <c r="B313"/>
      <c r="C313"/>
      <c r="D313"/>
      <c r="E313"/>
      <c r="F313"/>
      <c r="G313" s="237"/>
      <c r="H313"/>
      <c r="I313"/>
      <c r="J313"/>
    </row>
    <row r="314" spans="1:10" x14ac:dyDescent="0.25">
      <c r="A314"/>
      <c r="B314"/>
      <c r="C314"/>
      <c r="D314"/>
      <c r="E314"/>
      <c r="F314"/>
      <c r="G314" s="237"/>
      <c r="H314"/>
      <c r="I314"/>
      <c r="J314"/>
    </row>
    <row r="315" spans="1:10" x14ac:dyDescent="0.25">
      <c r="A315"/>
      <c r="B315"/>
      <c r="C315"/>
      <c r="D315"/>
      <c r="E315"/>
      <c r="F315"/>
      <c r="G315" s="237"/>
      <c r="H315"/>
      <c r="I315"/>
      <c r="J315"/>
    </row>
    <row r="316" spans="1:10" x14ac:dyDescent="0.25">
      <c r="A316"/>
      <c r="B316"/>
      <c r="C316"/>
      <c r="D316"/>
      <c r="E316"/>
      <c r="F316"/>
      <c r="G316" s="237"/>
      <c r="H316"/>
      <c r="I316"/>
      <c r="J316"/>
    </row>
    <row r="317" spans="1:10" x14ac:dyDescent="0.25">
      <c r="A317"/>
      <c r="B317"/>
      <c r="C317"/>
      <c r="D317"/>
      <c r="E317"/>
      <c r="F317"/>
      <c r="G317" s="237"/>
      <c r="H317"/>
      <c r="I317"/>
      <c r="J317"/>
    </row>
    <row r="318" spans="1:10" x14ac:dyDescent="0.25">
      <c r="A318"/>
      <c r="B318"/>
      <c r="C318"/>
      <c r="D318"/>
      <c r="E318"/>
      <c r="F318"/>
      <c r="G318" s="237"/>
      <c r="H318"/>
      <c r="I318"/>
      <c r="J318"/>
    </row>
    <row r="319" spans="1:10" x14ac:dyDescent="0.25">
      <c r="A319"/>
      <c r="B319"/>
      <c r="C319"/>
      <c r="D319"/>
      <c r="E319"/>
      <c r="F319"/>
      <c r="G319" s="237"/>
      <c r="H319"/>
      <c r="I319"/>
      <c r="J319"/>
    </row>
    <row r="320" spans="1:10" x14ac:dyDescent="0.25">
      <c r="A320"/>
      <c r="B320"/>
      <c r="C320"/>
      <c r="D320"/>
      <c r="E320"/>
      <c r="F320"/>
      <c r="G320" s="237"/>
      <c r="H320"/>
      <c r="I320"/>
      <c r="J320"/>
    </row>
    <row r="321" spans="1:10" x14ac:dyDescent="0.25">
      <c r="A321"/>
      <c r="B321"/>
      <c r="C321"/>
      <c r="D321"/>
      <c r="E321"/>
      <c r="F321"/>
      <c r="G321" s="237"/>
      <c r="H321"/>
      <c r="I321"/>
      <c r="J321"/>
    </row>
    <row r="322" spans="1:10" x14ac:dyDescent="0.25">
      <c r="A322"/>
      <c r="B322"/>
      <c r="C322"/>
      <c r="D322"/>
      <c r="E322"/>
      <c r="F322"/>
      <c r="G322" s="237"/>
      <c r="H322"/>
      <c r="I322"/>
      <c r="J322"/>
    </row>
    <row r="323" spans="1:10" x14ac:dyDescent="0.25">
      <c r="A323"/>
      <c r="B323"/>
      <c r="C323"/>
      <c r="D323"/>
      <c r="E323"/>
      <c r="F323"/>
      <c r="G323" s="237"/>
      <c r="H323"/>
      <c r="I323"/>
      <c r="J323"/>
    </row>
    <row r="324" spans="1:10" x14ac:dyDescent="0.25">
      <c r="A324"/>
      <c r="B324"/>
      <c r="C324"/>
      <c r="D324"/>
      <c r="E324"/>
      <c r="F324"/>
      <c r="G324" s="237"/>
      <c r="H324"/>
      <c r="I324"/>
      <c r="J324"/>
    </row>
    <row r="325" spans="1:10" x14ac:dyDescent="0.25">
      <c r="A325"/>
      <c r="B325"/>
      <c r="C325"/>
      <c r="D325"/>
      <c r="E325"/>
      <c r="F325"/>
      <c r="G325" s="237"/>
      <c r="H325"/>
      <c r="I325"/>
      <c r="J325"/>
    </row>
    <row r="326" spans="1:10" x14ac:dyDescent="0.25">
      <c r="A326"/>
      <c r="B326"/>
      <c r="C326"/>
      <c r="D326"/>
      <c r="E326"/>
      <c r="F326"/>
      <c r="G326" s="237"/>
      <c r="H326"/>
      <c r="I326"/>
      <c r="J326"/>
    </row>
    <row r="327" spans="1:10" x14ac:dyDescent="0.25">
      <c r="A327"/>
      <c r="B327"/>
      <c r="C327"/>
      <c r="D327"/>
      <c r="E327"/>
      <c r="F327"/>
      <c r="G327" s="237"/>
      <c r="H327"/>
      <c r="I327"/>
      <c r="J327"/>
    </row>
    <row r="328" spans="1:10" x14ac:dyDescent="0.25">
      <c r="A328"/>
      <c r="B328"/>
      <c r="C328"/>
      <c r="D328"/>
      <c r="E328"/>
      <c r="F328"/>
      <c r="G328" s="237"/>
      <c r="H328"/>
      <c r="I328"/>
      <c r="J328"/>
    </row>
    <row r="329" spans="1:10" x14ac:dyDescent="0.25">
      <c r="A329"/>
      <c r="B329"/>
      <c r="C329"/>
      <c r="D329"/>
      <c r="E329"/>
      <c r="F329"/>
      <c r="G329" s="237"/>
      <c r="H329"/>
      <c r="I329"/>
      <c r="J329"/>
    </row>
    <row r="330" spans="1:10" x14ac:dyDescent="0.25">
      <c r="A330"/>
      <c r="B330"/>
      <c r="C330"/>
      <c r="D330"/>
      <c r="E330"/>
      <c r="F330"/>
      <c r="G330" s="237"/>
      <c r="H330"/>
      <c r="I330"/>
      <c r="J330"/>
    </row>
    <row r="331" spans="1:10" x14ac:dyDescent="0.25">
      <c r="A331"/>
      <c r="B331"/>
      <c r="C331"/>
      <c r="D331"/>
      <c r="E331"/>
      <c r="F331"/>
      <c r="G331" s="237"/>
      <c r="H331"/>
      <c r="I331"/>
      <c r="J331"/>
    </row>
    <row r="332" spans="1:10" x14ac:dyDescent="0.25">
      <c r="A332"/>
      <c r="B332"/>
      <c r="C332"/>
      <c r="D332"/>
      <c r="E332"/>
      <c r="F332"/>
      <c r="G332" s="237"/>
      <c r="H332"/>
      <c r="I332"/>
      <c r="J332"/>
    </row>
    <row r="333" spans="1:10" x14ac:dyDescent="0.25">
      <c r="A333"/>
      <c r="B333"/>
      <c r="C333"/>
      <c r="D333"/>
      <c r="E333"/>
      <c r="F333"/>
      <c r="G333" s="237"/>
      <c r="H333"/>
      <c r="I333"/>
      <c r="J333"/>
    </row>
    <row r="334" spans="1:10" x14ac:dyDescent="0.25">
      <c r="A334"/>
      <c r="B334"/>
      <c r="C334"/>
      <c r="D334"/>
      <c r="E334"/>
      <c r="F334"/>
      <c r="G334" s="237"/>
      <c r="H334"/>
      <c r="I334"/>
      <c r="J334"/>
    </row>
    <row r="335" spans="1:10" x14ac:dyDescent="0.25">
      <c r="A335"/>
      <c r="B335"/>
      <c r="C335"/>
      <c r="D335"/>
      <c r="E335"/>
      <c r="F335"/>
      <c r="G335" s="237"/>
      <c r="H335"/>
      <c r="I335"/>
      <c r="J335"/>
    </row>
    <row r="336" spans="1:10" x14ac:dyDescent="0.25">
      <c r="A336"/>
      <c r="B336"/>
      <c r="C336"/>
      <c r="D336"/>
      <c r="E336"/>
      <c r="F336"/>
      <c r="G336" s="237"/>
      <c r="H336"/>
      <c r="I336"/>
      <c r="J336"/>
    </row>
    <row r="337" spans="1:10" x14ac:dyDescent="0.25">
      <c r="A337"/>
      <c r="B337"/>
      <c r="C337"/>
      <c r="D337"/>
      <c r="E337"/>
      <c r="F337"/>
      <c r="G337" s="237"/>
      <c r="H337"/>
      <c r="I337"/>
      <c r="J337"/>
    </row>
    <row r="338" spans="1:10" x14ac:dyDescent="0.25">
      <c r="A338"/>
      <c r="B338"/>
      <c r="C338"/>
      <c r="D338"/>
      <c r="E338"/>
      <c r="F338"/>
      <c r="G338" s="237"/>
      <c r="H338"/>
      <c r="I338"/>
      <c r="J338"/>
    </row>
    <row r="339" spans="1:10" x14ac:dyDescent="0.25">
      <c r="A339"/>
      <c r="B339"/>
      <c r="C339"/>
      <c r="D339"/>
      <c r="E339"/>
      <c r="F339"/>
      <c r="G339" s="237"/>
      <c r="H339"/>
      <c r="I339"/>
      <c r="J339"/>
    </row>
    <row r="340" spans="1:10" x14ac:dyDescent="0.25">
      <c r="A340"/>
      <c r="B340"/>
      <c r="C340"/>
      <c r="D340"/>
      <c r="E340"/>
      <c r="F340"/>
      <c r="G340" s="237"/>
      <c r="H340"/>
      <c r="I340"/>
      <c r="J340"/>
    </row>
    <row r="341" spans="1:10" x14ac:dyDescent="0.25">
      <c r="A341"/>
      <c r="B341"/>
      <c r="C341"/>
      <c r="D341"/>
      <c r="E341"/>
      <c r="F341"/>
      <c r="G341" s="237"/>
      <c r="H341"/>
      <c r="I341"/>
      <c r="J341"/>
    </row>
    <row r="342" spans="1:10" x14ac:dyDescent="0.25">
      <c r="A342"/>
      <c r="B342"/>
      <c r="C342"/>
      <c r="D342"/>
      <c r="E342"/>
      <c r="F342"/>
      <c r="G342" s="237"/>
      <c r="H342"/>
      <c r="I342"/>
      <c r="J342"/>
    </row>
    <row r="343" spans="1:10" x14ac:dyDescent="0.25">
      <c r="A343"/>
      <c r="B343"/>
      <c r="C343"/>
      <c r="D343"/>
      <c r="E343"/>
      <c r="F343"/>
      <c r="G343" s="237"/>
      <c r="H343"/>
      <c r="I343"/>
      <c r="J343"/>
    </row>
    <row r="344" spans="1:10" x14ac:dyDescent="0.25">
      <c r="A344"/>
      <c r="B344"/>
      <c r="C344"/>
      <c r="D344"/>
      <c r="E344"/>
      <c r="F344"/>
      <c r="G344" s="237"/>
      <c r="H344"/>
      <c r="I344"/>
      <c r="J344"/>
    </row>
    <row r="345" spans="1:10" x14ac:dyDescent="0.25">
      <c r="A345"/>
      <c r="B345"/>
      <c r="C345"/>
      <c r="D345"/>
      <c r="E345"/>
      <c r="F345"/>
      <c r="G345" s="237"/>
      <c r="H345"/>
      <c r="I345"/>
      <c r="J345"/>
    </row>
    <row r="346" spans="1:10" x14ac:dyDescent="0.25">
      <c r="A346"/>
      <c r="B346"/>
      <c r="C346"/>
      <c r="D346"/>
      <c r="E346"/>
      <c r="F346"/>
      <c r="G346" s="237"/>
      <c r="H346"/>
      <c r="I346"/>
      <c r="J346"/>
    </row>
    <row r="347" spans="1:10" x14ac:dyDescent="0.25">
      <c r="A347"/>
      <c r="B347"/>
      <c r="C347"/>
      <c r="D347"/>
      <c r="E347"/>
      <c r="F347"/>
      <c r="G347" s="237"/>
      <c r="H347"/>
      <c r="I347"/>
      <c r="J347"/>
    </row>
    <row r="348" spans="1:10" x14ac:dyDescent="0.25">
      <c r="A348"/>
      <c r="B348"/>
      <c r="C348"/>
      <c r="D348"/>
      <c r="E348"/>
      <c r="F348"/>
      <c r="G348" s="237"/>
      <c r="H348"/>
      <c r="I348"/>
      <c r="J348"/>
    </row>
    <row r="349" spans="1:10" x14ac:dyDescent="0.25">
      <c r="A349"/>
      <c r="B349"/>
      <c r="C349"/>
      <c r="D349"/>
      <c r="E349"/>
      <c r="F349"/>
      <c r="G349" s="237"/>
      <c r="H349"/>
      <c r="I349"/>
      <c r="J349"/>
    </row>
    <row r="350" spans="1:10" x14ac:dyDescent="0.25">
      <c r="A350"/>
      <c r="B350"/>
      <c r="C350"/>
      <c r="D350"/>
      <c r="E350"/>
      <c r="F350"/>
      <c r="G350" s="237"/>
      <c r="H350"/>
      <c r="I350"/>
      <c r="J350"/>
    </row>
    <row r="351" spans="1:10" x14ac:dyDescent="0.25">
      <c r="A351"/>
      <c r="B351"/>
      <c r="C351"/>
      <c r="D351"/>
      <c r="E351"/>
      <c r="F351"/>
      <c r="G351" s="237"/>
      <c r="H351"/>
      <c r="I351"/>
      <c r="J351"/>
    </row>
    <row r="352" spans="1:10" x14ac:dyDescent="0.25">
      <c r="A352"/>
      <c r="B352"/>
      <c r="C352"/>
      <c r="D352"/>
      <c r="E352"/>
      <c r="F352"/>
      <c r="G352" s="237"/>
      <c r="H352"/>
      <c r="I352"/>
      <c r="J352"/>
    </row>
    <row r="353" spans="1:11" x14ac:dyDescent="0.25">
      <c r="A353"/>
      <c r="B353"/>
      <c r="C353"/>
      <c r="D353"/>
      <c r="E353"/>
      <c r="F353"/>
      <c r="G353" s="237"/>
      <c r="H353"/>
      <c r="I353"/>
      <c r="J353"/>
    </row>
    <row r="354" spans="1:11" x14ac:dyDescent="0.25">
      <c r="D354" s="20"/>
      <c r="K354" s="20"/>
    </row>
    <row r="356" spans="1:11" x14ac:dyDescent="0.25">
      <c r="D356" s="20"/>
      <c r="E356" s="20"/>
      <c r="F356" s="245"/>
      <c r="G356" s="247"/>
      <c r="H356" s="20"/>
      <c r="I356" s="20"/>
      <c r="J356" s="20"/>
      <c r="K356" s="20"/>
    </row>
    <row r="357" spans="1:11" x14ac:dyDescent="0.25">
      <c r="D357" s="20"/>
      <c r="E357" s="20"/>
      <c r="F357" s="245"/>
      <c r="G357" s="247"/>
      <c r="H357" s="20"/>
      <c r="I357" s="20"/>
      <c r="K357" s="20"/>
    </row>
    <row r="358" spans="1:11" x14ac:dyDescent="0.25">
      <c r="D358" s="20"/>
      <c r="E358" s="20"/>
      <c r="F358" s="245"/>
      <c r="G358" s="237"/>
      <c r="H358" s="20"/>
      <c r="I358" s="20"/>
      <c r="K358" s="20"/>
    </row>
    <row r="359" spans="1:11" x14ac:dyDescent="0.25">
      <c r="D359" s="20"/>
      <c r="E359" s="20"/>
      <c r="F359" s="245"/>
      <c r="G359" s="247"/>
      <c r="H359" s="20"/>
      <c r="I359" s="20"/>
      <c r="K359" s="20"/>
    </row>
    <row r="360" spans="1:11" x14ac:dyDescent="0.25">
      <c r="D360" s="20"/>
      <c r="E360" s="20"/>
      <c r="F360" s="245"/>
      <c r="G360" s="247"/>
      <c r="H360" s="20"/>
      <c r="I360" s="20"/>
      <c r="K360" s="20"/>
    </row>
    <row r="361" spans="1:11" x14ac:dyDescent="0.25">
      <c r="D361" s="20"/>
      <c r="E361" s="20"/>
      <c r="F361" s="245"/>
      <c r="G361" s="247"/>
      <c r="H361" s="20"/>
      <c r="I361" s="20"/>
      <c r="K361" s="20"/>
    </row>
    <row r="362" spans="1:11" x14ac:dyDescent="0.25">
      <c r="D362" s="20"/>
      <c r="E362" s="20"/>
      <c r="F362" s="245"/>
      <c r="G362" s="247"/>
      <c r="H362" s="20"/>
      <c r="I362" s="20"/>
      <c r="K362" s="20"/>
    </row>
    <row r="363" spans="1:11" x14ac:dyDescent="0.25">
      <c r="D363" s="20"/>
      <c r="E363" s="20"/>
      <c r="F363" s="245"/>
      <c r="G363" s="237"/>
      <c r="H363" s="20"/>
      <c r="I363" s="20"/>
      <c r="K363" s="20"/>
    </row>
    <row r="364" spans="1:11" x14ac:dyDescent="0.25">
      <c r="D364" s="20"/>
      <c r="E364" s="20"/>
      <c r="F364" s="245"/>
      <c r="G364" s="247"/>
      <c r="H364" s="20"/>
      <c r="I364" s="20"/>
      <c r="K364" s="20"/>
    </row>
    <row r="365" spans="1:11" x14ac:dyDescent="0.25">
      <c r="D365" s="20"/>
      <c r="E365" s="20"/>
      <c r="F365" s="245"/>
      <c r="G365" s="247"/>
      <c r="H365" s="20"/>
      <c r="I365" s="20"/>
      <c r="K365" s="20"/>
    </row>
    <row r="366" spans="1:11" x14ac:dyDescent="0.25">
      <c r="D366" s="20"/>
      <c r="E366" s="20"/>
      <c r="F366" s="245"/>
      <c r="G366" s="247"/>
      <c r="H366" s="20"/>
      <c r="I366" s="20"/>
      <c r="K366" s="20"/>
    </row>
    <row r="367" spans="1:11" x14ac:dyDescent="0.25">
      <c r="D367" s="20"/>
      <c r="E367" s="20"/>
      <c r="F367" s="245"/>
      <c r="G367" s="247"/>
      <c r="H367" s="20"/>
      <c r="I367" s="20"/>
      <c r="K367" s="20"/>
    </row>
    <row r="368" spans="1:11" x14ac:dyDescent="0.25">
      <c r="D368" s="20"/>
      <c r="E368" s="20"/>
      <c r="F368" s="245"/>
      <c r="G368" s="247"/>
      <c r="H368" s="20"/>
      <c r="I368" s="20"/>
      <c r="K368" s="20"/>
    </row>
    <row r="369" spans="4:11" x14ac:dyDescent="0.25">
      <c r="D369" s="20"/>
      <c r="E369" s="20"/>
      <c r="F369" s="245"/>
      <c r="G369" s="247"/>
      <c r="H369" s="20"/>
      <c r="I369" s="20"/>
      <c r="K369" s="20"/>
    </row>
    <row r="370" spans="4:11" x14ac:dyDescent="0.25">
      <c r="D370" s="20"/>
      <c r="K370" s="20"/>
    </row>
    <row r="372" spans="4:11" x14ac:dyDescent="0.25">
      <c r="D372" s="20"/>
      <c r="E372" s="20"/>
      <c r="F372" s="245"/>
      <c r="G372" s="247"/>
      <c r="H372" s="20"/>
      <c r="I372" s="20"/>
      <c r="J372" s="20"/>
      <c r="K372" s="20"/>
    </row>
    <row r="373" spans="4:11" x14ac:dyDescent="0.25">
      <c r="D373" s="20"/>
      <c r="E373" s="20"/>
      <c r="F373" s="245"/>
      <c r="G373" s="247"/>
      <c r="H373" s="20"/>
      <c r="I373" s="20"/>
      <c r="K373" s="20"/>
    </row>
    <row r="374" spans="4:11" x14ac:dyDescent="0.25">
      <c r="D374" s="20"/>
      <c r="E374" s="20"/>
      <c r="F374" s="245"/>
      <c r="G374" s="237"/>
      <c r="H374" s="20"/>
      <c r="I374" s="20"/>
      <c r="K374" s="20"/>
    </row>
    <row r="375" spans="4:11" x14ac:dyDescent="0.25">
      <c r="D375" s="20"/>
      <c r="E375" s="20"/>
      <c r="F375" s="245"/>
      <c r="G375" s="247"/>
      <c r="H375" s="20"/>
      <c r="I375" s="20"/>
      <c r="K375" s="20"/>
    </row>
    <row r="376" spans="4:11" x14ac:dyDescent="0.25">
      <c r="D376" s="20"/>
      <c r="E376" s="20"/>
      <c r="F376" s="245"/>
      <c r="G376" s="247"/>
      <c r="H376" s="20"/>
      <c r="I376" s="20"/>
      <c r="K376" s="20"/>
    </row>
    <row r="377" spans="4:11" x14ac:dyDescent="0.25">
      <c r="D377" s="20"/>
      <c r="E377" s="20"/>
      <c r="F377" s="245"/>
      <c r="G377" s="247"/>
      <c r="H377" s="20"/>
      <c r="I377" s="20"/>
      <c r="K377" s="20"/>
    </row>
    <row r="378" spans="4:11" x14ac:dyDescent="0.25">
      <c r="D378" s="20"/>
      <c r="E378" s="20"/>
      <c r="F378" s="245"/>
      <c r="G378" s="247"/>
      <c r="H378" s="20"/>
      <c r="I378" s="20"/>
      <c r="K378" s="20"/>
    </row>
    <row r="379" spans="4:11" x14ac:dyDescent="0.25">
      <c r="D379" s="20"/>
      <c r="E379" s="20"/>
      <c r="F379" s="245"/>
      <c r="G379" s="237"/>
      <c r="H379" s="20"/>
      <c r="I379" s="20"/>
      <c r="K379" s="20"/>
    </row>
    <row r="380" spans="4:11" x14ac:dyDescent="0.25">
      <c r="D380" s="20"/>
      <c r="E380" s="20"/>
      <c r="F380" s="245"/>
      <c r="G380" s="247"/>
      <c r="H380" s="20"/>
      <c r="I380" s="20"/>
      <c r="K380" s="20"/>
    </row>
    <row r="381" spans="4:11" x14ac:dyDescent="0.25">
      <c r="D381" s="20"/>
      <c r="E381" s="20"/>
      <c r="F381" s="245"/>
      <c r="G381" s="247"/>
      <c r="H381" s="20"/>
      <c r="I381" s="20"/>
      <c r="K381" s="20"/>
    </row>
    <row r="382" spans="4:11" x14ac:dyDescent="0.25">
      <c r="D382" s="20"/>
      <c r="E382" s="20"/>
      <c r="F382" s="245"/>
      <c r="G382" s="247"/>
      <c r="H382" s="20"/>
      <c r="I382" s="20"/>
      <c r="K382" s="20"/>
    </row>
    <row r="383" spans="4:11" x14ac:dyDescent="0.25">
      <c r="D383" s="20"/>
      <c r="E383" s="20"/>
      <c r="F383" s="245"/>
      <c r="G383" s="247"/>
      <c r="H383" s="20"/>
      <c r="I383" s="20"/>
      <c r="K383" s="20"/>
    </row>
    <row r="384" spans="4:11" x14ac:dyDescent="0.25">
      <c r="D384" s="20"/>
      <c r="E384" s="20"/>
      <c r="F384" s="245"/>
      <c r="G384" s="247"/>
      <c r="H384" s="20"/>
      <c r="I384" s="20"/>
      <c r="K384" s="20"/>
    </row>
    <row r="385" spans="4:11" x14ac:dyDescent="0.25">
      <c r="D385" s="20"/>
      <c r="E385" s="20"/>
      <c r="F385" s="245"/>
      <c r="G385" s="247"/>
      <c r="H385" s="20"/>
      <c r="I385" s="20"/>
      <c r="K385" s="20"/>
    </row>
    <row r="386" spans="4:11" x14ac:dyDescent="0.25">
      <c r="D386" s="20"/>
      <c r="K386" s="20"/>
    </row>
  </sheetData>
  <sheetProtection formatCells="0" formatColumns="0" formatRows="0" insertColumns="0" insertRows="0" insertHyperlinks="0" deleteColumns="0" deleteRows="0"/>
  <pageMargins left="0.7" right="0.7" top="0.75" bottom="0.75" header="0.3" footer="0.3"/>
  <pageSetup paperSize="17"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E4E49-F272-46D4-A365-165502C808AA}"/>
</file>

<file path=customXml/itemProps2.xml><?xml version="1.0" encoding="utf-8"?>
<ds:datastoreItem xmlns:ds="http://schemas.openxmlformats.org/officeDocument/2006/customXml" ds:itemID="{46476AAE-7A8D-4C72-B918-C751AEF2FA7E}">
  <ds:schemaRefs>
    <ds:schemaRef ds:uri="http://schemas.microsoft.com/sharepoint/v3/contenttype/forms"/>
  </ds:schemaRefs>
</ds:datastoreItem>
</file>

<file path=customXml/itemProps3.xml><?xml version="1.0" encoding="utf-8"?>
<ds:datastoreItem xmlns:ds="http://schemas.openxmlformats.org/officeDocument/2006/customXml" ds:itemID="{F9AEFA81-5460-4A6D-AA48-4B5F9CD803DD}">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PhsStackTemplate</vt:lpstr>
      <vt:lpstr>Sheet 27</vt:lpstr>
      <vt:lpstr>PhaseStacks</vt:lpstr>
      <vt:lpstr>2022 Phs Stack Report</vt:lpstr>
      <vt:lpstr>CrowbarTemplate</vt:lpstr>
    </vt:vector>
  </TitlesOfParts>
  <Company>SLAC National Accelerator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Jenks, Stephen</dc:creator>
  <cp:lastModifiedBy>Sebek, Jim</cp:lastModifiedBy>
  <cp:lastPrinted>2022-10-01T21:58:45Z</cp:lastPrinted>
  <dcterms:created xsi:type="dcterms:W3CDTF">2018-07-28T18:28:18Z</dcterms:created>
  <dcterms:modified xsi:type="dcterms:W3CDTF">2024-04-24T20:34:53Z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0x010100162E8B9B8F494F4F9FA5AC6115F8BAFC</vt:lpwstr>
  </property>
</Properties>
</file>