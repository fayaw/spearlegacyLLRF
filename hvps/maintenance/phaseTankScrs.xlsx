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Ex5.xml" ContentType="application/vnd.ms-office.chartex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olors4.xml" ContentType="application/vnd.ms-office.chartcolorstyle+xml"/>
  <Override PartName="/xl/charts/style5.xml" ContentType="application/vnd.ms-office.chartstyl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files\Documents\spear3\hvps\data\"/>
    </mc:Choice>
  </mc:AlternateContent>
  <xr:revisionPtr revIDLastSave="0" documentId="13_ncr:1_{C4BC65BB-807C-44C6-A975-EEFB63E4E766}" xr6:coauthVersionLast="47" xr6:coauthVersionMax="47" xr10:uidLastSave="{00000000-0000-0000-0000-000000000000}"/>
  <bookViews>
    <workbookView xWindow="5475" yWindow="2475" windowWidth="21600" windowHeight="12645" xr2:uid="{00000000-000D-0000-FFFF-FFFF00000000}"/>
  </bookViews>
  <sheets>
    <sheet name="HVPS2" sheetId="1" r:id="rId1"/>
  </sheets>
  <definedNames>
    <definedName name="_xlchart.v1.0" hidden="1">HVPS2!$AA$3</definedName>
    <definedName name="_xlchart.v1.1" hidden="1">HVPS2!$AA$4:$AA$16</definedName>
    <definedName name="_xlchart.v1.10" hidden="1">HVPS2!$F$3</definedName>
    <definedName name="_xlchart.v1.11" hidden="1">HVPS2!$F$4:$F$15</definedName>
    <definedName name="_xlchart.v1.2" hidden="1">HVPS2!$T$3</definedName>
    <definedName name="_xlchart.v1.3" hidden="1">HVPS2!$T$4:$T$16</definedName>
    <definedName name="_xlchart.v1.4" hidden="1">HVPS2!$AB$3</definedName>
    <definedName name="_xlchart.v1.5" hidden="1">HVPS2!$AB$4:$AB$16</definedName>
    <definedName name="_xlchart.v1.6" hidden="1">HVPS2!$G$3</definedName>
    <definedName name="_xlchart.v1.7" hidden="1">HVPS2!$G$4:$G$15</definedName>
    <definedName name="_xlchart.v1.8" hidden="1">HVPS2!$S$3</definedName>
    <definedName name="_xlchart.v1.9" hidden="1">HVPS2!$S$4:$S$16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1" l="1"/>
  <c r="AB16" i="1" s="1"/>
  <c r="Z15" i="1"/>
  <c r="AA15" i="1" s="1"/>
  <c r="AB15" i="1" s="1"/>
  <c r="Z14" i="1"/>
  <c r="AA14" i="1" s="1"/>
  <c r="AB14" i="1" s="1"/>
  <c r="Z13" i="1"/>
  <c r="AA13" i="1" s="1"/>
  <c r="AB13" i="1" s="1"/>
  <c r="Z12" i="1"/>
  <c r="AA12" i="1" s="1"/>
  <c r="AB12" i="1" s="1"/>
  <c r="Z11" i="1"/>
  <c r="AA11" i="1" s="1"/>
  <c r="AB11" i="1" s="1"/>
  <c r="Z10" i="1"/>
  <c r="AA10" i="1" s="1"/>
  <c r="AB10" i="1" s="1"/>
  <c r="Z9" i="1"/>
  <c r="AA9" i="1" s="1"/>
  <c r="AB9" i="1" s="1"/>
  <c r="Z8" i="1"/>
  <c r="AA8" i="1" s="1"/>
  <c r="AB8" i="1" s="1"/>
  <c r="Z7" i="1"/>
  <c r="AA7" i="1" s="1"/>
  <c r="AB7" i="1" s="1"/>
  <c r="Z6" i="1"/>
  <c r="AA6" i="1" s="1"/>
  <c r="AB6" i="1" s="1"/>
  <c r="Z5" i="1"/>
  <c r="AA5" i="1" s="1"/>
  <c r="AB5" i="1" s="1"/>
  <c r="Z4" i="1"/>
  <c r="AA4" i="1" s="1"/>
  <c r="AB4" i="1" s="1"/>
  <c r="W4" i="1"/>
  <c r="Z3" i="1"/>
  <c r="AA3" i="1" s="1"/>
  <c r="AB3" i="1" s="1"/>
  <c r="AB19" i="1" s="1"/>
  <c r="T10" i="1"/>
  <c r="T11" i="1"/>
  <c r="T12" i="1"/>
  <c r="T13" i="1"/>
  <c r="T14" i="1"/>
  <c r="T15" i="1"/>
  <c r="T16" i="1"/>
  <c r="T3" i="1"/>
  <c r="S4" i="1"/>
  <c r="T4" i="1" s="1"/>
  <c r="S6" i="1"/>
  <c r="T6" i="1" s="1"/>
  <c r="S7" i="1"/>
  <c r="T7" i="1" s="1"/>
  <c r="S10" i="1"/>
  <c r="S11" i="1"/>
  <c r="S12" i="1"/>
  <c r="S13" i="1"/>
  <c r="S14" i="1"/>
  <c r="S15" i="1"/>
  <c r="S16" i="1"/>
  <c r="S3" i="1"/>
  <c r="F4" i="1"/>
  <c r="F5" i="1"/>
  <c r="F6" i="1"/>
  <c r="F7" i="1"/>
  <c r="F8" i="1"/>
  <c r="F9" i="1"/>
  <c r="F10" i="1"/>
  <c r="F11" i="1"/>
  <c r="F12" i="1"/>
  <c r="F13" i="1"/>
  <c r="F15" i="1"/>
  <c r="E4" i="1"/>
  <c r="E5" i="1"/>
  <c r="E6" i="1"/>
  <c r="E7" i="1"/>
  <c r="E8" i="1"/>
  <c r="E9" i="1"/>
  <c r="E10" i="1"/>
  <c r="E11" i="1"/>
  <c r="E12" i="1"/>
  <c r="E13" i="1"/>
  <c r="E14" i="1"/>
  <c r="F14" i="1" s="1"/>
  <c r="E3" i="1"/>
  <c r="F3" i="1" s="1"/>
  <c r="R4" i="1"/>
  <c r="R5" i="1"/>
  <c r="S5" i="1" s="1"/>
  <c r="T5" i="1" s="1"/>
  <c r="R6" i="1"/>
  <c r="R7" i="1"/>
  <c r="R8" i="1"/>
  <c r="S8" i="1" s="1"/>
  <c r="T8" i="1" s="1"/>
  <c r="R9" i="1"/>
  <c r="S9" i="1" s="1"/>
  <c r="T9" i="1" s="1"/>
  <c r="R10" i="1"/>
  <c r="R11" i="1"/>
  <c r="R12" i="1"/>
  <c r="R13" i="1"/>
  <c r="R14" i="1"/>
  <c r="R15" i="1"/>
  <c r="R3" i="1"/>
  <c r="O4" i="1"/>
  <c r="S19" i="1" l="1"/>
  <c r="T19" i="1"/>
  <c r="S18" i="1"/>
  <c r="AB18" i="1"/>
  <c r="T18" i="1"/>
  <c r="AA18" i="1"/>
  <c r="AA19" i="1"/>
  <c r="G15" i="1"/>
  <c r="G4" i="1"/>
  <c r="G5" i="1"/>
  <c r="G6" i="1"/>
  <c r="G7" i="1"/>
  <c r="G8" i="1"/>
  <c r="G9" i="1"/>
  <c r="G10" i="1"/>
  <c r="G11" i="1"/>
  <c r="G12" i="1"/>
  <c r="G13" i="1"/>
  <c r="G14" i="1"/>
  <c r="F21" i="1"/>
  <c r="B2" i="1"/>
  <c r="B4" i="1" s="1"/>
  <c r="F17" i="1" l="1"/>
  <c r="F18" i="1"/>
  <c r="F20" i="1"/>
  <c r="G3" i="1"/>
  <c r="G21" i="1" s="1"/>
  <c r="G17" i="1"/>
  <c r="G18" i="1"/>
  <c r="G20" i="1"/>
</calcChain>
</file>

<file path=xl/sharedStrings.xml><?xml version="1.0" encoding="utf-8"?>
<sst xmlns="http://schemas.openxmlformats.org/spreadsheetml/2006/main" count="36" uniqueCount="17">
  <si>
    <t>SCR (1=top)</t>
  </si>
  <si>
    <t>V_top (kV)</t>
  </si>
  <si>
    <t>V_bot (kV)</t>
  </si>
  <si>
    <t>V_del (kV)</t>
  </si>
  <si>
    <t>V_total (kV)</t>
  </si>
  <si>
    <t>I (uA)</t>
  </si>
  <si>
    <t>R (Mohm)</t>
  </si>
  <si>
    <t>S2 C+</t>
  </si>
  <si>
    <t>average</t>
  </si>
  <si>
    <t>std</t>
  </si>
  <si>
    <t>avg (good)</t>
  </si>
  <si>
    <t>std (good)</t>
  </si>
  <si>
    <t>S2 C-</t>
  </si>
  <si>
    <t>V_top (V)</t>
  </si>
  <si>
    <t>V_bot (V)</t>
  </si>
  <si>
    <t>bare SCR</t>
  </si>
  <si>
    <t>dressed 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</si>
</sst>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SCR DC Voltage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SCR DC Voltage</a:t>
          </a:r>
        </a:p>
      </cx:txPr>
    </cx:title>
    <cx:plotArea>
      <cx:plotAreaRegion>
        <cx:series layoutId="clusteredColumn" uniqueId="{57CA2BCF-5C31-4959-A86D-244F34144FFB}">
          <cx:tx>
            <cx:txData>
              <cx:f>_xlchart.v1.10</cx:f>
              <cx:v>2.09</cx:v>
            </cx:txData>
          </cx:tx>
          <cx:dataId val="0"/>
          <cx:layoutPr>
            <cx:binning intervalClosed="r">
              <cx:binSize val="0.02500000000000000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SCR HV Resistance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SCR HV Resistance</a:t>
          </a:r>
        </a:p>
      </cx:txPr>
    </cx:title>
    <cx:plotArea>
      <cx:plotAreaRegion>
        <cx:series layoutId="clusteredColumn" uniqueId="{E4E6464D-ADE0-4A0B-AA51-B1BC54C50D1C}">
          <cx:tx>
            <cx:txData>
              <cx:f>_xlchart.v1.6</cx:f>
              <cx:v>15.31</cx:v>
            </cx:txData>
          </cx:tx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Bare SCR DC Voltage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Bare SCR DC Voltage</a:t>
          </a:r>
        </a:p>
      </cx:txPr>
    </cx:title>
    <cx:plotArea>
      <cx:plotAreaRegion>
        <cx:series layoutId="clusteredColumn" uniqueId="{65637218-7027-4059-8683-F507A6629E7F}">
          <cx:tx>
            <cx:txData>
              <cx:f>_xlchart.v1.8</cx:f>
              <cx:v>1.90</cx:v>
            </cx:txData>
          </cx:tx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Bare SCR HV Resistance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Bare SCR HV Resistance</a:t>
          </a:r>
        </a:p>
      </cx:txPr>
    </cx:title>
    <cx:plotArea>
      <cx:plotAreaRegion>
        <cx:series layoutId="clusteredColumn" uniqueId="{63A7EE4C-22B7-4F78-8862-C5B6B4C3E1AB}">
          <cx:tx>
            <cx:txData>
              <cx:f>_xlchart.v1.2</cx:f>
              <cx:v>84.03</cx:v>
            </cx:txData>
          </cx:tx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Dressed SCR DC Voltage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Dressed SCR DC Voltage</a:t>
          </a:r>
        </a:p>
      </cx:txPr>
    </cx:title>
    <cx:plotArea>
      <cx:plotAreaRegion>
        <cx:series layoutId="clusteredColumn" uniqueId="{775CE8BB-4AF4-427D-A530-2150670A2E81}">
          <cx:tx>
            <cx:txData>
              <cx:f>_xlchart.v1.0</cx:f>
              <cx:v>1.96</cx:v>
            </cx:txData>
          </cx:tx>
          <cx:dataId val="0"/>
          <cx:layoutPr>
            <cx:binning intervalClosed="r">
              <cx:binSize val="0.02500000000000000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Dressed SCR HV Resistance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Dressed SCR HV Resistance</a:t>
          </a:r>
        </a:p>
      </cx:txPr>
    </cx:title>
    <cx:plotArea>
      <cx:plotAreaRegion>
        <cx:series layoutId="clusteredColumn" uniqueId="{949F6265-BC0F-4A93-9A4A-0423D13CB0E5}">
          <cx:tx>
            <cx:txData>
              <cx:f>_xlchart.v1.4</cx:f>
              <cx:v>21.08</cx:v>
            </cx:txData>
          </cx:tx>
          <cx:dataId val="0"/>
          <cx:layoutPr>
            <cx:binning intervalClosed="r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0</xdr:row>
      <xdr:rowOff>185736</xdr:rowOff>
    </xdr:from>
    <xdr:to>
      <xdr:col>12</xdr:col>
      <xdr:colOff>0</xdr:colOff>
      <xdr:row>11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1612" y="185736"/>
              <a:ext cx="2443163" cy="2100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4762</xdr:colOff>
      <xdr:row>12</xdr:row>
      <xdr:rowOff>185737</xdr:rowOff>
    </xdr:from>
    <xdr:to>
      <xdr:col>12</xdr:col>
      <xdr:colOff>0</xdr:colOff>
      <xdr:row>23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1137" y="2471737"/>
              <a:ext cx="2433638" cy="2081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490538</xdr:colOff>
      <xdr:row>31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375" y="3810000"/>
              <a:ext cx="2443163" cy="2100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514350</xdr:colOff>
      <xdr:row>20</xdr:row>
      <xdr:rowOff>0</xdr:rowOff>
    </xdr:from>
    <xdr:to>
      <xdr:col>20</xdr:col>
      <xdr:colOff>509588</xdr:colOff>
      <xdr:row>30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350" y="3810000"/>
              <a:ext cx="2433638" cy="2081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20</xdr:row>
      <xdr:rowOff>0</xdr:rowOff>
    </xdr:from>
    <xdr:to>
      <xdr:col>25</xdr:col>
      <xdr:colOff>4763</xdr:colOff>
      <xdr:row>31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0" y="3810000"/>
              <a:ext cx="2443163" cy="2100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600075</xdr:colOff>
      <xdr:row>20</xdr:row>
      <xdr:rowOff>0</xdr:rowOff>
    </xdr:from>
    <xdr:to>
      <xdr:col>28</xdr:col>
      <xdr:colOff>595313</xdr:colOff>
      <xdr:row>30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63875" y="3810000"/>
              <a:ext cx="2433638" cy="2081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"/>
  <sheetViews>
    <sheetView tabSelected="1" topLeftCell="I7" workbookViewId="0">
      <selection activeCell="AD30" sqref="AD30"/>
    </sheetView>
  </sheetViews>
  <sheetFormatPr defaultRowHeight="15"/>
  <cols>
    <col min="1" max="1" width="11.5703125" style="2" bestFit="1" customWidth="1"/>
    <col min="2" max="2" width="6.5703125" style="2" bestFit="1" customWidth="1"/>
    <col min="3" max="3" width="11.140625" bestFit="1" customWidth="1"/>
    <col min="4" max="5" width="10.42578125" style="2" bestFit="1" customWidth="1"/>
    <col min="6" max="6" width="10.28515625" style="2" bestFit="1" customWidth="1"/>
    <col min="7" max="7" width="9.7109375" style="2" bestFit="1" customWidth="1"/>
    <col min="14" max="14" width="11.7109375" customWidth="1"/>
    <col min="15" max="15" width="8.42578125" customWidth="1"/>
  </cols>
  <sheetData>
    <row r="1" spans="1:28">
      <c r="A1" s="3">
        <v>44043</v>
      </c>
      <c r="B1" s="2" t="s">
        <v>7</v>
      </c>
      <c r="N1" s="3">
        <v>44061</v>
      </c>
      <c r="O1" s="2" t="s">
        <v>12</v>
      </c>
      <c r="Q1" t="s">
        <v>15</v>
      </c>
      <c r="Y1" t="s">
        <v>16</v>
      </c>
    </row>
    <row r="2" spans="1:28">
      <c r="A2" s="2" t="s">
        <v>4</v>
      </c>
      <c r="B2" s="2">
        <f>D3</f>
        <v>24.91</v>
      </c>
      <c r="C2" t="s">
        <v>0</v>
      </c>
      <c r="D2" s="2" t="s">
        <v>1</v>
      </c>
      <c r="E2" s="2" t="s">
        <v>2</v>
      </c>
      <c r="F2" s="2" t="s">
        <v>3</v>
      </c>
      <c r="G2" s="2" t="s">
        <v>6</v>
      </c>
      <c r="N2" s="2" t="s">
        <v>4</v>
      </c>
      <c r="O2" s="2">
        <v>25.145</v>
      </c>
      <c r="P2" t="s">
        <v>0</v>
      </c>
      <c r="Q2" s="2" t="s">
        <v>13</v>
      </c>
      <c r="R2" s="2" t="s">
        <v>14</v>
      </c>
      <c r="S2" s="2" t="s">
        <v>3</v>
      </c>
      <c r="T2" s="2" t="s">
        <v>6</v>
      </c>
      <c r="V2" s="2" t="s">
        <v>4</v>
      </c>
      <c r="W2" s="2">
        <v>25.297999999999998</v>
      </c>
      <c r="X2" t="s">
        <v>0</v>
      </c>
      <c r="Y2" s="2" t="s">
        <v>13</v>
      </c>
      <c r="Z2" s="2" t="s">
        <v>14</v>
      </c>
      <c r="AA2" s="2" t="s">
        <v>3</v>
      </c>
      <c r="AB2" s="2" t="s">
        <v>6</v>
      </c>
    </row>
    <row r="3" spans="1:28">
      <c r="A3" s="2" t="s">
        <v>5</v>
      </c>
      <c r="B3" s="2">
        <v>136.51</v>
      </c>
      <c r="C3" s="1">
        <v>1</v>
      </c>
      <c r="D3" s="2">
        <v>24.91</v>
      </c>
      <c r="E3" s="2">
        <f>D4</f>
        <v>22.82</v>
      </c>
      <c r="F3" s="2">
        <f>ABS(D3-E3)</f>
        <v>2.09</v>
      </c>
      <c r="G3" s="2">
        <f t="shared" ref="G3:G15" si="0">F3*1000/($B$3*0.000001)/1000000</f>
        <v>15.310233682514102</v>
      </c>
      <c r="N3" s="2" t="s">
        <v>5</v>
      </c>
      <c r="O3" s="2">
        <v>22.6</v>
      </c>
      <c r="P3" s="1">
        <v>1</v>
      </c>
      <c r="Q3">
        <v>0</v>
      </c>
      <c r="R3">
        <f>Q4</f>
        <v>1899</v>
      </c>
      <c r="S3" s="2">
        <f>ABS(Q3-R3)*0.001</f>
        <v>1.899</v>
      </c>
      <c r="T3" s="2">
        <f>S3*1000/($O$3*0.000001)/1000000</f>
        <v>84.026548672566364</v>
      </c>
      <c r="V3" s="2" t="s">
        <v>5</v>
      </c>
      <c r="W3" s="2">
        <v>92.9</v>
      </c>
      <c r="X3" s="1">
        <v>1</v>
      </c>
      <c r="Y3">
        <v>0</v>
      </c>
      <c r="Z3">
        <f>Y4</f>
        <v>1958</v>
      </c>
      <c r="AA3" s="2">
        <f>ABS(Y3-Z3)*0.001</f>
        <v>1.958</v>
      </c>
      <c r="AB3" s="2">
        <f>AA3*1000/($W$3*0.000001)/1000000</f>
        <v>21.076426264800862</v>
      </c>
    </row>
    <row r="4" spans="1:28">
      <c r="A4" s="2" t="s">
        <v>6</v>
      </c>
      <c r="B4" s="2">
        <f>B2*1000/(B3*0.000001)/1000000</f>
        <v>182.47747417771595</v>
      </c>
      <c r="C4" s="1">
        <v>2</v>
      </c>
      <c r="D4" s="2">
        <v>22.82</v>
      </c>
      <c r="E4" s="2">
        <f t="shared" ref="E4:E14" si="1">D5</f>
        <v>20.87</v>
      </c>
      <c r="F4" s="2">
        <f t="shared" ref="F4:F15" si="2">ABS(D4-E4)</f>
        <v>1.9499999999999993</v>
      </c>
      <c r="G4" s="2">
        <f t="shared" si="0"/>
        <v>14.284667789905498</v>
      </c>
      <c r="N4" s="2" t="s">
        <v>6</v>
      </c>
      <c r="O4" s="2">
        <f>O2*1000/(O3*0.000001)/1000000</f>
        <v>1112.6106194690265</v>
      </c>
      <c r="P4" s="1">
        <v>2</v>
      </c>
      <c r="Q4">
        <v>1899</v>
      </c>
      <c r="R4">
        <f t="shared" ref="R4:R15" si="3">Q5</f>
        <v>3471</v>
      </c>
      <c r="S4" s="2">
        <f t="shared" ref="S4:S16" si="4">ABS(Q4-R4)*0.001</f>
        <v>1.5720000000000001</v>
      </c>
      <c r="T4" s="2">
        <f t="shared" ref="T4:T16" si="5">S4*1000/($O$3*0.000001)/1000000</f>
        <v>69.557522123893804</v>
      </c>
      <c r="V4" s="2" t="s">
        <v>6</v>
      </c>
      <c r="W4" s="2">
        <f>W2*1000/(W3*0.000001)/1000000</f>
        <v>272.31431646932185</v>
      </c>
      <c r="X4" s="1">
        <v>2</v>
      </c>
      <c r="Y4">
        <v>1958</v>
      </c>
      <c r="Z4">
        <f t="shared" ref="Z4:Z15" si="6">Y5</f>
        <v>3819</v>
      </c>
      <c r="AA4" s="2">
        <f t="shared" ref="AA4:AA16" si="7">ABS(Y4-Z4)*0.001</f>
        <v>1.861</v>
      </c>
      <c r="AB4" s="2">
        <f t="shared" ref="AB4:AB16" si="8">AA4*1000/($W$3*0.000001)/1000000</f>
        <v>20.032292787944026</v>
      </c>
    </row>
    <row r="5" spans="1:28">
      <c r="C5" s="1">
        <v>3</v>
      </c>
      <c r="D5" s="2">
        <v>20.87</v>
      </c>
      <c r="E5" s="2">
        <f t="shared" si="1"/>
        <v>18.829999999999998</v>
      </c>
      <c r="F5" s="2">
        <f t="shared" si="2"/>
        <v>2.0400000000000027</v>
      </c>
      <c r="G5" s="2">
        <f t="shared" si="0"/>
        <v>14.943960149439624</v>
      </c>
      <c r="P5" s="1">
        <v>3</v>
      </c>
      <c r="Q5">
        <v>3471</v>
      </c>
      <c r="R5">
        <f t="shared" si="3"/>
        <v>5387</v>
      </c>
      <c r="S5" s="2">
        <f t="shared" si="4"/>
        <v>1.9160000000000001</v>
      </c>
      <c r="T5" s="2">
        <f t="shared" si="5"/>
        <v>84.778761061946909</v>
      </c>
      <c r="X5" s="1">
        <v>3</v>
      </c>
      <c r="Y5">
        <v>3819</v>
      </c>
      <c r="Z5">
        <f t="shared" si="6"/>
        <v>5634</v>
      </c>
      <c r="AA5" s="2">
        <f t="shared" si="7"/>
        <v>1.8149999999999999</v>
      </c>
      <c r="AB5" s="2">
        <f t="shared" si="8"/>
        <v>19.53713670613563</v>
      </c>
    </row>
    <row r="6" spans="1:28">
      <c r="C6" s="1">
        <v>4</v>
      </c>
      <c r="D6" s="2">
        <v>18.829999999999998</v>
      </c>
      <c r="E6" s="2">
        <f t="shared" si="1"/>
        <v>16.899999999999999</v>
      </c>
      <c r="F6" s="2">
        <f t="shared" si="2"/>
        <v>1.9299999999999997</v>
      </c>
      <c r="G6" s="2">
        <f t="shared" si="0"/>
        <v>14.138158376675703</v>
      </c>
      <c r="P6" s="1">
        <v>4</v>
      </c>
      <c r="Q6">
        <v>5387</v>
      </c>
      <c r="R6">
        <f t="shared" si="3"/>
        <v>6465</v>
      </c>
      <c r="S6" s="2">
        <f t="shared" si="4"/>
        <v>1.0780000000000001</v>
      </c>
      <c r="T6" s="2">
        <f t="shared" si="5"/>
        <v>47.699115044247783</v>
      </c>
      <c r="X6" s="1">
        <v>4</v>
      </c>
      <c r="Y6">
        <v>5634</v>
      </c>
      <c r="Z6">
        <f t="shared" si="6"/>
        <v>7557</v>
      </c>
      <c r="AA6" s="2">
        <f t="shared" si="7"/>
        <v>1.923</v>
      </c>
      <c r="AB6" s="2">
        <f t="shared" si="8"/>
        <v>20.699677072120561</v>
      </c>
    </row>
    <row r="7" spans="1:28">
      <c r="C7" s="1">
        <v>5</v>
      </c>
      <c r="D7" s="2">
        <v>16.899999999999999</v>
      </c>
      <c r="E7" s="2">
        <f t="shared" si="1"/>
        <v>14.95</v>
      </c>
      <c r="F7" s="2">
        <f t="shared" si="2"/>
        <v>1.9499999999999993</v>
      </c>
      <c r="G7" s="2">
        <f t="shared" si="0"/>
        <v>14.284667789905498</v>
      </c>
      <c r="P7" s="1">
        <v>5</v>
      </c>
      <c r="Q7">
        <v>6465</v>
      </c>
      <c r="R7">
        <f t="shared" si="3"/>
        <v>8470</v>
      </c>
      <c r="S7" s="2">
        <f t="shared" si="4"/>
        <v>2.0049999999999999</v>
      </c>
      <c r="T7" s="2">
        <f t="shared" si="5"/>
        <v>88.716814159292028</v>
      </c>
      <c r="X7" s="1">
        <v>5</v>
      </c>
      <c r="Y7">
        <v>7557</v>
      </c>
      <c r="Z7">
        <f t="shared" si="6"/>
        <v>9452</v>
      </c>
      <c r="AA7" s="2">
        <f t="shared" si="7"/>
        <v>1.895</v>
      </c>
      <c r="AB7" s="2">
        <f t="shared" si="8"/>
        <v>20.39827771797632</v>
      </c>
    </row>
    <row r="8" spans="1:28">
      <c r="C8" s="1">
        <v>6</v>
      </c>
      <c r="D8" s="2">
        <v>14.95</v>
      </c>
      <c r="E8" s="2">
        <f t="shared" si="1"/>
        <v>12.96</v>
      </c>
      <c r="F8" s="2">
        <f t="shared" si="2"/>
        <v>1.9899999999999984</v>
      </c>
      <c r="G8" s="2">
        <f t="shared" si="0"/>
        <v>14.577686616365092</v>
      </c>
      <c r="P8" s="1">
        <v>6</v>
      </c>
      <c r="Q8">
        <v>8470</v>
      </c>
      <c r="R8">
        <f t="shared" si="3"/>
        <v>10597</v>
      </c>
      <c r="S8" s="2">
        <f t="shared" si="4"/>
        <v>2.1270000000000002</v>
      </c>
      <c r="T8" s="2">
        <f t="shared" si="5"/>
        <v>94.115044247787608</v>
      </c>
      <c r="X8" s="1">
        <v>6</v>
      </c>
      <c r="Y8">
        <v>9452</v>
      </c>
      <c r="Z8">
        <f t="shared" si="6"/>
        <v>11432</v>
      </c>
      <c r="AA8" s="2">
        <f t="shared" si="7"/>
        <v>1.98</v>
      </c>
      <c r="AB8" s="2">
        <f t="shared" si="8"/>
        <v>21.31324004305705</v>
      </c>
    </row>
    <row r="9" spans="1:28">
      <c r="C9" s="1">
        <v>7</v>
      </c>
      <c r="D9" s="2">
        <v>12.96</v>
      </c>
      <c r="E9" s="2">
        <f t="shared" si="1"/>
        <v>11.12</v>
      </c>
      <c r="F9" s="2">
        <f t="shared" si="2"/>
        <v>1.8400000000000016</v>
      </c>
      <c r="G9" s="2">
        <f t="shared" si="0"/>
        <v>13.478866017141616</v>
      </c>
      <c r="P9" s="1">
        <v>7</v>
      </c>
      <c r="Q9">
        <v>10597</v>
      </c>
      <c r="R9">
        <f t="shared" si="3"/>
        <v>12713</v>
      </c>
      <c r="S9" s="2">
        <f t="shared" si="4"/>
        <v>2.1160000000000001</v>
      </c>
      <c r="T9" s="2">
        <f t="shared" si="5"/>
        <v>93.628318584070797</v>
      </c>
      <c r="X9" s="1">
        <v>7</v>
      </c>
      <c r="Y9">
        <v>11432</v>
      </c>
      <c r="Z9">
        <f t="shared" si="6"/>
        <v>13328</v>
      </c>
      <c r="AA9" s="2">
        <f t="shared" si="7"/>
        <v>1.8960000000000001</v>
      </c>
      <c r="AB9" s="2">
        <f t="shared" si="8"/>
        <v>20.40904198062433</v>
      </c>
    </row>
    <row r="10" spans="1:28">
      <c r="C10" s="1">
        <v>8</v>
      </c>
      <c r="D10" s="2">
        <v>11.12</v>
      </c>
      <c r="E10" s="2">
        <f t="shared" si="1"/>
        <v>9.1199999999999992</v>
      </c>
      <c r="F10" s="2">
        <f t="shared" si="2"/>
        <v>2</v>
      </c>
      <c r="G10" s="2">
        <f t="shared" si="0"/>
        <v>14.650941322980003</v>
      </c>
      <c r="P10" s="1">
        <v>8</v>
      </c>
      <c r="Q10">
        <v>12713</v>
      </c>
      <c r="R10">
        <f t="shared" si="3"/>
        <v>14566</v>
      </c>
      <c r="S10" s="2">
        <f t="shared" si="4"/>
        <v>1.853</v>
      </c>
      <c r="T10" s="2">
        <f t="shared" si="5"/>
        <v>81.991150442477874</v>
      </c>
      <c r="X10" s="1">
        <v>8</v>
      </c>
      <c r="Y10">
        <v>13328</v>
      </c>
      <c r="Z10">
        <f t="shared" si="6"/>
        <v>15136</v>
      </c>
      <c r="AA10" s="2">
        <f t="shared" si="7"/>
        <v>1.8080000000000001</v>
      </c>
      <c r="AB10" s="2">
        <f t="shared" si="8"/>
        <v>19.461786867599571</v>
      </c>
    </row>
    <row r="11" spans="1:28">
      <c r="C11" s="1">
        <v>9</v>
      </c>
      <c r="D11" s="2">
        <v>9.1199999999999992</v>
      </c>
      <c r="E11" s="2">
        <f t="shared" si="1"/>
        <v>7.13</v>
      </c>
      <c r="F11" s="2">
        <f t="shared" si="2"/>
        <v>1.9899999999999993</v>
      </c>
      <c r="G11" s="2">
        <f t="shared" si="0"/>
        <v>14.577686616365099</v>
      </c>
      <c r="P11" s="1">
        <v>9</v>
      </c>
      <c r="Q11">
        <v>14566</v>
      </c>
      <c r="R11">
        <f t="shared" si="3"/>
        <v>16503</v>
      </c>
      <c r="S11" s="2">
        <f t="shared" si="4"/>
        <v>1.9370000000000001</v>
      </c>
      <c r="T11" s="2">
        <f t="shared" si="5"/>
        <v>85.707964601769916</v>
      </c>
      <c r="X11" s="1">
        <v>9</v>
      </c>
      <c r="Y11">
        <v>15136</v>
      </c>
      <c r="Z11">
        <f t="shared" si="6"/>
        <v>16861</v>
      </c>
      <c r="AA11" s="2">
        <f t="shared" si="7"/>
        <v>1.7250000000000001</v>
      </c>
      <c r="AB11" s="2">
        <f t="shared" si="8"/>
        <v>18.568353067814858</v>
      </c>
    </row>
    <row r="12" spans="1:28">
      <c r="C12" s="1">
        <v>10</v>
      </c>
      <c r="D12" s="2">
        <v>7.13</v>
      </c>
      <c r="E12" s="2">
        <f t="shared" si="1"/>
        <v>5.1989999999999998</v>
      </c>
      <c r="F12" s="2">
        <f t="shared" si="2"/>
        <v>1.931</v>
      </c>
      <c r="G12" s="2">
        <f t="shared" si="0"/>
        <v>14.145483847337195</v>
      </c>
      <c r="P12" s="1">
        <v>10</v>
      </c>
      <c r="Q12">
        <v>16503</v>
      </c>
      <c r="R12">
        <f t="shared" si="3"/>
        <v>18687</v>
      </c>
      <c r="S12" s="2">
        <f t="shared" si="4"/>
        <v>2.1840000000000002</v>
      </c>
      <c r="T12" s="2">
        <f t="shared" si="5"/>
        <v>96.637168141592923</v>
      </c>
      <c r="X12" s="1">
        <v>10</v>
      </c>
      <c r="Y12">
        <v>16861</v>
      </c>
      <c r="Z12">
        <f t="shared" si="6"/>
        <v>18854</v>
      </c>
      <c r="AA12" s="2">
        <f t="shared" si="7"/>
        <v>1.9930000000000001</v>
      </c>
      <c r="AB12" s="2">
        <f t="shared" si="8"/>
        <v>21.453175457481166</v>
      </c>
    </row>
    <row r="13" spans="1:28">
      <c r="C13" s="1">
        <v>11</v>
      </c>
      <c r="D13" s="2">
        <v>5.1989999999999998</v>
      </c>
      <c r="E13" s="2">
        <f t="shared" si="1"/>
        <v>3.2530000000000001</v>
      </c>
      <c r="F13" s="2">
        <f t="shared" si="2"/>
        <v>1.9459999999999997</v>
      </c>
      <c r="G13" s="2">
        <f t="shared" si="0"/>
        <v>14.255365907259543</v>
      </c>
      <c r="P13" s="1">
        <v>11</v>
      </c>
      <c r="Q13">
        <v>18687</v>
      </c>
      <c r="R13">
        <f t="shared" si="3"/>
        <v>20419</v>
      </c>
      <c r="S13" s="2">
        <f t="shared" si="4"/>
        <v>1.732</v>
      </c>
      <c r="T13" s="2">
        <f t="shared" si="5"/>
        <v>76.637168141592923</v>
      </c>
      <c r="X13" s="1">
        <v>11</v>
      </c>
      <c r="Y13">
        <v>18854</v>
      </c>
      <c r="Z13">
        <f t="shared" si="6"/>
        <v>20522</v>
      </c>
      <c r="AA13" s="2">
        <f t="shared" si="7"/>
        <v>1.6679999999999999</v>
      </c>
      <c r="AB13" s="2">
        <f t="shared" si="8"/>
        <v>17.954790096878366</v>
      </c>
    </row>
    <row r="14" spans="1:28">
      <c r="C14" s="1">
        <v>12</v>
      </c>
      <c r="D14" s="2">
        <v>3.2530000000000001</v>
      </c>
      <c r="E14" s="2">
        <f t="shared" si="1"/>
        <v>1.2729999999999999</v>
      </c>
      <c r="F14" s="2">
        <f t="shared" si="2"/>
        <v>1.9800000000000002</v>
      </c>
      <c r="G14" s="2">
        <f t="shared" si="0"/>
        <v>14.504431909750204</v>
      </c>
      <c r="P14" s="1">
        <v>12</v>
      </c>
      <c r="Q14">
        <v>20419</v>
      </c>
      <c r="R14">
        <f t="shared" si="3"/>
        <v>22136</v>
      </c>
      <c r="S14" s="2">
        <f t="shared" si="4"/>
        <v>1.7170000000000001</v>
      </c>
      <c r="T14" s="2">
        <f t="shared" si="5"/>
        <v>75.973451327433636</v>
      </c>
      <c r="X14" s="1">
        <v>12</v>
      </c>
      <c r="Y14">
        <v>20522</v>
      </c>
      <c r="Z14">
        <f t="shared" si="6"/>
        <v>22252</v>
      </c>
      <c r="AA14" s="2">
        <f t="shared" si="7"/>
        <v>1.73</v>
      </c>
      <c r="AB14" s="2">
        <f t="shared" si="8"/>
        <v>18.622174381054901</v>
      </c>
    </row>
    <row r="15" spans="1:28">
      <c r="C15" s="1">
        <v>13</v>
      </c>
      <c r="D15" s="2">
        <v>1.2729999999999999</v>
      </c>
      <c r="E15" s="2">
        <v>0</v>
      </c>
      <c r="F15" s="2">
        <f t="shared" si="2"/>
        <v>1.2729999999999999</v>
      </c>
      <c r="G15" s="2">
        <f t="shared" si="0"/>
        <v>9.3253241520767709</v>
      </c>
      <c r="P15" s="1">
        <v>13</v>
      </c>
      <c r="Q15">
        <v>22136</v>
      </c>
      <c r="R15">
        <f t="shared" si="3"/>
        <v>23576</v>
      </c>
      <c r="S15" s="2">
        <f t="shared" si="4"/>
        <v>1.44</v>
      </c>
      <c r="T15" s="2">
        <f t="shared" si="5"/>
        <v>63.716814159292035</v>
      </c>
      <c r="X15" s="1">
        <v>13</v>
      </c>
      <c r="Y15">
        <v>22252</v>
      </c>
      <c r="Z15">
        <f t="shared" si="6"/>
        <v>23709</v>
      </c>
      <c r="AA15" s="2">
        <f t="shared" si="7"/>
        <v>1.4570000000000001</v>
      </c>
      <c r="AB15" s="2">
        <f t="shared" si="8"/>
        <v>15.683530678148546</v>
      </c>
    </row>
    <row r="16" spans="1:28">
      <c r="P16" s="1">
        <v>14</v>
      </c>
      <c r="Q16">
        <v>23576</v>
      </c>
      <c r="R16">
        <v>25145</v>
      </c>
      <c r="S16" s="2">
        <f t="shared" si="4"/>
        <v>1.569</v>
      </c>
      <c r="T16" s="2">
        <f t="shared" si="5"/>
        <v>69.424778761061958</v>
      </c>
      <c r="X16" s="1">
        <v>14</v>
      </c>
      <c r="Y16">
        <v>23709</v>
      </c>
      <c r="Z16">
        <v>25298</v>
      </c>
      <c r="AA16" s="2">
        <f t="shared" si="7"/>
        <v>1.589</v>
      </c>
      <c r="AB16" s="2">
        <f t="shared" si="8"/>
        <v>17.104413347685682</v>
      </c>
    </row>
    <row r="17" spans="5:28">
      <c r="E17" s="2" t="s">
        <v>8</v>
      </c>
      <c r="F17" s="2">
        <f>AVERAGE(F3:F15)</f>
        <v>1.9161538461538465</v>
      </c>
      <c r="G17" s="2">
        <f>AVERAGE(G3:G15)</f>
        <v>14.036728782901227</v>
      </c>
    </row>
    <row r="18" spans="5:28">
      <c r="E18" s="2" t="s">
        <v>9</v>
      </c>
      <c r="F18" s="2">
        <f>_xlfn.STDEV.P(F3:F15)</f>
        <v>0.19426660750859365</v>
      </c>
      <c r="G18" s="2">
        <f>_xlfn.STDEV.P(G3:G15)</f>
        <v>1.4230943338114543</v>
      </c>
      <c r="R18" s="2" t="s">
        <v>8</v>
      </c>
      <c r="S18" s="2">
        <f>AVERAGE(S3:S16)</f>
        <v>1.7960714285714285</v>
      </c>
      <c r="T18" s="2">
        <f>AVERAGE(T3:T16)</f>
        <v>79.472187104930484</v>
      </c>
      <c r="Z18" s="2" t="s">
        <v>8</v>
      </c>
      <c r="AA18" s="2">
        <f>AVERAGE(AA3:AA16)</f>
        <v>1.8069999999999999</v>
      </c>
      <c r="AB18" s="2">
        <f>AVERAGE(AB3:AB16)</f>
        <v>19.451022604951557</v>
      </c>
    </row>
    <row r="19" spans="5:28">
      <c r="N19" s="1"/>
      <c r="R19" s="2" t="s">
        <v>9</v>
      </c>
      <c r="S19" s="2">
        <f>_xlfn.STDEV.P(S3:S16)</f>
        <v>0.29382051476702475</v>
      </c>
      <c r="T19" s="2">
        <f>_xlfn.STDEV.P(T3:T16)</f>
        <v>13.000907733054044</v>
      </c>
      <c r="Z19" s="2" t="s">
        <v>9</v>
      </c>
      <c r="AA19" s="2">
        <f>_xlfn.STDEV.P(AA3:AA16)</f>
        <v>0.15152227559009271</v>
      </c>
      <c r="AB19" s="2">
        <f>_xlfn.STDEV.P(AB3:AB16)</f>
        <v>1.631025571475702</v>
      </c>
    </row>
    <row r="20" spans="5:28">
      <c r="E20" s="2" t="s">
        <v>10</v>
      </c>
      <c r="F20" s="2">
        <f>AVERAGE(F3:F14)</f>
        <v>1.9697500000000003</v>
      </c>
      <c r="G20" s="2">
        <f>AVERAGE(G3:G14)</f>
        <v>14.429345835469931</v>
      </c>
      <c r="N20" s="1"/>
    </row>
    <row r="21" spans="5:28">
      <c r="E21" s="2" t="s">
        <v>11</v>
      </c>
      <c r="F21" s="2">
        <f>_xlfn.STDEV.P(F3:F14)</f>
        <v>5.9509277988114256E-2</v>
      </c>
      <c r="G21" s="2">
        <f>_xlfn.STDEV.P(G3:G14)</f>
        <v>0.43593346998838334</v>
      </c>
      <c r="N21" s="1"/>
    </row>
    <row r="22" spans="5:28">
      <c r="N22" s="1"/>
    </row>
    <row r="23" spans="5:28">
      <c r="N23" s="1"/>
    </row>
    <row r="24" spans="5:28">
      <c r="N24" s="1"/>
    </row>
    <row r="25" spans="5:28">
      <c r="N25" s="1"/>
    </row>
    <row r="26" spans="5:28">
      <c r="N26" s="1"/>
    </row>
    <row r="27" spans="5:28">
      <c r="N27" s="1"/>
    </row>
    <row r="28" spans="5:28">
      <c r="N28" s="1"/>
    </row>
    <row r="29" spans="5:28">
      <c r="N29" s="1"/>
    </row>
    <row r="30" spans="5:28">
      <c r="N30" s="1"/>
    </row>
    <row r="31" spans="5:28">
      <c r="N31" s="1"/>
    </row>
    <row r="32" spans="5:28">
      <c r="N32" s="1"/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CC5BAE-75C6-42DC-9DE8-E4FC54F05A50}"/>
</file>

<file path=customXml/itemProps2.xml><?xml version="1.0" encoding="utf-8"?>
<ds:datastoreItem xmlns:ds="http://schemas.openxmlformats.org/officeDocument/2006/customXml" ds:itemID="{6CF46B16-3F8D-4C60-8D44-112A6FC89C54}"/>
</file>

<file path=customXml/itemProps3.xml><?xml version="1.0" encoding="utf-8"?>
<ds:datastoreItem xmlns:ds="http://schemas.openxmlformats.org/officeDocument/2006/customXml" ds:itemID="{4599FAF6-6ADE-4D27-8429-A0C6FA29C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HVPS2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2020-07-31T22:56:50Z</dcterms:created>
  <dcterms:modified xsi:type="dcterms:W3CDTF">2023-03-06T18:17:40Z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