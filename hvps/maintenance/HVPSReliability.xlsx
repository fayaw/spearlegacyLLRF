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9"/>
  <workbookPr/>
  <mc:AlternateContent xmlns:mc="http://schemas.openxmlformats.org/markup-compatibility/2006">
    <mc:Choice Requires="x15">
      <x15ac:absPath xmlns:x15ac="http://schemas.microsoft.com/office/spreadsheetml/2010/11/ac" url="C:\files\Documents\spear3\hvps\"/>
    </mc:Choice>
  </mc:AlternateContent>
  <xr:revisionPtr revIDLastSave="0" documentId="13_ncr:1_{6C43E0E6-B0F3-4861-BCDB-852C28B27F19}" xr6:coauthVersionLast="47" xr6:coauthVersionMax="47" xr10:uidLastSave="{00000000-0000-0000-0000-000000000000}"/>
  <bookViews>
    <workbookView xWindow="4155" yWindow="4155" windowWidth="21600" windowHeight="12645" firstSheet="1" activeTab="1" xr2:uid="{00000000-000D-0000-FFFF-FFFF00000000}"/>
  </bookViews>
  <sheets>
    <sheet name="HVPS1" sheetId="1" r:id="rId1"/>
    <sheet name="HVPS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 l="1"/>
  <c r="F29" i="1"/>
  <c r="F28" i="1"/>
  <c r="F27" i="1"/>
  <c r="F43" i="2"/>
  <c r="F42" i="2"/>
  <c r="F39" i="2"/>
  <c r="F31" i="2"/>
  <c r="F26" i="2"/>
  <c r="F24" i="2"/>
  <c r="F18" i="2"/>
  <c r="F16" i="2"/>
  <c r="F13" i="1"/>
  <c r="F10" i="1"/>
  <c r="F5" i="1"/>
</calcChain>
</file>

<file path=xl/sharedStrings.xml><?xml version="1.0" encoding="utf-8"?>
<sst xmlns="http://schemas.openxmlformats.org/spreadsheetml/2006/main" count="307" uniqueCount="158">
  <si>
    <t>Log of HVPS1 events</t>
  </si>
  <si>
    <t>Date</t>
  </si>
  <si>
    <t>Description</t>
  </si>
  <si>
    <t>Resource</t>
  </si>
  <si>
    <t>Comment</t>
  </si>
  <si>
    <t>Lost time (hrs)</t>
  </si>
  <si>
    <t>Length of run</t>
  </si>
  <si>
    <t>Failure/Swap</t>
  </si>
  <si>
    <t>Replaced crowbar stacks</t>
  </si>
  <si>
    <t>PEM elog</t>
  </si>
  <si>
    <t>Annual maintenance</t>
  </si>
  <si>
    <t>HVPS1 failing at 50 kV</t>
  </si>
  <si>
    <t>Incorrect MCO relay setting (also two shorted caps in High B+ phase stack)</t>
  </si>
  <si>
    <t>HVPS1 transformer arc trip</t>
  </si>
  <si>
    <t>PEM elog, history</t>
  </si>
  <si>
    <t>Tension rod snapped.  Beam lost 06:00 on 06/23.  Restored at 12:00 on 06/24.</t>
  </si>
  <si>
    <t>F</t>
  </si>
  <si>
    <t>HVPS1 crowbar stack replacement</t>
  </si>
  <si>
    <t>Replaced existing stacks with those tested in the shop.  Some existing stacks weak</t>
  </si>
  <si>
    <t>HVPS1 C+ stack has truncated output?</t>
  </si>
  <si>
    <t>Replaced high value snubber resistor.  Was that an operational problem?</t>
  </si>
  <si>
    <t>60 Hz ripple</t>
  </si>
  <si>
    <t>Tank opened, no problems found.  No beam on Thursday or Friday.  No documentation</t>
  </si>
  <si>
    <t>Removed phase stacks to continue 60 Hz troubleshooting</t>
  </si>
  <si>
    <t>No obvious problem found, but layout of gate trigger wires not dressed as desired</t>
  </si>
  <si>
    <t>Phase tank failure</t>
  </si>
  <si>
    <t>PEM elog (Blankenship), history</t>
  </si>
  <si>
    <t>One low side cap and stack shorted.  Replaced all 6 stacks.  Down at 06:00, up at 15:00</t>
  </si>
  <si>
    <t>Crowbar tank maintenance</t>
  </si>
  <si>
    <t>One stack tension rod broken</t>
  </si>
  <si>
    <t>PM on phase tank</t>
  </si>
  <si>
    <t>One optical SCR did not properly fire</t>
  </si>
  <si>
    <t>Crowbar tank swapout</t>
  </si>
  <si>
    <t>Output cap failing, likely cause for trips, perhaps in AP?</t>
  </si>
  <si>
    <t>Phase tank maintenance</t>
  </si>
  <si>
    <t>Some failed redundant components.  Good pictures of phase tank</t>
  </si>
  <si>
    <t>Crowbar tank stack swap</t>
  </si>
  <si>
    <t>Oil level gauge failed</t>
  </si>
  <si>
    <t>PEM elog, ops elog, history</t>
  </si>
  <si>
    <t>Verified oil level ok and bypassed gauge.  Recovery from Thanksgiving</t>
  </si>
  <si>
    <t>Some failed redundant components.</t>
  </si>
  <si>
    <t>Added oil to switchover tank</t>
  </si>
  <si>
    <t>HVPS1 controller error</t>
  </si>
  <si>
    <t>ops elog</t>
  </si>
  <si>
    <t>Wanted to switch to HVPS1, but switchgear controller could not pass PPS certification</t>
  </si>
  <si>
    <t>Switch to HVPS1</t>
  </si>
  <si>
    <t>Switchgear controller repaired  RSWCF 5567</t>
  </si>
  <si>
    <t>HVPS1 failed.  Tracking on glastic board in switchover tank running on HVPS1</t>
  </si>
  <si>
    <t>PEM elog, ops log</t>
  </si>
  <si>
    <t>No failure in supply.  Repair by removing glastic board.  Good photos in ops 622431</t>
  </si>
  <si>
    <t>Replace sontex oil with FR3</t>
  </si>
  <si>
    <t>rf elog</t>
  </si>
  <si>
    <t>Normal swap  RSWCF 5985</t>
  </si>
  <si>
    <t>HVPS2 failure; switch to HVPS1</t>
  </si>
  <si>
    <t>RSWCF 6030</t>
  </si>
  <si>
    <t>Maintenance on voltage divider during PAMM</t>
  </si>
  <si>
    <t>radiator shorted out voltage divider</t>
  </si>
  <si>
    <t>Normal swap  RSWCF 6643</t>
  </si>
  <si>
    <t>S</t>
  </si>
  <si>
    <t>ops elog,  history</t>
  </si>
  <si>
    <t>HVPS2 failed  RSWCF 7004</t>
  </si>
  <si>
    <t>HVPS2 failed  RSWCF 7252</t>
  </si>
  <si>
    <t>HVPS2 failed  RSWCF 7327</t>
  </si>
  <si>
    <t>HVPS1 failure</t>
  </si>
  <si>
    <t>failure during AP.  Phase stacks all pass, but one stack, high side B+, has two failed stages so is replaced and repaired.</t>
  </si>
  <si>
    <t>Found faulty ABB MCO relay on Phase C  RSWCF 7410</t>
  </si>
  <si>
    <t>Found faulty 90 kV HV output bushing failed due to overheating from resistive contact.  Bushing and 500 ohm resistors replaced.</t>
  </si>
  <si>
    <t>N/A  Startup</t>
  </si>
  <si>
    <t>N/A Startup</t>
  </si>
  <si>
    <t>Test repair for several days</t>
  </si>
  <si>
    <t>Switch to HVPS2</t>
  </si>
  <si>
    <t>HVPS1 functioning properly before switch</t>
  </si>
  <si>
    <t>HVPS2 failed on high side phase stack C+</t>
  </si>
  <si>
    <t>This is the first maintenance opportunity for HVPS1 in several years since HVPS2 had not been proved to be reliable.  The crowbar stacks were swapped out with tested good stacks as part of normal maintenance.  Will report back when tests of removed SCRs are completed.  This switch of the HVPS is to test out the operation of HVPS1 after the maintenance.</t>
  </si>
  <si>
    <t>HVPS1 functioning properly before switch; successfully passed infant mortality test</t>
  </si>
  <si>
    <t>Start infant mortality test on refurbished HVPS2</t>
  </si>
  <si>
    <t>Switch over to HVPS1 after HVPS2 failure</t>
  </si>
  <si>
    <t>Switch to HVPS2 to test repairs</t>
  </si>
  <si>
    <t>Swap to HVPS1 to ensure it is functional</t>
  </si>
  <si>
    <t>HVPS2 functioning properly before switch</t>
  </si>
  <si>
    <t>Swap to HVPS2 for operation</t>
  </si>
  <si>
    <t>HVPS1 maintenance completed</t>
  </si>
  <si>
    <t>Swap to HVPS1 for operation</t>
  </si>
  <si>
    <t>Cater 157822, RSWCF 9032</t>
  </si>
  <si>
    <t>Cater 166810, RSWCF 9576</t>
  </si>
  <si>
    <t>Cater 169090, RSWCF 9705</t>
  </si>
  <si>
    <t>HVPS2 failed</t>
  </si>
  <si>
    <t>Log of HVPS2 (nee 8-3) events</t>
  </si>
  <si>
    <t>Time to failure</t>
  </si>
  <si>
    <t>work started on 8-3 prep</t>
  </si>
  <si>
    <t>8-3 prep</t>
  </si>
  <si>
    <t>8-3 final prep begins</t>
  </si>
  <si>
    <t>Many entries omitted from this spreadsheet</t>
  </si>
  <si>
    <t>Near final checkout of HVPS2 internals</t>
  </si>
  <si>
    <t>Details of small fixes that were required</t>
  </si>
  <si>
    <t>Work continues on HVPS2 installation</t>
  </si>
  <si>
    <t>Work on HVPS2 nears completion</t>
  </si>
  <si>
    <t>Stacks in both crowbar and phase tanks installed</t>
  </si>
  <si>
    <t>Certify PPS</t>
  </si>
  <si>
    <t>history</t>
  </si>
  <si>
    <t>RF processing starts</t>
  </si>
  <si>
    <t>history, ops elog</t>
  </si>
  <si>
    <t>multiple HVPS trips</t>
  </si>
  <si>
    <t>Suspected loose banana plug in termination tank.  Early part of spear startup</t>
  </si>
  <si>
    <t>more HVPS trips</t>
  </si>
  <si>
    <t>Lower gap voltage to minimize trips. Suspect problems with HVPS2; switch over to HVPS1.  RSWCF 5560</t>
  </si>
  <si>
    <t>Tracking on glastic board in switchover tank running on HVPS2</t>
  </si>
  <si>
    <t>No failure in supply.</t>
  </si>
  <si>
    <t>Tracking on glastic board in switchover tank running on HVPS1</t>
  </si>
  <si>
    <t>No failure in supply.  Repair by removing glastic board.</t>
  </si>
  <si>
    <t>Switch over to HVPS2</t>
  </si>
  <si>
    <t>Verify HVPS2 works.  RSWCF 5568</t>
  </si>
  <si>
    <t>Run new 60' RG220 cable from HVPS2 to termination tank</t>
  </si>
  <si>
    <t>Lack of sufficient FR3 for HVPS1.  Performed in maintenance day.  RSWCF 6027</t>
  </si>
  <si>
    <t>HVPS2 failure</t>
  </si>
  <si>
    <t>ops elog, history</t>
  </si>
  <si>
    <t>Happened during AP time, but extensive troubleshooting required</t>
  </si>
  <si>
    <t>HVPS2 troubleshooting</t>
  </si>
  <si>
    <t>used variac on four output stages of HVPS to find problem with one stage.  697713 has photos of rectifier stacks</t>
  </si>
  <si>
    <t>Found HV bushing had failed on return line.  Photographs in 699760</t>
  </si>
  <si>
    <t>Discovered rectifier stack 3 is shorted</t>
  </si>
  <si>
    <t>HVPS2 repair</t>
  </si>
  <si>
    <t>Cannibalized 8-5.  Photos in 702943, 704165, 704513</t>
  </si>
  <si>
    <t>Repair complete except for installing new output cables</t>
  </si>
  <si>
    <t>Test repaired HVPS2  RSWCF 6114</t>
  </si>
  <si>
    <t>RSWCF</t>
  </si>
  <si>
    <t>Normal swap  RSWCF 6946</t>
  </si>
  <si>
    <t>Startup?</t>
  </si>
  <si>
    <t>HVPS2 repair begins</t>
  </si>
  <si>
    <t>Note that HVPS2 is mislabeled in these entries as HVPS1.  High side of A- phase stack failed catastrophically.  The snubber resistor exploded and capacitor failed.</t>
  </si>
  <si>
    <t>Detailed pictures of snubber cap assemblies in 875839  Subsequent investigation found some open connections in local snubber circuitry</t>
  </si>
  <si>
    <t>HVPS2 closed up</t>
  </si>
  <si>
    <t>During startup</t>
  </si>
  <si>
    <t>Crowbar and phase tanks appear ok</t>
  </si>
  <si>
    <t>suspect oil breakdown in switch tank</t>
  </si>
  <si>
    <t>suspect rectifier stack 3; larger leakage current than others</t>
  </si>
  <si>
    <t>Notice signs of arc between cable and busbar.  (Don't see mention of failed high pot earlier that caused us to look for this failure.)  Don't understand the high resistance measured between output cable and ground.  Think that the cable should be grounded.  Later thought this was just a measurement problem.</t>
  </si>
  <si>
    <t>Worried about capacitor 4's appearance.  This may signify failure.  Also a connection was loose.  Pictures 922467</t>
  </si>
  <si>
    <t>Found resistors below value.  Dressed main tank connections.  Pictures 922881</t>
  </si>
  <si>
    <t>Found broken tension rod in crowbar stack 3.  Checked all other stacks and replaced stack 3.</t>
  </si>
  <si>
    <t>HVPS1 failure  RSWCF 7405</t>
  </si>
  <si>
    <t>No problem found.  Replaced all crowbar stacks and tried again</t>
  </si>
  <si>
    <t>Waiting for repair</t>
  </si>
  <si>
    <t>Found HV increasing in at least one case.  Not an HV problem.  Replaced AB DAC and regulator board</t>
  </si>
  <si>
    <t>Oscilloscope captured enerpro error.  Board swapped.</t>
  </si>
  <si>
    <t>HVPS2 return to service</t>
  </si>
  <si>
    <t>Test repaired HVPS2  for ~ five days before retesting HVPS1</t>
  </si>
  <si>
    <t>Switch over to HVPS1</t>
  </si>
  <si>
    <t>HVPS1 testing successful</t>
  </si>
  <si>
    <t>High side B-/C+ stack  pair fires early at high voltage.  C+ stack tested on the bench to have 7/13 failed devices that measured low resistances at voltages less than 4 kV</t>
  </si>
  <si>
    <t>"New" high side bridge installed with 6 stacks tested in the shop to hold off 35 kV</t>
  </si>
  <si>
    <t>Phase and crowbar tanks swapped out for normal maintenance</t>
  </si>
  <si>
    <t>High side (S2) B+ phase stack tension rod broken.  Replaced this stack, but other damage had occurred.  Rectifier 3 (50 kV - 75 kV) had damaged filter resistors.  The filter rectifier in that section was also severly damaged.  Phases A+ and C+ are shorted and B+ is open.</t>
  </si>
  <si>
    <t>Switch over to HVPS2 to test repairs</t>
  </si>
  <si>
    <t>Refurbish HVPS2</t>
  </si>
  <si>
    <t>Phase and crowbar tanks swapped out for normal maintenance after extended off time.</t>
  </si>
  <si>
    <t xml:space="preserve">elog 1263638; 1269729; 1270084; </t>
  </si>
  <si>
    <t>Waveform from the inductor voltages show that the high side (S2) A+ phase triggers early.  Waveform from HVPS output shows voltage dips when B+/A- and C+/A- thyristors fire.  (elog 1263928).  Two of the ceramic cases of the thyristors at the top of the A+ stack are discolored, possibly due to a water leak and/or overheating.  The phase tank lid and associated radiator was replaced.  In the shop, 6 of the 14 C- (B-?) stages had a very low resistance in both direction, few kOhms, so B- stack was breaking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</si>
</sst>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opLeftCell="A38" workbookViewId="0">
      <selection activeCell="E55" sqref="E55"/>
    </sheetView>
  </sheetViews>
  <sheetFormatPr defaultRowHeight="15"/>
  <cols>
    <col min="1" max="1" width="10.7109375" bestFit="1" customWidth="1"/>
    <col min="2" max="2" width="27.42578125" style="2" customWidth="1"/>
    <col min="3" max="3" width="26.140625" customWidth="1"/>
    <col min="4" max="4" width="40.5703125" style="2" customWidth="1"/>
    <col min="5" max="5" width="18.140625" customWidth="1"/>
    <col min="6" max="6" width="18.5703125" customWidth="1"/>
  </cols>
  <sheetData>
    <row r="1" spans="1:7">
      <c r="A1" t="s">
        <v>0</v>
      </c>
    </row>
    <row r="2" spans="1:7">
      <c r="A2" t="s">
        <v>1</v>
      </c>
      <c r="B2" s="2" t="s">
        <v>2</v>
      </c>
      <c r="C2" t="s">
        <v>3</v>
      </c>
      <c r="D2" s="2" t="s">
        <v>4</v>
      </c>
      <c r="E2" t="s">
        <v>5</v>
      </c>
      <c r="F2" s="2" t="s">
        <v>6</v>
      </c>
      <c r="G2" t="s">
        <v>7</v>
      </c>
    </row>
    <row r="3" spans="1:7">
      <c r="A3" s="1">
        <v>38664</v>
      </c>
      <c r="B3" s="2" t="s">
        <v>8</v>
      </c>
      <c r="C3" t="s">
        <v>9</v>
      </c>
      <c r="D3" s="2" t="s">
        <v>10</v>
      </c>
    </row>
    <row r="4" spans="1:7" ht="30">
      <c r="A4" s="1">
        <v>38671</v>
      </c>
      <c r="B4" s="2" t="s">
        <v>11</v>
      </c>
      <c r="C4" t="s">
        <v>9</v>
      </c>
      <c r="D4" s="2" t="s">
        <v>12</v>
      </c>
    </row>
    <row r="5" spans="1:7" ht="30">
      <c r="A5" s="1">
        <v>38891</v>
      </c>
      <c r="B5" s="2" t="s">
        <v>13</v>
      </c>
      <c r="C5" t="s">
        <v>14</v>
      </c>
      <c r="D5" s="2" t="s">
        <v>15</v>
      </c>
      <c r="F5">
        <f>A5-A4</f>
        <v>220</v>
      </c>
      <c r="G5" t="s">
        <v>16</v>
      </c>
    </row>
    <row r="6" spans="1:7" ht="30">
      <c r="A6" s="1">
        <v>38908</v>
      </c>
      <c r="B6" s="2" t="s">
        <v>17</v>
      </c>
      <c r="C6" t="s">
        <v>9</v>
      </c>
      <c r="D6" s="2" t="s">
        <v>18</v>
      </c>
    </row>
    <row r="7" spans="1:7" ht="30">
      <c r="A7" s="1">
        <v>38947</v>
      </c>
      <c r="B7" s="2" t="s">
        <v>19</v>
      </c>
      <c r="C7" t="s">
        <v>9</v>
      </c>
      <c r="D7" s="2" t="s">
        <v>20</v>
      </c>
    </row>
    <row r="8" spans="1:7" ht="45">
      <c r="A8" s="1">
        <v>39150</v>
      </c>
      <c r="B8" s="2" t="s">
        <v>21</v>
      </c>
      <c r="C8" t="s">
        <v>9</v>
      </c>
      <c r="D8" s="2" t="s">
        <v>22</v>
      </c>
      <c r="E8">
        <v>14</v>
      </c>
    </row>
    <row r="9" spans="1:7" ht="45">
      <c r="A9" s="1">
        <v>39193</v>
      </c>
      <c r="B9" s="2" t="s">
        <v>23</v>
      </c>
      <c r="C9" t="s">
        <v>9</v>
      </c>
      <c r="D9" s="2" t="s">
        <v>24</v>
      </c>
    </row>
    <row r="10" spans="1:7" ht="45">
      <c r="A10" s="1">
        <v>39292</v>
      </c>
      <c r="B10" s="2" t="s">
        <v>25</v>
      </c>
      <c r="C10" t="s">
        <v>26</v>
      </c>
      <c r="D10" s="2" t="s">
        <v>27</v>
      </c>
      <c r="E10">
        <v>9</v>
      </c>
      <c r="F10">
        <f>A10-A8</f>
        <v>142</v>
      </c>
      <c r="G10" t="s">
        <v>16</v>
      </c>
    </row>
    <row r="11" spans="1:7">
      <c r="A11" s="1">
        <v>39517</v>
      </c>
      <c r="B11" s="2" t="s">
        <v>28</v>
      </c>
      <c r="C11" t="s">
        <v>9</v>
      </c>
      <c r="D11" s="2" t="s">
        <v>29</v>
      </c>
    </row>
    <row r="12" spans="1:7">
      <c r="A12" s="1">
        <v>39689</v>
      </c>
      <c r="B12" s="2" t="s">
        <v>30</v>
      </c>
      <c r="C12" t="s">
        <v>9</v>
      </c>
      <c r="D12" s="2" t="s">
        <v>31</v>
      </c>
    </row>
    <row r="13" spans="1:7" ht="30">
      <c r="A13" s="1">
        <v>39952</v>
      </c>
      <c r="B13" s="2" t="s">
        <v>32</v>
      </c>
      <c r="C13" t="s">
        <v>14</v>
      </c>
      <c r="D13" s="2" t="s">
        <v>33</v>
      </c>
      <c r="E13">
        <v>5</v>
      </c>
      <c r="F13">
        <f>A13-A10</f>
        <v>660</v>
      </c>
      <c r="G13" t="s">
        <v>16</v>
      </c>
    </row>
    <row r="14" spans="1:7" ht="30">
      <c r="A14" s="1">
        <v>39965</v>
      </c>
      <c r="B14" s="2" t="s">
        <v>34</v>
      </c>
      <c r="C14" t="s">
        <v>9</v>
      </c>
      <c r="D14" s="2" t="s">
        <v>35</v>
      </c>
    </row>
    <row r="15" spans="1:7">
      <c r="A15" s="1">
        <v>40052</v>
      </c>
      <c r="B15" s="2" t="s">
        <v>10</v>
      </c>
      <c r="C15" t="s">
        <v>9</v>
      </c>
    </row>
    <row r="16" spans="1:7">
      <c r="A16" s="1">
        <v>40273</v>
      </c>
      <c r="B16" s="2" t="s">
        <v>10</v>
      </c>
      <c r="C16" t="s">
        <v>9</v>
      </c>
      <c r="D16" s="2" t="s">
        <v>36</v>
      </c>
    </row>
    <row r="17" spans="1:7" ht="30">
      <c r="A17" s="1">
        <v>40508</v>
      </c>
      <c r="B17" s="2" t="s">
        <v>37</v>
      </c>
      <c r="C17" t="s">
        <v>38</v>
      </c>
      <c r="D17" s="2" t="s">
        <v>39</v>
      </c>
      <c r="E17">
        <v>6</v>
      </c>
    </row>
    <row r="18" spans="1:7">
      <c r="A18" s="1">
        <v>40609</v>
      </c>
      <c r="B18" s="2" t="s">
        <v>10</v>
      </c>
      <c r="C18" t="s">
        <v>9</v>
      </c>
      <c r="D18" s="2" t="s">
        <v>40</v>
      </c>
    </row>
    <row r="19" spans="1:7">
      <c r="A19" s="1">
        <v>40827</v>
      </c>
      <c r="B19" s="2" t="s">
        <v>41</v>
      </c>
      <c r="C19" t="s">
        <v>9</v>
      </c>
    </row>
    <row r="20" spans="1:7" ht="30">
      <c r="A20" s="1">
        <v>41205</v>
      </c>
      <c r="B20" s="2" t="s">
        <v>42</v>
      </c>
      <c r="C20" t="s">
        <v>43</v>
      </c>
      <c r="D20" s="2" t="s">
        <v>44</v>
      </c>
    </row>
    <row r="21" spans="1:7">
      <c r="A21" s="1">
        <v>41208</v>
      </c>
      <c r="B21" s="2" t="s">
        <v>45</v>
      </c>
      <c r="C21" t="s">
        <v>43</v>
      </c>
      <c r="D21" s="2" t="s">
        <v>46</v>
      </c>
    </row>
    <row r="22" spans="1:7" ht="45">
      <c r="A22" s="1">
        <v>41209</v>
      </c>
      <c r="B22" s="2" t="s">
        <v>47</v>
      </c>
      <c r="C22" t="s">
        <v>48</v>
      </c>
      <c r="D22" s="2" t="s">
        <v>49</v>
      </c>
    </row>
    <row r="23" spans="1:7">
      <c r="A23" s="1">
        <v>41562</v>
      </c>
      <c r="B23" s="2" t="s">
        <v>50</v>
      </c>
      <c r="C23" t="s">
        <v>51</v>
      </c>
    </row>
    <row r="24" spans="1:7">
      <c r="A24" s="1">
        <v>41572</v>
      </c>
      <c r="B24" s="2" t="s">
        <v>45</v>
      </c>
      <c r="C24" t="s">
        <v>9</v>
      </c>
      <c r="D24" s="2" t="s">
        <v>52</v>
      </c>
    </row>
    <row r="25" spans="1:7" ht="30">
      <c r="A25" s="1">
        <v>41624</v>
      </c>
      <c r="B25" s="2" t="s">
        <v>53</v>
      </c>
      <c r="C25" t="s">
        <v>43</v>
      </c>
      <c r="D25" s="2" t="s">
        <v>54</v>
      </c>
    </row>
    <row r="26" spans="1:7" ht="30">
      <c r="A26" s="1">
        <v>41652</v>
      </c>
      <c r="B26" s="2" t="s">
        <v>55</v>
      </c>
      <c r="C26" t="s">
        <v>9</v>
      </c>
      <c r="D26" s="2" t="s">
        <v>56</v>
      </c>
    </row>
    <row r="27" spans="1:7">
      <c r="A27" s="1">
        <v>42292</v>
      </c>
      <c r="B27" s="2" t="s">
        <v>45</v>
      </c>
      <c r="C27" t="s">
        <v>43</v>
      </c>
      <c r="D27" s="2" t="s">
        <v>57</v>
      </c>
      <c r="F27">
        <f>HVPS2!A25 - A27</f>
        <v>365</v>
      </c>
      <c r="G27" t="s">
        <v>58</v>
      </c>
    </row>
    <row r="28" spans="1:7">
      <c r="A28" s="1">
        <v>42684</v>
      </c>
      <c r="B28" s="2" t="s">
        <v>45</v>
      </c>
      <c r="C28" t="s">
        <v>59</v>
      </c>
      <c r="D28" s="2" t="s">
        <v>60</v>
      </c>
      <c r="F28">
        <f>A29-A28</f>
        <v>347</v>
      </c>
      <c r="G28" t="s">
        <v>58</v>
      </c>
    </row>
    <row r="29" spans="1:7">
      <c r="A29" s="1">
        <v>43031</v>
      </c>
      <c r="B29" s="2" t="s">
        <v>45</v>
      </c>
      <c r="C29" t="s">
        <v>59</v>
      </c>
      <c r="D29" s="2" t="s">
        <v>61</v>
      </c>
      <c r="F29">
        <f>HVPS2!A38-A29</f>
        <v>126</v>
      </c>
      <c r="G29" t="s">
        <v>58</v>
      </c>
    </row>
    <row r="30" spans="1:7">
      <c r="A30" s="1">
        <v>43177</v>
      </c>
      <c r="B30" s="2" t="s">
        <v>45</v>
      </c>
      <c r="C30" t="s">
        <v>59</v>
      </c>
      <c r="D30" s="2" t="s">
        <v>62</v>
      </c>
      <c r="F30">
        <f>A31-A30</f>
        <v>107</v>
      </c>
      <c r="G30" t="s">
        <v>16</v>
      </c>
    </row>
    <row r="31" spans="1:7" ht="45">
      <c r="A31" s="1">
        <v>43284</v>
      </c>
      <c r="B31" s="2" t="s">
        <v>63</v>
      </c>
      <c r="C31" t="s">
        <v>59</v>
      </c>
      <c r="D31" s="2" t="s">
        <v>64</v>
      </c>
    </row>
    <row r="32" spans="1:7" ht="30">
      <c r="A32" s="1">
        <v>43289</v>
      </c>
      <c r="B32" s="2" t="s">
        <v>45</v>
      </c>
      <c r="C32" t="s">
        <v>59</v>
      </c>
      <c r="D32" s="2" t="s">
        <v>65</v>
      </c>
    </row>
    <row r="33" spans="1:6" ht="60">
      <c r="A33" s="1">
        <v>43381</v>
      </c>
      <c r="B33" s="2" t="s">
        <v>63</v>
      </c>
      <c r="C33" t="s">
        <v>59</v>
      </c>
      <c r="D33" s="2" t="s">
        <v>66</v>
      </c>
      <c r="E33" t="s">
        <v>67</v>
      </c>
      <c r="F33" t="s">
        <v>68</v>
      </c>
    </row>
    <row r="34" spans="1:6">
      <c r="A34" s="1">
        <v>43388</v>
      </c>
      <c r="B34" s="2" t="s">
        <v>45</v>
      </c>
      <c r="D34" s="2" t="s">
        <v>69</v>
      </c>
    </row>
    <row r="35" spans="1:6">
      <c r="A35" s="1">
        <v>43391</v>
      </c>
      <c r="B35" s="2" t="s">
        <v>70</v>
      </c>
      <c r="D35" s="2" t="s">
        <v>71</v>
      </c>
    </row>
    <row r="36" spans="1:6">
      <c r="A36" s="1">
        <v>43418</v>
      </c>
      <c r="B36" s="2" t="s">
        <v>45</v>
      </c>
      <c r="D36" s="2" t="s">
        <v>72</v>
      </c>
    </row>
    <row r="37" spans="1:6">
      <c r="A37" s="1">
        <v>43430</v>
      </c>
      <c r="B37" s="2" t="s">
        <v>70</v>
      </c>
      <c r="D37" s="2" t="s">
        <v>71</v>
      </c>
    </row>
    <row r="38" spans="1:6" ht="135">
      <c r="A38" s="1">
        <v>43159</v>
      </c>
      <c r="B38" s="2" t="s">
        <v>45</v>
      </c>
      <c r="D38" s="2" t="s">
        <v>73</v>
      </c>
    </row>
    <row r="39" spans="1:6" ht="30">
      <c r="A39" s="1">
        <v>43836</v>
      </c>
      <c r="B39" s="2" t="s">
        <v>70</v>
      </c>
      <c r="D39" s="2" t="s">
        <v>74</v>
      </c>
    </row>
    <row r="40" spans="1:6" ht="30">
      <c r="A40" s="1">
        <v>44060</v>
      </c>
      <c r="B40" s="2" t="s">
        <v>75</v>
      </c>
    </row>
    <row r="41" spans="1:6" ht="30">
      <c r="A41" s="1">
        <v>44076</v>
      </c>
      <c r="B41" s="2" t="s">
        <v>76</v>
      </c>
    </row>
    <row r="42" spans="1:6" ht="30">
      <c r="A42" s="1">
        <v>44103</v>
      </c>
      <c r="B42" s="2" t="s">
        <v>77</v>
      </c>
      <c r="D42" s="2" t="s">
        <v>71</v>
      </c>
    </row>
    <row r="43" spans="1:6" ht="30">
      <c r="A43" s="1">
        <v>44315</v>
      </c>
      <c r="B43" s="2" t="s">
        <v>78</v>
      </c>
      <c r="D43" s="2" t="s">
        <v>79</v>
      </c>
    </row>
    <row r="44" spans="1:6">
      <c r="A44" s="1">
        <v>44665</v>
      </c>
      <c r="B44" s="2" t="s">
        <v>80</v>
      </c>
      <c r="D44" s="2" t="s">
        <v>71</v>
      </c>
    </row>
    <row r="45" spans="1:6" ht="30">
      <c r="A45" s="1">
        <v>44776</v>
      </c>
      <c r="B45" s="2" t="s">
        <v>81</v>
      </c>
    </row>
    <row r="46" spans="1:6">
      <c r="A46" s="1">
        <v>44838</v>
      </c>
      <c r="B46" s="2" t="s">
        <v>82</v>
      </c>
      <c r="C46" t="s">
        <v>83</v>
      </c>
      <c r="D46" s="2" t="s">
        <v>79</v>
      </c>
    </row>
    <row r="47" spans="1:6">
      <c r="A47" s="1">
        <v>45307</v>
      </c>
      <c r="B47" s="2" t="s">
        <v>80</v>
      </c>
      <c r="C47" t="s">
        <v>84</v>
      </c>
      <c r="D47" s="2" t="s">
        <v>71</v>
      </c>
    </row>
    <row r="48" spans="1:6">
      <c r="A48" s="1">
        <v>45365</v>
      </c>
      <c r="B48" s="2" t="s">
        <v>82</v>
      </c>
      <c r="C48" t="s">
        <v>85</v>
      </c>
      <c r="D48" s="2" t="s">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2"/>
  <sheetViews>
    <sheetView tabSelected="1" topLeftCell="A56" workbookViewId="0">
      <selection activeCell="F61" sqref="F61"/>
    </sheetView>
  </sheetViews>
  <sheetFormatPr defaultRowHeight="15"/>
  <cols>
    <col min="1" max="1" width="10.85546875" customWidth="1"/>
    <col min="2" max="2" width="27.5703125" style="2" customWidth="1"/>
    <col min="3" max="3" width="26.140625" customWidth="1"/>
    <col min="4" max="4" width="45.5703125" style="2" customWidth="1"/>
    <col min="5" max="6" width="18" customWidth="1"/>
  </cols>
  <sheetData>
    <row r="1" spans="1:6">
      <c r="A1" t="s">
        <v>87</v>
      </c>
    </row>
    <row r="2" spans="1:6">
      <c r="A2" t="s">
        <v>1</v>
      </c>
      <c r="B2" s="2" t="s">
        <v>2</v>
      </c>
      <c r="C2" t="s">
        <v>3</v>
      </c>
      <c r="D2" s="2" t="s">
        <v>4</v>
      </c>
      <c r="E2" t="s">
        <v>5</v>
      </c>
      <c r="F2" s="2" t="s">
        <v>88</v>
      </c>
    </row>
    <row r="3" spans="1:6">
      <c r="A3" s="1">
        <v>39834</v>
      </c>
      <c r="B3" s="2" t="s">
        <v>89</v>
      </c>
      <c r="C3" t="s">
        <v>9</v>
      </c>
    </row>
    <row r="4" spans="1:6">
      <c r="A4" s="1">
        <v>40283</v>
      </c>
      <c r="B4" s="2" t="s">
        <v>90</v>
      </c>
      <c r="C4" t="s">
        <v>9</v>
      </c>
    </row>
    <row r="5" spans="1:6">
      <c r="A5" s="1">
        <v>40702</v>
      </c>
      <c r="B5" s="2" t="s">
        <v>91</v>
      </c>
      <c r="C5" t="s">
        <v>9</v>
      </c>
      <c r="D5" s="2" t="s">
        <v>92</v>
      </c>
    </row>
    <row r="6" spans="1:6" ht="30">
      <c r="A6" s="1">
        <v>40835</v>
      </c>
      <c r="B6" s="2" t="s">
        <v>93</v>
      </c>
      <c r="C6" t="s">
        <v>9</v>
      </c>
      <c r="D6" s="2" t="s">
        <v>94</v>
      </c>
    </row>
    <row r="7" spans="1:6" ht="30">
      <c r="A7" s="1">
        <v>41072</v>
      </c>
      <c r="B7" s="2" t="s">
        <v>95</v>
      </c>
      <c r="C7" t="s">
        <v>9</v>
      </c>
    </row>
    <row r="8" spans="1:6" ht="30">
      <c r="A8" s="1">
        <v>41150</v>
      </c>
      <c r="B8" s="2" t="s">
        <v>96</v>
      </c>
      <c r="C8" t="s">
        <v>9</v>
      </c>
      <c r="D8" s="2" t="s">
        <v>97</v>
      </c>
    </row>
    <row r="9" spans="1:6">
      <c r="A9" s="1">
        <v>41197</v>
      </c>
      <c r="B9" s="2" t="s">
        <v>98</v>
      </c>
      <c r="C9" t="s">
        <v>99</v>
      </c>
    </row>
    <row r="10" spans="1:6">
      <c r="A10" s="1">
        <v>41198</v>
      </c>
      <c r="B10" s="2" t="s">
        <v>100</v>
      </c>
      <c r="C10" t="s">
        <v>101</v>
      </c>
    </row>
    <row r="11" spans="1:6" ht="30">
      <c r="A11" s="1">
        <v>41203</v>
      </c>
      <c r="B11" s="2" t="s">
        <v>102</v>
      </c>
      <c r="C11" t="s">
        <v>101</v>
      </c>
      <c r="D11" s="2" t="s">
        <v>103</v>
      </c>
    </row>
    <row r="12" spans="1:6" ht="45">
      <c r="A12" s="1">
        <v>41204</v>
      </c>
      <c r="B12" s="2" t="s">
        <v>104</v>
      </c>
      <c r="C12" t="s">
        <v>101</v>
      </c>
      <c r="D12" s="2" t="s">
        <v>105</v>
      </c>
    </row>
    <row r="13" spans="1:6" ht="45">
      <c r="A13" s="1">
        <v>41205</v>
      </c>
      <c r="B13" s="2" t="s">
        <v>106</v>
      </c>
      <c r="C13" t="s">
        <v>9</v>
      </c>
      <c r="D13" s="2" t="s">
        <v>107</v>
      </c>
    </row>
    <row r="14" spans="1:6" ht="45">
      <c r="A14" s="1">
        <v>41209</v>
      </c>
      <c r="B14" s="2" t="s">
        <v>108</v>
      </c>
      <c r="C14" t="s">
        <v>9</v>
      </c>
      <c r="D14" s="2" t="s">
        <v>109</v>
      </c>
    </row>
    <row r="15" spans="1:6">
      <c r="A15" s="1">
        <v>41215</v>
      </c>
      <c r="B15" s="2" t="s">
        <v>110</v>
      </c>
      <c r="C15" t="s">
        <v>43</v>
      </c>
      <c r="D15" s="2" t="s">
        <v>111</v>
      </c>
    </row>
    <row r="16" spans="1:6" ht="45">
      <c r="A16" s="1">
        <v>41536</v>
      </c>
      <c r="B16" s="2" t="s">
        <v>112</v>
      </c>
      <c r="C16" t="s">
        <v>9</v>
      </c>
      <c r="F16">
        <f>HVPS1!A24-HVPS2!A15</f>
        <v>357</v>
      </c>
    </row>
    <row r="17" spans="1:6" ht="30">
      <c r="A17" s="1">
        <v>41618</v>
      </c>
      <c r="B17" s="2" t="s">
        <v>110</v>
      </c>
      <c r="C17" t="s">
        <v>9</v>
      </c>
      <c r="D17" s="2" t="s">
        <v>113</v>
      </c>
    </row>
    <row r="18" spans="1:6" ht="30">
      <c r="A18" s="1">
        <v>41624</v>
      </c>
      <c r="B18" s="2" t="s">
        <v>114</v>
      </c>
      <c r="C18" t="s">
        <v>115</v>
      </c>
      <c r="D18" s="2" t="s">
        <v>116</v>
      </c>
      <c r="E18">
        <v>4</v>
      </c>
      <c r="F18">
        <f>A18-A17</f>
        <v>6</v>
      </c>
    </row>
    <row r="19" spans="1:6" ht="45">
      <c r="A19" s="1">
        <v>41654</v>
      </c>
      <c r="B19" s="2" t="s">
        <v>117</v>
      </c>
      <c r="C19" t="s">
        <v>9</v>
      </c>
      <c r="D19" s="2" t="s">
        <v>118</v>
      </c>
    </row>
    <row r="20" spans="1:6" ht="30">
      <c r="A20" s="1">
        <v>41667</v>
      </c>
      <c r="B20" s="2" t="s">
        <v>117</v>
      </c>
      <c r="C20" t="s">
        <v>9</v>
      </c>
      <c r="D20" s="2" t="s">
        <v>119</v>
      </c>
    </row>
    <row r="21" spans="1:6">
      <c r="A21" s="1">
        <v>41670</v>
      </c>
      <c r="B21" s="2" t="s">
        <v>117</v>
      </c>
      <c r="C21" t="s">
        <v>9</v>
      </c>
      <c r="D21" s="2" t="s">
        <v>120</v>
      </c>
    </row>
    <row r="22" spans="1:6" ht="30">
      <c r="A22" s="1">
        <v>41683</v>
      </c>
      <c r="B22" s="2" t="s">
        <v>121</v>
      </c>
      <c r="C22" t="s">
        <v>9</v>
      </c>
      <c r="D22" s="2" t="s">
        <v>122</v>
      </c>
    </row>
    <row r="23" spans="1:6" ht="30">
      <c r="A23" s="1">
        <v>41712</v>
      </c>
      <c r="B23" s="2" t="s">
        <v>121</v>
      </c>
      <c r="C23" t="s">
        <v>9</v>
      </c>
      <c r="D23" s="2" t="s">
        <v>123</v>
      </c>
    </row>
    <row r="24" spans="1:6">
      <c r="A24" s="1">
        <v>41736</v>
      </c>
      <c r="B24" s="2" t="s">
        <v>110</v>
      </c>
      <c r="C24" t="s">
        <v>115</v>
      </c>
      <c r="D24" s="2" t="s">
        <v>124</v>
      </c>
      <c r="F24">
        <f>HVPS1!A27-HVPS2!A24</f>
        <v>556</v>
      </c>
    </row>
    <row r="25" spans="1:6">
      <c r="A25" s="1">
        <v>42657</v>
      </c>
      <c r="B25" s="2" t="s">
        <v>110</v>
      </c>
      <c r="C25" t="s">
        <v>125</v>
      </c>
      <c r="D25" s="2" t="s">
        <v>126</v>
      </c>
    </row>
    <row r="26" spans="1:6">
      <c r="A26" s="1">
        <v>42684</v>
      </c>
      <c r="B26" s="2" t="s">
        <v>114</v>
      </c>
      <c r="C26" t="s">
        <v>115</v>
      </c>
      <c r="D26" s="2" t="s">
        <v>127</v>
      </c>
      <c r="E26">
        <v>10</v>
      </c>
      <c r="F26">
        <f>A26-A25</f>
        <v>27</v>
      </c>
    </row>
    <row r="27" spans="1:6" ht="60">
      <c r="A27" s="1">
        <v>42690</v>
      </c>
      <c r="B27" s="2" t="s">
        <v>128</v>
      </c>
      <c r="C27" t="s">
        <v>9</v>
      </c>
      <c r="D27" s="2" t="s">
        <v>129</v>
      </c>
    </row>
    <row r="28" spans="1:6" ht="45">
      <c r="A28" s="1">
        <v>42707</v>
      </c>
      <c r="B28" s="2" t="s">
        <v>121</v>
      </c>
      <c r="C28" t="s">
        <v>9</v>
      </c>
      <c r="D28" s="2" t="s">
        <v>130</v>
      </c>
    </row>
    <row r="29" spans="1:6">
      <c r="A29" s="1">
        <v>42822</v>
      </c>
      <c r="B29" s="2" t="s">
        <v>131</v>
      </c>
      <c r="C29" t="s">
        <v>9</v>
      </c>
    </row>
    <row r="30" spans="1:6">
      <c r="A30" s="1">
        <v>43000</v>
      </c>
      <c r="B30" s="2" t="s">
        <v>110</v>
      </c>
      <c r="C30" t="s">
        <v>9</v>
      </c>
      <c r="D30" s="2" t="s">
        <v>126</v>
      </c>
    </row>
    <row r="31" spans="1:6">
      <c r="A31" s="1">
        <v>43031</v>
      </c>
      <c r="B31" s="2" t="s">
        <v>114</v>
      </c>
      <c r="C31" t="s">
        <v>115</v>
      </c>
      <c r="D31" s="2" t="s">
        <v>132</v>
      </c>
      <c r="E31">
        <v>7</v>
      </c>
      <c r="F31">
        <f>A31-A30</f>
        <v>31</v>
      </c>
    </row>
    <row r="32" spans="1:6">
      <c r="A32" s="1">
        <v>43039</v>
      </c>
      <c r="B32" s="2" t="s">
        <v>128</v>
      </c>
      <c r="C32" t="s">
        <v>9</v>
      </c>
      <c r="D32" s="2" t="s">
        <v>133</v>
      </c>
    </row>
    <row r="33" spans="1:6">
      <c r="A33" s="1">
        <v>43047</v>
      </c>
      <c r="B33" s="2" t="s">
        <v>121</v>
      </c>
      <c r="C33" t="s">
        <v>9</v>
      </c>
      <c r="D33" s="2" t="s">
        <v>134</v>
      </c>
    </row>
    <row r="34" spans="1:6" ht="30">
      <c r="A34" s="1">
        <v>43082</v>
      </c>
      <c r="B34" s="2" t="s">
        <v>121</v>
      </c>
      <c r="C34" t="s">
        <v>9</v>
      </c>
      <c r="D34" s="2" t="s">
        <v>135</v>
      </c>
    </row>
    <row r="35" spans="1:6" ht="105">
      <c r="A35" s="1">
        <v>43084</v>
      </c>
      <c r="B35" s="2" t="s">
        <v>121</v>
      </c>
      <c r="C35" t="s">
        <v>9</v>
      </c>
      <c r="D35" s="2" t="s">
        <v>136</v>
      </c>
    </row>
    <row r="36" spans="1:6" ht="45">
      <c r="A36" s="1">
        <v>43085</v>
      </c>
      <c r="B36" s="2" t="s">
        <v>121</v>
      </c>
      <c r="C36" t="s">
        <v>9</v>
      </c>
      <c r="D36" s="2" t="s">
        <v>137</v>
      </c>
    </row>
    <row r="37" spans="1:6" ht="30">
      <c r="A37" s="1">
        <v>43088</v>
      </c>
      <c r="B37" s="2" t="s">
        <v>121</v>
      </c>
      <c r="C37" t="s">
        <v>9</v>
      </c>
      <c r="D37" s="2" t="s">
        <v>138</v>
      </c>
    </row>
    <row r="38" spans="1:6">
      <c r="A38" s="1">
        <v>43157</v>
      </c>
      <c r="B38" s="2" t="s">
        <v>110</v>
      </c>
      <c r="C38" t="s">
        <v>43</v>
      </c>
      <c r="D38" s="2" t="s">
        <v>124</v>
      </c>
    </row>
    <row r="39" spans="1:6">
      <c r="A39" s="1">
        <v>43177</v>
      </c>
      <c r="B39" s="2" t="s">
        <v>114</v>
      </c>
      <c r="C39" t="s">
        <v>43</v>
      </c>
      <c r="E39">
        <v>6</v>
      </c>
      <c r="F39">
        <f>A39-A38</f>
        <v>20</v>
      </c>
    </row>
    <row r="40" spans="1:6" ht="30">
      <c r="A40" s="1">
        <v>43180</v>
      </c>
      <c r="B40" s="2" t="s">
        <v>121</v>
      </c>
      <c r="C40" t="s">
        <v>9</v>
      </c>
      <c r="D40" s="2" t="s">
        <v>139</v>
      </c>
    </row>
    <row r="41" spans="1:6">
      <c r="A41" s="1">
        <v>43284</v>
      </c>
      <c r="B41" s="2" t="s">
        <v>110</v>
      </c>
      <c r="C41" t="s">
        <v>43</v>
      </c>
      <c r="D41" s="2" t="s">
        <v>140</v>
      </c>
    </row>
    <row r="42" spans="1:6" ht="30">
      <c r="A42" s="1">
        <v>43287</v>
      </c>
      <c r="B42" s="2" t="s">
        <v>114</v>
      </c>
      <c r="C42" t="s">
        <v>115</v>
      </c>
      <c r="D42" s="2" t="s">
        <v>141</v>
      </c>
      <c r="E42">
        <v>12</v>
      </c>
      <c r="F42">
        <f>A42-A41</f>
        <v>3</v>
      </c>
    </row>
    <row r="43" spans="1:6">
      <c r="A43" s="1">
        <v>43288</v>
      </c>
      <c r="B43" s="2" t="s">
        <v>114</v>
      </c>
      <c r="C43" t="s">
        <v>115</v>
      </c>
      <c r="D43" s="2" t="s">
        <v>142</v>
      </c>
      <c r="E43">
        <v>27</v>
      </c>
      <c r="F43">
        <f>A43-A42</f>
        <v>1</v>
      </c>
    </row>
    <row r="44" spans="1:6" ht="45">
      <c r="A44" s="1">
        <v>43380</v>
      </c>
      <c r="B44" s="2" t="s">
        <v>114</v>
      </c>
      <c r="C44" t="s">
        <v>59</v>
      </c>
      <c r="D44" s="2" t="s">
        <v>143</v>
      </c>
      <c r="E44" t="s">
        <v>68</v>
      </c>
      <c r="F44" t="s">
        <v>68</v>
      </c>
    </row>
    <row r="45" spans="1:6" ht="30">
      <c r="A45" s="1">
        <v>43383</v>
      </c>
      <c r="B45" s="2" t="s">
        <v>114</v>
      </c>
      <c r="C45" t="s">
        <v>115</v>
      </c>
      <c r="D45" s="2" t="s">
        <v>144</v>
      </c>
      <c r="E45" t="s">
        <v>68</v>
      </c>
      <c r="F45" t="s">
        <v>68</v>
      </c>
    </row>
    <row r="46" spans="1:6" ht="30">
      <c r="A46" s="1">
        <v>43383</v>
      </c>
      <c r="B46" s="2" t="s">
        <v>145</v>
      </c>
      <c r="D46" s="2" t="s">
        <v>146</v>
      </c>
    </row>
    <row r="47" spans="1:6">
      <c r="A47" s="1">
        <v>43388</v>
      </c>
      <c r="B47" s="2" t="s">
        <v>147</v>
      </c>
      <c r="D47" s="2" t="s">
        <v>79</v>
      </c>
    </row>
    <row r="48" spans="1:6">
      <c r="A48" s="1">
        <v>43391</v>
      </c>
      <c r="B48" s="2" t="s">
        <v>110</v>
      </c>
      <c r="D48" s="2" t="s">
        <v>148</v>
      </c>
    </row>
    <row r="49" spans="1:4" ht="60">
      <c r="A49" s="1">
        <v>43417</v>
      </c>
      <c r="B49" s="2" t="s">
        <v>114</v>
      </c>
      <c r="D49" s="2" t="s">
        <v>149</v>
      </c>
    </row>
    <row r="50" spans="1:4" ht="30">
      <c r="A50" s="1">
        <v>43430</v>
      </c>
      <c r="B50" s="2" t="s">
        <v>145</v>
      </c>
      <c r="D50" s="2" t="s">
        <v>150</v>
      </c>
    </row>
    <row r="51" spans="1:4">
      <c r="A51" s="1">
        <v>43524</v>
      </c>
      <c r="B51" s="2" t="s">
        <v>147</v>
      </c>
      <c r="D51" s="2" t="s">
        <v>79</v>
      </c>
    </row>
    <row r="52" spans="1:4">
      <c r="A52" s="1">
        <v>43836</v>
      </c>
      <c r="B52" s="2" t="s">
        <v>110</v>
      </c>
      <c r="D52" s="2" t="s">
        <v>71</v>
      </c>
    </row>
    <row r="53" spans="1:4" ht="30">
      <c r="A53" s="1">
        <v>44060</v>
      </c>
      <c r="B53" s="2" t="s">
        <v>75</v>
      </c>
      <c r="D53" s="2" t="s">
        <v>151</v>
      </c>
    </row>
    <row r="54" spans="1:4" ht="90">
      <c r="A54" s="1">
        <v>44076</v>
      </c>
      <c r="B54" s="2" t="s">
        <v>114</v>
      </c>
      <c r="D54" s="2" t="s">
        <v>152</v>
      </c>
    </row>
    <row r="55" spans="1:4" ht="30">
      <c r="A55" s="1">
        <v>44103</v>
      </c>
      <c r="B55" s="2" t="s">
        <v>153</v>
      </c>
      <c r="D55" s="2" t="s">
        <v>71</v>
      </c>
    </row>
    <row r="56" spans="1:4" ht="30">
      <c r="A56" s="1">
        <v>44315</v>
      </c>
      <c r="B56" s="2" t="s">
        <v>78</v>
      </c>
      <c r="D56" s="2" t="s">
        <v>79</v>
      </c>
    </row>
    <row r="57" spans="1:4">
      <c r="A57" s="1">
        <v>44665</v>
      </c>
      <c r="B57" s="2" t="s">
        <v>80</v>
      </c>
      <c r="D57" s="2" t="s">
        <v>71</v>
      </c>
    </row>
    <row r="58" spans="1:4">
      <c r="A58" s="1">
        <v>44838</v>
      </c>
      <c r="B58" s="2" t="s">
        <v>82</v>
      </c>
      <c r="C58" t="s">
        <v>83</v>
      </c>
      <c r="D58" s="2" t="s">
        <v>79</v>
      </c>
    </row>
    <row r="59" spans="1:4" ht="30">
      <c r="A59" s="1">
        <v>45300</v>
      </c>
      <c r="B59" s="2" t="s">
        <v>154</v>
      </c>
      <c r="D59" s="2" t="s">
        <v>155</v>
      </c>
    </row>
    <row r="60" spans="1:4">
      <c r="A60" s="1">
        <v>45307</v>
      </c>
      <c r="B60" s="2" t="s">
        <v>80</v>
      </c>
      <c r="C60" t="s">
        <v>84</v>
      </c>
      <c r="D60" s="2" t="s">
        <v>71</v>
      </c>
    </row>
    <row r="61" spans="1:4" ht="180">
      <c r="A61" s="1">
        <v>45364</v>
      </c>
      <c r="B61" s="2" t="s">
        <v>114</v>
      </c>
      <c r="C61" s="2" t="s">
        <v>156</v>
      </c>
      <c r="D61" s="2" t="s">
        <v>157</v>
      </c>
    </row>
    <row r="62" spans="1:4">
      <c r="A62" s="1">
        <v>45365</v>
      </c>
      <c r="B62" s="2" t="s">
        <v>82</v>
      </c>
      <c r="C62" t="s">
        <v>85</v>
      </c>
      <c r="D62" s="2"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ae7472c-b71f-4cab-b94a-416f482a757b" xsi:nil="true"/>
    <lcf76f155ced4ddcb4097134ff3c332f xmlns="41b3182d-22ee-41df-9219-a7264fbbfb0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E8B9B8F494F4F9FA5AC6115F8BAFC" ma:contentTypeVersion="14" ma:contentTypeDescription="Create a new document." ma:contentTypeScope="" ma:versionID="3d2c6979e8007f0c673cdef31668f95a">
  <xsd:schema xmlns:xsd="http://www.w3.org/2001/XMLSchema" xmlns:xs="http://www.w3.org/2001/XMLSchema" xmlns:p="http://schemas.microsoft.com/office/2006/metadata/properties" xmlns:ns2="41b3182d-22ee-41df-9219-a7264fbbfb0e" xmlns:ns3="2ae7472c-b71f-4cab-b94a-416f482a757b" targetNamespace="http://schemas.microsoft.com/office/2006/metadata/properties" ma:root="true" ma:fieldsID="f3c0934017ae9f5ce032209485dc8b02" ns2:_="" ns3:_="">
    <xsd:import namespace="41b3182d-22ee-41df-9219-a7264fbbfb0e"/>
    <xsd:import namespace="2ae7472c-b71f-4cab-b94a-416f482a757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3182d-22ee-41df-9219-a7264fbbf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420da9-6cce-460f-935b-b5e0b28d9e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e7472c-b71f-4cab-b94a-416f482a757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0a66c-5f6a-49ac-92d8-0dc107bde606}" ma:internalName="TaxCatchAll" ma:showField="CatchAllData" ma:web="2ae7472c-b71f-4cab-b94a-416f482a757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F78127-A95E-4338-8C7B-73CCF4461685}"/>
</file>

<file path=customXml/itemProps2.xml><?xml version="1.0" encoding="utf-8"?>
<ds:datastoreItem xmlns:ds="http://schemas.openxmlformats.org/officeDocument/2006/customXml" ds:itemID="{3BEF6EA5-59AD-4EAA-8AD7-434C28AAE2EA}"/>
</file>

<file path=customXml/itemProps3.xml><?xml version="1.0" encoding="utf-8"?>
<ds:datastoreItem xmlns:ds="http://schemas.openxmlformats.org/officeDocument/2006/customXml" ds:itemID="{553775B6-4293-492C-8C71-C3E94AC9C96D}"/>
</file>

<file path=docProps/app.xml><?xml version="1.0" encoding="utf-8"?>
<Properties xmlns="http://schemas.openxmlformats.org/officeDocument/2006/extended-properties" xmlns:vt="http://schemas.openxmlformats.org/officeDocument/2006/docPropsVTypes">
  <Application>Microsoft Excel Online</Application>
  <Manager/>
  <Company>SLAC National Accelerator Laboratory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 Sebek</dc:creator>
  <cp:keywords/>
  <dc:description/>
  <cp:lastModifiedBy>Jenks, Stephen</cp:lastModifiedBy>
  <cp:revision/>
  <dcterms:created xsi:type="dcterms:W3CDTF">2018-07-24T17:09:49Z</dcterms:created>
  <dcterms:modified xsi:type="dcterms:W3CDTF">2025-05-23T05:14:42Z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0x010100162E8B9B8F494F4F9FA5AC6115F8BAFC</vt:lpwstr>
  </property>
  <property fmtid="{D5CDD505-2E9C-101B-9397-08002B2CF9AE}" pid="3" name="MediaServiceImageTags">
    <vt:lpwstr/>
  </property>
</Properties>
</file>