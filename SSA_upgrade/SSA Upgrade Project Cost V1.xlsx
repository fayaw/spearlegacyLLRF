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fywang\Downloads\"/>
    </mc:Choice>
  </mc:AlternateContent>
  <xr:revisionPtr revIDLastSave="0" documentId="13_ncr:1_{43128E19-D9CB-4996-9D66-90ED1D1F805F}" xr6:coauthVersionLast="47" xr6:coauthVersionMax="47" xr10:uidLastSave="{00000000-0000-0000-0000-000000000000}"/>
  <bookViews>
    <workbookView xWindow="-110" yWindow="-110" windowWidth="38620" windowHeight="21100" activeTab="2" xr2:uid="{00000000-000D-0000-FFFF-FFFF00000000}"/>
  </bookViews>
  <sheets>
    <sheet name="Executive Summary" sheetId="4" r:id="rId1"/>
    <sheet name="Project Scope" sheetId="1" r:id="rId2"/>
    <sheet name="Class 4 Estimate" sheetId="2" r:id="rId3"/>
    <sheet name="Reference Pricing" sheetId="3" r:id="rId4"/>
    <sheet name="SSA quote from R&amp;K" sheetId="5" r:id="rId5"/>
    <sheet name="SSA Test Lab Infrastructure" sheetId="6" r:id="rId6"/>
  </sheets>
  <externalReferences>
    <externalReference r:id="rId7"/>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6" i="2" l="1"/>
  <c r="D77" i="2" l="1"/>
  <c r="D82" i="2" s="1"/>
  <c r="F77" i="2"/>
  <c r="F82" i="2" s="1"/>
  <c r="E75" i="2"/>
  <c r="E76" i="2"/>
  <c r="E74" i="2"/>
  <c r="E70" i="2"/>
  <c r="F70" i="2" s="1"/>
  <c r="E69" i="2"/>
  <c r="F69" i="2" s="1"/>
  <c r="C66" i="2"/>
  <c r="C80" i="2" s="1"/>
  <c r="D66" i="2"/>
  <c r="D80" i="2" s="1"/>
  <c r="E64" i="2"/>
  <c r="F64" i="2" s="1"/>
  <c r="E65" i="2"/>
  <c r="F65" i="2" s="1"/>
  <c r="E63" i="2"/>
  <c r="E58" i="2"/>
  <c r="F58" i="2" s="1"/>
  <c r="D60" i="2"/>
  <c r="B59" i="6"/>
  <c r="D59" i="6" s="1"/>
  <c r="D48" i="6"/>
  <c r="D47" i="6"/>
  <c r="D46" i="6"/>
  <c r="D45" i="6"/>
  <c r="D44" i="6"/>
  <c r="D43" i="6"/>
  <c r="D42" i="6"/>
  <c r="D37" i="6"/>
  <c r="D29" i="6"/>
  <c r="D30" i="6" s="1"/>
  <c r="D28" i="6"/>
  <c r="D15" i="6"/>
  <c r="D8" i="6"/>
  <c r="D10" i="6" s="1"/>
  <c r="O7" i="6"/>
  <c r="O6" i="6"/>
  <c r="O5" i="6"/>
  <c r="O4" i="6"/>
  <c r="D4" i="6"/>
  <c r="B4" i="6"/>
  <c r="O3" i="6"/>
  <c r="B3" i="6"/>
  <c r="D2" i="6"/>
  <c r="E77" i="2" l="1"/>
  <c r="E82" i="2" s="1"/>
  <c r="E66" i="2"/>
  <c r="E80" i="2" s="1"/>
  <c r="F71" i="2"/>
  <c r="F81" i="2" s="1"/>
  <c r="E71" i="2"/>
  <c r="E81" i="2" s="1"/>
  <c r="F63" i="2"/>
  <c r="F66" i="2" s="1"/>
  <c r="F80" i="2" s="1"/>
  <c r="D11" i="6"/>
  <c r="D12" i="6"/>
  <c r="D60" i="6"/>
  <c r="D19" i="6"/>
  <c r="D38" i="6"/>
  <c r="D39" i="6" s="1"/>
  <c r="D20" i="6" l="1"/>
  <c r="D21" i="6" s="1"/>
  <c r="G21" i="6" l="1"/>
  <c r="F21" i="6"/>
  <c r="D54" i="6"/>
  <c r="D55" i="6" l="1"/>
  <c r="D62" i="6" s="1"/>
  <c r="D64" i="6" l="1"/>
  <c r="D68" i="6" s="1"/>
  <c r="C27" i="6"/>
  <c r="C26" i="6"/>
  <c r="C9" i="6"/>
  <c r="C25" i="6"/>
  <c r="C24" i="6"/>
  <c r="C8" i="6"/>
  <c r="C16" i="6"/>
  <c r="C36" i="6"/>
  <c r="C18" i="6"/>
  <c r="C35" i="6"/>
  <c r="C17" i="6"/>
  <c r="C34" i="6"/>
  <c r="C33" i="6"/>
  <c r="C15" i="6"/>
  <c r="C43" i="6"/>
  <c r="C45" i="6"/>
  <c r="C46" i="6"/>
  <c r="C42" i="6"/>
  <c r="C44" i="6"/>
  <c r="C47" i="6"/>
  <c r="C48" i="6"/>
  <c r="C59" i="6"/>
  <c r="C54" i="6"/>
  <c r="D67" i="6" l="1"/>
  <c r="D66" i="6"/>
  <c r="D53" i="2" l="1"/>
  <c r="E57" i="2"/>
  <c r="E51" i="2"/>
  <c r="F51" i="2" s="1"/>
  <c r="E52" i="2"/>
  <c r="F52" i="2" s="1"/>
  <c r="E50" i="2"/>
  <c r="F50" i="2" s="1"/>
  <c r="D39" i="2"/>
  <c r="E46" i="2"/>
  <c r="F46" i="2" s="1"/>
  <c r="D44" i="2"/>
  <c r="E43" i="2"/>
  <c r="F43" i="2" s="1"/>
  <c r="E44" i="2"/>
  <c r="F44" i="2" s="1"/>
  <c r="E45" i="2"/>
  <c r="F45" i="2" s="1"/>
  <c r="D42" i="2"/>
  <c r="E42" i="2" s="1"/>
  <c r="F42" i="2" s="1"/>
  <c r="E38" i="2"/>
  <c r="D20" i="2"/>
  <c r="D30" i="2"/>
  <c r="C39" i="2"/>
  <c r="E34" i="2"/>
  <c r="F34" i="2" s="1"/>
  <c r="E35" i="2"/>
  <c r="F35" i="2" s="1"/>
  <c r="E36" i="2"/>
  <c r="F36" i="2" s="1"/>
  <c r="E37" i="2"/>
  <c r="F37" i="2" s="1"/>
  <c r="E33" i="2"/>
  <c r="F33" i="2" s="1"/>
  <c r="E29" i="2"/>
  <c r="F29" i="2" s="1"/>
  <c r="E23" i="2"/>
  <c r="E24" i="2"/>
  <c r="F24" i="2" s="1"/>
  <c r="E25" i="2"/>
  <c r="F25" i="2" s="1"/>
  <c r="E26" i="2"/>
  <c r="F26" i="2" s="1"/>
  <c r="E27" i="2"/>
  <c r="F27" i="2" s="1"/>
  <c r="E28" i="2"/>
  <c r="F28" i="2" s="1"/>
  <c r="E19" i="2"/>
  <c r="E20" i="2" s="1"/>
  <c r="C40" i="4"/>
  <c r="F14" i="2"/>
  <c r="F15" i="2"/>
  <c r="F16" i="2"/>
  <c r="F17" i="2"/>
  <c r="F18" i="2"/>
  <c r="E9" i="2"/>
  <c r="E10" i="2" s="1"/>
  <c r="D10" i="2"/>
  <c r="C20" i="2"/>
  <c r="F13" i="2"/>
  <c r="C56" i="2"/>
  <c r="F56" i="2" s="1"/>
  <c r="C7" i="5"/>
  <c r="C5" i="5"/>
  <c r="D42" i="4"/>
  <c r="C42" i="4"/>
  <c r="C77" i="2"/>
  <c r="D41" i="4"/>
  <c r="C41" i="4"/>
  <c r="C71" i="2"/>
  <c r="C81" i="2" s="1"/>
  <c r="D40" i="4"/>
  <c r="B40" i="4"/>
  <c r="C53" i="2"/>
  <c r="C47" i="2"/>
  <c r="C30" i="2"/>
  <c r="C8" i="2"/>
  <c r="F8" i="2" s="1"/>
  <c r="C7" i="2"/>
  <c r="F53" i="2" l="1"/>
  <c r="C82" i="2"/>
  <c r="B42" i="4" s="1"/>
  <c r="B41" i="4"/>
  <c r="C10" i="2"/>
  <c r="F7" i="2"/>
  <c r="E60" i="2"/>
  <c r="F57" i="2"/>
  <c r="E30" i="2"/>
  <c r="F9" i="2"/>
  <c r="F10" i="2" s="1"/>
  <c r="D47" i="2"/>
  <c r="D79" i="2" s="1"/>
  <c r="D84" i="2" s="1"/>
  <c r="E39" i="2"/>
  <c r="F60" i="2"/>
  <c r="C60" i="2"/>
  <c r="F23" i="2"/>
  <c r="F30" i="2" s="1"/>
  <c r="F39" i="2"/>
  <c r="F38" i="2"/>
  <c r="E53" i="2"/>
  <c r="E47" i="2"/>
  <c r="F47" i="2"/>
  <c r="F19" i="2"/>
  <c r="F20" i="2" s="1"/>
  <c r="E79" i="2" l="1"/>
  <c r="E84" i="2" s="1"/>
  <c r="F79" i="2"/>
  <c r="C79" i="2"/>
  <c r="B39" i="4" s="1"/>
  <c r="C39" i="4"/>
  <c r="C83" i="2" l="1"/>
  <c r="F83" i="2" s="1"/>
  <c r="F84" i="2" s="1"/>
  <c r="D39" i="4"/>
  <c r="C84" i="2" l="1"/>
  <c r="F85" i="2"/>
  <c r="D45" i="4" s="1"/>
  <c r="D44" i="4"/>
  <c r="F86" i="2"/>
  <c r="D46" i="4" s="1"/>
</calcChain>
</file>

<file path=xl/sharedStrings.xml><?xml version="1.0" encoding="utf-8"?>
<sst xmlns="http://schemas.openxmlformats.org/spreadsheetml/2006/main" count="545" uniqueCount="474">
  <si>
    <t>SPEAR3 SSA Upgrade Project - Scope Description</t>
  </si>
  <si>
    <t>1. PROJECT OBJECTIVE</t>
  </si>
  <si>
    <t>Replace the existing single 1.2 MW klystron RF source at the SPEAR3 storage ring with a distributed</t>
  </si>
  <si>
    <t xml:space="preserve">solid-state amplifier (SSA) system consisting of 16 x 65 kW modules </t>
  </si>
  <si>
    <t>delivering approximately 1,040 kW total RF power at 476.3 MHz to four RF cavities.</t>
  </si>
  <si>
    <t>A stand alone test station to fully evaluate the performance iterating the vendor on the design</t>
  </si>
  <si>
    <t>This project directly improves reliability (no single-point klystron failure), maintainability</t>
  </si>
  <si>
    <t>2. RELATED PROJECT (LLRF Upgrade — Independent, Separate Scope)</t>
  </si>
  <si>
    <t>The LLRF upgrade project (separate scope, separately funded) is underway independently.</t>
  </si>
  <si>
    <t>The LLRF upgrade modernizes the controls infrastructure from legacy VXI/PLC-5/SLC-500 to:</t>
  </si>
  <si>
    <t xml:space="preserve">  - Dimtel LLRF9 digital controllers (2 units, already procured)</t>
  </si>
  <si>
    <t xml:space="preserve">  - EPICS-based supervisory control software</t>
  </si>
  <si>
    <t xml:space="preserve">  - Few in-house chassises</t>
  </si>
  <si>
    <t>The SSA upgrade leverages shared hardware where practical but is not dependent on LLRF completion.</t>
  </si>
  <si>
    <t>Meanwhile, the upgrade will need extra controls and modification of the upgraded LLRF control system.</t>
  </si>
  <si>
    <t>3. SSA PROJECT SCOPE</t>
  </si>
  <si>
    <t>3a. SSA RF Source (WBS 1.0)</t>
  </si>
  <si>
    <t xml:space="preserve">  - Procurement of 16 x 65 kW SSA modules + 2 hot-swap spares from R&amp;K Company</t>
  </si>
  <si>
    <t xml:space="preserve">  - Design study, acceptance test protocol development, vendor collaboration</t>
  </si>
  <si>
    <t xml:space="preserve">  - SSA test stand setup and commissioning at Building 122</t>
  </si>
  <si>
    <t>3b. RF Distribution &amp; Combining (WBS 2.0)</t>
  </si>
  <si>
    <t xml:space="preserve">  - 4 x 4:1 coaxial combiners (6-1/8" inputs to WR2100 output)</t>
  </si>
  <si>
    <t xml:space="preserve">  - 4 independent WR2100 waveguide runs from SSA building to cavities</t>
  </si>
  <si>
    <t xml:space="preserve">  - 4 high-power circulators (250+ kW CW @ 476 MHz)</t>
  </si>
  <si>
    <t xml:space="preserve">  - RF loads, directional couplers, transitions, waveguide supports</t>
  </si>
  <si>
    <t>3c. Control Electronics &amp; Protection Systems (WBS 3.0)</t>
  </si>
  <si>
    <t xml:space="preserve">  - 2 more LLRF9 and  reconfiguration for SSA based High power system</t>
  </si>
  <si>
    <t xml:space="preserve">  - NEW Interface Chassis design for SSA interlock topology</t>
  </si>
  <si>
    <t xml:space="preserve">  - RF MPS upgrade </t>
  </si>
  <si>
    <t xml:space="preserve">  - Waveform buffer system </t>
  </si>
  <si>
    <t xml:space="preserve">  - SSA module status monitoring (VSWR/power/temperature/fan/power supply ect)</t>
  </si>
  <si>
    <t xml:space="preserve">  - PPS REDESIGN for SSA </t>
  </si>
  <si>
    <t xml:space="preserve">  - NIP system (Non-Ionizing Protection) </t>
  </si>
  <si>
    <t>3d. Software &amp; Integration (WBS 4.0)</t>
  </si>
  <si>
    <t xml:space="preserve">  - EPICS IOC development for SSA modules, NIP, PPS</t>
  </si>
  <si>
    <t xml:space="preserve">  - State machine / EPICS Coordinator extension for SSA operations</t>
  </si>
  <si>
    <t xml:space="preserve">  - Operator interface panels (EDM/CSS)</t>
  </si>
  <si>
    <t xml:space="preserve">  - Commissioning tools and scripts</t>
  </si>
  <si>
    <t xml:space="preserve">  - Documentation and operator training</t>
  </si>
  <si>
    <t>3e. Installation &amp; Commissioning (WBS 5.0)</t>
  </si>
  <si>
    <t xml:space="preserve">  - SSA module installation (4 stations, 4 modules each)</t>
  </si>
  <si>
    <t xml:space="preserve">  - RF distribution installation (waveguide, combiners, circulators)</t>
  </si>
  <si>
    <t xml:space="preserve">  - Controls and cabling installation</t>
  </si>
  <si>
    <t xml:space="preserve">  - System integration testing</t>
  </si>
  <si>
    <t xml:space="preserve">  - Phased commissioning (per-station turn-on)</t>
  </si>
  <si>
    <t>3f. Site Preparation &amp; Removal (WBS 6.0)</t>
  </si>
  <si>
    <t xml:space="preserve">  - Existing klystron and waveguide removal</t>
  </si>
  <si>
    <t xml:space="preserve">  - Cable tray relocation for new waveguide routing</t>
  </si>
  <si>
    <t xml:space="preserve">  - Equipment relocation (transformers, panels, cabinets)</t>
  </si>
  <si>
    <t>3g. SSA test station development - support a 32 kW SSA module test (WBS 7.0)</t>
  </si>
  <si>
    <t xml:space="preserve">  - Equipments: rf source, waveguide components, circulator, rf load</t>
  </si>
  <si>
    <t xml:space="preserve">  - Control software</t>
  </si>
  <si>
    <t>3h. Infrastructure (WBS 8.0 - Included in SSA Project)</t>
  </si>
  <si>
    <t xml:space="preserve">  - 480 VAC distribution system (Substation 507 upgrade, 2.5-3 MVA transformer)</t>
  </si>
  <si>
    <t xml:space="preserve">  - Cooling water upgrade (~400 GPM LCW for SSA stations)</t>
  </si>
  <si>
    <t xml:space="preserve">  - Building extension and mezzanine (~636 + 300 sqft, two-story)</t>
  </si>
  <si>
    <t>3i. Decommissioning — Existing RF Station (WBS 9.0)</t>
  </si>
  <si>
    <t xml:space="preserve">  - Klystron system removal (Marconi K3512S, 1.2 MW CW,  with solenoid,)</t>
  </si>
  <si>
    <t xml:space="preserve">  - HVPS removal (2.5 MVA: SCR rectifier, oil-insulated 12.47 kV transformer, crowbar circuit)</t>
  </si>
  <si>
    <t xml:space="preserve">  - Waveguide network removal (WR2100 from klystron to tunnel, magic tee 4-way splitter on roof)</t>
  </si>
  <si>
    <t xml:space="preserve">  - Circulator and RF loads removal, HCW cooling system drain/flush</t>
  </si>
  <si>
    <t xml:space="preserve">  - Lead shielding removal and hazardous waste abatement (EPA/RCRA classified)</t>
  </si>
  <si>
    <t>3j. Project Management (WBS 10.0)</t>
  </si>
  <si>
    <t xml:space="preserve">  - Technical program management (~0.5 FTE/yr over ~5-year project)</t>
  </si>
  <si>
    <t xml:space="preserve">  - Safety reviews and PPS/NIP coordination with SLAC AD Safety Division</t>
  </si>
  <si>
    <t xml:space="preserve">  - Project management office support (~0.5 FTE/yr over ~ 5 year project)</t>
  </si>
  <si>
    <t>4. KEY TECHNICAL PARAMETERS</t>
  </si>
  <si>
    <t xml:space="preserve">  - Operating frequency: 476.3 MHz</t>
  </si>
  <si>
    <t xml:space="preserve">  - Total RF power: 16 x 65 kW = 1,040 kW</t>
  </si>
  <si>
    <t xml:space="preserve">  - RF cavities: 4 (SPEAR3 storage ring)</t>
  </si>
  <si>
    <t xml:space="preserve">  - SSA per cavity: 4 modules combined via 4:1 combiner</t>
  </si>
  <si>
    <t xml:space="preserve">  - Waveguide: WR2100 (lambda_g = 80.4 cm at 476.3 MHz)</t>
  </si>
  <si>
    <t xml:space="preserve">  - Cooling: LCW, 400 GPM total (~100 GPM/station, deltaT ~10K)</t>
  </si>
  <si>
    <t xml:space="preserve">  - SSA building: two-story, ~936 sqft total, 27 ft height, 12 ft clear under platform</t>
  </si>
  <si>
    <t>5. PROJECT TIMELINE (ESTIMATED)</t>
  </si>
  <si>
    <t xml:space="preserve">  - Overall: ~5 years, completion ~2032-2033</t>
  </si>
  <si>
    <t xml:space="preserve">  - Strongly dependent on Substation 507 upgrade schedule</t>
  </si>
  <si>
    <t xml:space="preserve">  - Facility support on LCW</t>
  </si>
  <si>
    <t xml:space="preserve">  - Facility design/construction constrained by engineering resources</t>
  </si>
  <si>
    <t xml:space="preserve">  - Vendor manufacturability</t>
  </si>
  <si>
    <t xml:space="preserve">  - Integration testing limited to SPEAR summer shutdown windows (~8 weeks)</t>
  </si>
  <si>
    <t>SPEAR3 SSA Upgrade Project - Class 4 Cost Estimate (AACE 18R-97)</t>
  </si>
  <si>
    <t>WBS</t>
  </si>
  <si>
    <t>Description</t>
  </si>
  <si>
    <t>M&amp;S (k$)</t>
  </si>
  <si>
    <t>Labor (FTE)</t>
  </si>
  <si>
    <t>Labor (k$)</t>
  </si>
  <si>
    <t>Total (k$)</t>
  </si>
  <si>
    <t>Conf.</t>
  </si>
  <si>
    <t>Basis of Estimate / Notes</t>
  </si>
  <si>
    <t>SSA RF SOURCE</t>
  </si>
  <si>
    <t>SSA Modules (16 x 65 kW)</t>
  </si>
  <si>
    <t>H</t>
  </si>
  <si>
    <t>R&amp;K quote July 2025: $311,600/unit x 16. 476.3 MHz CW.</t>
  </si>
  <si>
    <t>M</t>
  </si>
  <si>
    <t>Subtotal WBS 1.0</t>
  </si>
  <si>
    <t>RF DISTRIBUTION &amp; COMBINING</t>
  </si>
  <si>
    <t>6-1/8" Coaxial Combiners (4 x 4:1)</t>
  </si>
  <si>
    <t>WR2100 Waveguide Runs (4 independent)</t>
  </si>
  <si>
    <t>4 runs from SSA bldg to 4 cavities. Straights, bends, flex sections. ~10 lb/ft, hangers every 8 ft. Lambda_g=80.4 cm. Mega Industries/Space Machine vendors.</t>
  </si>
  <si>
    <t>Circulators (4 x 250+ kW @ 476 MHz)</t>
  </si>
  <si>
    <t>L</t>
  </si>
  <si>
    <t>RF Loads (circulator loads, terminations)</t>
  </si>
  <si>
    <t>Directional Couplers &amp; Transitions</t>
  </si>
  <si>
    <t>Waveguide Supports, Hangers, Hardware</t>
  </si>
  <si>
    <t>Subtotal WBS 2.0</t>
  </si>
  <si>
    <t>CONTROL ELECTRONICS &amp; PROTECTION SYSTEMS</t>
  </si>
  <si>
    <t>2 Additional LLRF9 Units + SSA Reconfiguration</t>
  </si>
  <si>
    <t>Interface Chassis (NEW for SSA topology)</t>
  </si>
  <si>
    <t>RF MPS Upgrade (SSA topology)</t>
  </si>
  <si>
    <t>PPS Redesign for SSA</t>
  </si>
  <si>
    <t>NIP System (Non-Ionizing Protection)</t>
  </si>
  <si>
    <t>Cables, Connectors, Integration Materials</t>
  </si>
  <si>
    <t>Subtotal WBS 3.0</t>
  </si>
  <si>
    <t>SOFTWARE &amp; INTEGRATION</t>
  </si>
  <si>
    <t>EPICS IOC Development (SSA-specific)</t>
  </si>
  <si>
    <t>State Machine / EPICS Coordinator (SSA)</t>
  </si>
  <si>
    <t>Extend LLRF coordinator for SSA: module startup/shutdown sequencing, hot-swap logic, graceful degradation (N-1 mode), per-station state machine. CRITICAL: largest untouched software scope.</t>
  </si>
  <si>
    <t>Operator Interface (EDM/CSS Panels)</t>
  </si>
  <si>
    <t>New displays: per-module SSA status, combining efficiency, NIP status, 16-channel fault tree. Extend existing panels from LLRF upgrade.</t>
  </si>
  <si>
    <t>Commissioning Tools &amp; Scripts</t>
  </si>
  <si>
    <t>SSA phase calibration, combiner efficiency optimization, module acceptance test scripts, fault injection testing.</t>
  </si>
  <si>
    <t>Documentation &amp; Training</t>
  </si>
  <si>
    <t>SSA system docs, NIP RFSP documentation, as-builts, operator training on SSA operations &amp; module replacement.</t>
  </si>
  <si>
    <t>Subtotal WBS 4.0</t>
  </si>
  <si>
    <t>INSTALLATION &amp; COMMISSIONING</t>
  </si>
  <si>
    <t>SSA Module Installation (4 stations)</t>
  </si>
  <si>
    <t>RF Distribution Installation</t>
  </si>
  <si>
    <t>Controls &amp; Cabling Installation</t>
  </si>
  <si>
    <t>System Integration Testing</t>
  </si>
  <si>
    <t>Phased Commissioning (per-station)</t>
  </si>
  <si>
    <t>Subtotal WBS 5.0</t>
  </si>
  <si>
    <t>SITE PREPARATION &amp; REMOVAL</t>
  </si>
  <si>
    <t>Cable Tray Relocation</t>
  </si>
  <si>
    <t>Equipment Relocation</t>
  </si>
  <si>
    <t>Relocate transformers (2-3), panels, controls cabinets during downtime. Remove old air-handler/chiller behind 507 (per 2/24 mtg).</t>
  </si>
  <si>
    <t>Subtotal WBS 6.0</t>
  </si>
  <si>
    <t>SSA TEST STATION DEVELOPMENT (Bldg 122)</t>
  </si>
  <si>
    <t>Test Station Equipment (RF source, waveguide, circulator, load)</t>
  </si>
  <si>
    <t>Test Station Control Software</t>
  </si>
  <si>
    <t>Test Station Infrastructure (LCW, Electrical, HVAC)</t>
  </si>
  <si>
    <t>Subtotal WBS 7.0</t>
  </si>
  <si>
    <t>INFRASTRUCTURE (Included in SSA Project Scope)</t>
  </si>
  <si>
    <t>480 VAC Distribution System</t>
  </si>
  <si>
    <t>Cooling Water (LCW/HCW)</t>
  </si>
  <si>
    <t>Building Extension &amp; Mezzanine</t>
  </si>
  <si>
    <t>Subtotal WBS 8.0 (Infrastructure)</t>
  </si>
  <si>
    <t>DECOMMISSIONING — EXISTING RF STATION</t>
  </si>
  <si>
    <t>Klystron Removal &amp; Disposal</t>
  </si>
  <si>
    <t>HVPS/Modulator Removal &amp; Oil Disposal</t>
  </si>
  <si>
    <t>Subtotal WBS 9.0 (Decommissioning)</t>
  </si>
  <si>
    <t>PROJECT MANAGEMENT</t>
  </si>
  <si>
    <t>Technical Program Management</t>
  </si>
  <si>
    <t>Safety Reviews &amp; PPS/NIP Coordination</t>
  </si>
  <si>
    <t>Project Management Office (PMO) Support</t>
  </si>
  <si>
    <t>~0.5 FTE/yr over ~5-year project for PMO support. DOE project reporting (413.3B), earned value management, configuration management, document control. M&amp;S for project management tools/licenses.</t>
  </si>
  <si>
    <t>Subtotal WBS 10.0 (Project Management)</t>
  </si>
  <si>
    <t>INFRASTRUCTURE SCOPE (WBS 8)</t>
  </si>
  <si>
    <t>DECOMMISSIONING SCOPE (WBS 9)</t>
  </si>
  <si>
    <t>PROJECT MANAGEMENT SCOPE (WBS 10)</t>
  </si>
  <si>
    <t>PROJECT BASE ESTIMATE (WBS 1-10)</t>
  </si>
  <si>
    <t>CONTINGENCY (30% of base, per DOE 413.3B / AACE Class 4)</t>
  </si>
  <si>
    <t>TOTAL ESTIMATED COST (Base + Contingency)</t>
  </si>
  <si>
    <t>KEY ASSUMPTIONS</t>
  </si>
  <si>
    <t>A1</t>
  </si>
  <si>
    <t>Electrical based on Substation 507 option. Substation 502 would add ~$7M to WBS 8.1.</t>
  </si>
  <si>
    <t>A2</t>
  </si>
  <si>
    <t>Circulator cost assumes new procurement ($400k). PEP-II 1.5 MW circulators may be reusable (saves ~$400k).</t>
  </si>
  <si>
    <t>A3</t>
  </si>
  <si>
    <t>A4</t>
  </si>
  <si>
    <t>Labor rate: $200/hr burdened (SLAC overhead-inclusive). 1 FTE = 1,740 hrs/yr.</t>
  </si>
  <si>
    <t>A5</t>
  </si>
  <si>
    <t>A6</t>
  </si>
  <si>
    <t>A7</t>
  </si>
  <si>
    <t>A8</t>
  </si>
  <si>
    <t>SSA test station at Bldg 122 supports single 32 kW module testing. Separate from main 4-station installation. Enables design iteration with R&amp;K vendor.</t>
  </si>
  <si>
    <t>KEY RISKS</t>
  </si>
  <si>
    <t>R1</t>
  </si>
  <si>
    <t>R2</t>
  </si>
  <si>
    <t>R3</t>
  </si>
  <si>
    <t>R4</t>
  </si>
  <si>
    <t>Limited SPEAR testing windows. Integration constrained to summer shutdowns and brief maintenance periods.</t>
  </si>
  <si>
    <t>SPEAR3 SSA Upgrade - Reference Pricing &amp; Vendor Links</t>
  </si>
  <si>
    <t>For procurement planning. Prices are indicative; formal quotes required before purchase.</t>
  </si>
  <si>
    <t>Component</t>
  </si>
  <si>
    <t>Vendor</t>
  </si>
  <si>
    <t>URL / Product Link</t>
  </si>
  <si>
    <t>Model / Part #</t>
  </si>
  <si>
    <t>Unit Price</t>
  </si>
  <si>
    <t>Date / Source</t>
  </si>
  <si>
    <t>Notes</t>
  </si>
  <si>
    <t>WBS 1.0 - SSA RF SOURCE</t>
  </si>
  <si>
    <t>65 kW SSA Module (476.3 MHz CW)</t>
  </si>
  <si>
    <t>R&amp;K Company (Japan)</t>
  </si>
  <si>
    <t>https://www.rk-microwave.com/</t>
  </si>
  <si>
    <t>Custom 65 kW SSA</t>
  </si>
  <si>
    <t>$311,600</t>
  </si>
  <si>
    <t>July 2025 quote</t>
  </si>
  <si>
    <t>Includes internal 480V PS, LCW cooling, VSWR protection, Ethernet/serial control</t>
  </si>
  <si>
    <t>SSA RF Dummy Load (250 kW CW, water-cooled)</t>
  </si>
  <si>
    <t>Ferrite Microwave Technologies (FMT)</t>
  </si>
  <si>
    <t>https://ferriteinc.com/high-power-waveguide-terminations/water-cooled-loads/</t>
  </si>
  <si>
    <t>Custom WR2100 water-cooled load</t>
  </si>
  <si>
    <t>$10-25k est.</t>
  </si>
  <si>
    <t>FMT: WR28-WR2300 waveguide loads, 50 MHz-50 GHz. MIL-D-3954 compliant. Ultra-high temp refractory ceramic absorber. REPLACES Bird Technologies (max 20 kW, unsuitable).</t>
  </si>
  <si>
    <t>WBS 2.0 - RF DISTRIBUTION &amp; COMBINING</t>
  </si>
  <si>
    <t>WR2100 Waveguide (straight, bends, flex)</t>
  </si>
  <si>
    <t>Mega Industries</t>
  </si>
  <si>
    <t>https://www.megaind.com/products/waveguide-sizes/wr2100-waveguide/</t>
  </si>
  <si>
    <t>WR2100 (21x10.5 in)</t>
  </si>
  <si>
    <t>$50-150/ft est.</t>
  </si>
  <si>
    <t>0.35-0.53 GHz, 205-290 MW peak rating, 0.188" wall. Also: Space Machine (space-machine.com)</t>
  </si>
  <si>
    <t>WR2100 Directional Coupler</t>
  </si>
  <si>
    <t>WR2100 coupler</t>
  </si>
  <si>
    <t>$5-15k est.</t>
  </si>
  <si>
    <t>Various coupling ratios available. Also custom designs.</t>
  </si>
  <si>
    <t>WR2100 Circulator (250+ kW CW @ 476 MHz)</t>
  </si>
  <si>
    <t>https://ferriteinc.com/high-power-microwave-circulators-isolators/waveguide-circulators/</t>
  </si>
  <si>
    <t>Custom WR2100 3-port circulator</t>
  </si>
  <si>
    <t>$80-120k est.</t>
  </si>
  <si>
    <t>WR2100 High-Power Water-Cooled Load (circulator termination)</t>
  </si>
  <si>
    <t>Ferrite Microwave Technologies (FMT) / MCI Broadcast</t>
  </si>
  <si>
    <t>WR2100 water load, 250+ kW CW</t>
  </si>
  <si>
    <t>4:1 High-Power Waveguide Combiner (320 kW @ 476 MHz)</t>
  </si>
  <si>
    <t>https://www.megaind.com/high-power-waveguide-combiners-for-sspa/</t>
  </si>
  <si>
    <t>Custom WR2100 4:1 combiner (ref: WR1800 NSLS-II design)</t>
  </si>
  <si>
    <t>$30-50k est.</t>
  </si>
  <si>
    <t>WR2100-to-Coax Transition</t>
  </si>
  <si>
    <t>Mega Industries / Made-in-China</t>
  </si>
  <si>
    <t>WR2100 transition</t>
  </si>
  <si>
    <t>Unistrut Channel &amp; Waveguide Hangers</t>
  </si>
  <si>
    <t>Unistrut / Atkore</t>
  </si>
  <si>
    <t>https://www.unistrut.us/</t>
  </si>
  <si>
    <t>P1000, P5500 series</t>
  </si>
  <si>
    <t>Standard Unistrut for waveguide support every 8 ft. WR2100 ~10 lb/ft.</t>
  </si>
  <si>
    <t>WBS 3.0 - CONTROL ELECTRONICS &amp; PROTECTION</t>
  </si>
  <si>
    <t>Dimtel LLRF9/500 Controller</t>
  </si>
  <si>
    <t>Dimtel, Inc.</t>
  </si>
  <si>
    <t>https://www.dimtel.com/products/llrf9</t>
  </si>
  <si>
    <t>LLRF9/500</t>
  </si>
  <si>
    <t>$117,000 list</t>
  </si>
  <si>
    <t>Vendor quote</t>
  </si>
  <si>
    <t>Rockwell Automation</t>
  </si>
  <si>
    <t>See above BOM</t>
  </si>
  <si>
    <t>WBS 3.8-3.9 - SAFETY SYSTEMS (PPS, NIP)</t>
  </si>
  <si>
    <t>SPEAR3 SSA Upgrade Project — Executive Summary</t>
  </si>
  <si>
    <t>Replace the existing single 1.2 MW klystron RF source with a distributed solid-state amplifier (SSA) system of 16 × 65 kW modules (~1,040 kW total) at 476.3 MHz, powering four RF cavities in the SPEAR3 storage ring. This directly improves reliability (no single-point klystron failure), maintainability (hot-swappable modules), and operational flexibility (N-1 graceful degradation).</t>
  </si>
  <si>
    <t>2. SCOPE SUMMARY (WBS 1-10)</t>
  </si>
  <si>
    <t>Category</t>
  </si>
  <si>
    <t>Scope</t>
  </si>
  <si>
    <t>WBS 1.0</t>
  </si>
  <si>
    <t>SSA RF Source</t>
  </si>
  <si>
    <t>16 × 65 kW modules + 2 hot-swap spares from R&amp;K; design study &amp; test stand</t>
  </si>
  <si>
    <t>WBS 2.0</t>
  </si>
  <si>
    <t>RF Distribution</t>
  </si>
  <si>
    <t>4:1 coaxial combiners, 4 WR2100 waveguide runs, circulators, loads</t>
  </si>
  <si>
    <t>WBS 3.0</t>
  </si>
  <si>
    <t>Controls &amp; Protection</t>
  </si>
  <si>
    <t>2 additional LLRF9 units, interface chassis, MPS, PPS, NIP system</t>
  </si>
  <si>
    <t>WBS 4.0</t>
  </si>
  <si>
    <t>Software &amp; Integration</t>
  </si>
  <si>
    <t>EPICS IOCs, state machine, operator panels, commissioning tools</t>
  </si>
  <si>
    <t>WBS 5.0</t>
  </si>
  <si>
    <t>Installation &amp; Commissioning</t>
  </si>
  <si>
    <t>4-station phased installation, integration testing</t>
  </si>
  <si>
    <t>WBS 6.0</t>
  </si>
  <si>
    <t>Site Preparation</t>
  </si>
  <si>
    <t>Existing waveguide removal, cable tray relocation, equipment relocation</t>
  </si>
  <si>
    <t>WBS 7.0</t>
  </si>
  <si>
    <t>SSA Test Station (Bldg 122)</t>
  </si>
  <si>
    <t>RF source, waveguide, circulator, load; control software; infrastructure</t>
  </si>
  <si>
    <t>WBS 8.0</t>
  </si>
  <si>
    <t>Infrastructure</t>
  </si>
  <si>
    <t>480V distribution (Sub 507), LCW upgrade (~400 GPM), building extension</t>
  </si>
  <si>
    <t>WBS 9.0</t>
  </si>
  <si>
    <t>Decommissioning</t>
  </si>
  <si>
    <t>Klystron, HVPS, waveguide, circulator removal; hazmat; environmental</t>
  </si>
  <si>
    <t>WBS 10.0</t>
  </si>
  <si>
    <t>Project Management</t>
  </si>
  <si>
    <t>Technical PM (~0.5 FTE/yr), safety reviews, PMO support (~0.5 FTE/yr)</t>
  </si>
  <si>
    <t>3. KEY TECHNICAL PARAMETERS</t>
  </si>
  <si>
    <t xml:space="preserve">  Operating frequency</t>
  </si>
  <si>
    <t>476.3 MHz</t>
  </si>
  <si>
    <t xml:space="preserve">  Total RF power</t>
  </si>
  <si>
    <t>16 × 65 kW = 1,040 kW</t>
  </si>
  <si>
    <t xml:space="preserve">  RF cavities</t>
  </si>
  <si>
    <t>4 (SPEAR3 storage ring, PEP-II style)</t>
  </si>
  <si>
    <t xml:space="preserve">  SSA per cavity</t>
  </si>
  <si>
    <t>4 modules via 4:1 coaxial combiner → WR2100</t>
  </si>
  <si>
    <t xml:space="preserve">  Waveguide</t>
  </si>
  <si>
    <t>WR2100 (λg ≈ 80.4 cm at 476.3 MHz)</t>
  </si>
  <si>
    <t xml:space="preserve">  Cooling</t>
  </si>
  <si>
    <t>LCW, ~400 GPM total (~100 GPM/station, ΔT ~10K)</t>
  </si>
  <si>
    <t xml:space="preserve">  SSA building</t>
  </si>
  <si>
    <t>Two-story, ~936 sqft total, 27 ft height, 12 ft clear under platform</t>
  </si>
  <si>
    <t>4. PROJECT TIMELINE</t>
  </si>
  <si>
    <t xml:space="preserve">  Duration: ~5 years (completion ~2032–2033)</t>
  </si>
  <si>
    <t xml:space="preserve">  Key dependencies:</t>
  </si>
  <si>
    <t xml:space="preserve">    • Substation 507 upgrade schedule (electrical infrastructure)</t>
  </si>
  <si>
    <t xml:space="preserve">    • F&amp;O support for LCW cooling water connection</t>
  </si>
  <si>
    <t xml:space="preserve">    • R&amp;K vendor SSA manufacturing &amp; delivery</t>
  </si>
  <si>
    <t xml:space="preserve">    • SPEAR summer shutdown windows (~8 weeks) for integration testing</t>
  </si>
  <si>
    <t>5. COST SUMMARY</t>
  </si>
  <si>
    <t>WBS Category</t>
  </si>
  <si>
    <t>WBS 1-7: RF/Controls &amp; Test Station</t>
  </si>
  <si>
    <t>WBS 8: Infrastructure</t>
  </si>
  <si>
    <t>WBS 9: Decommissioning</t>
  </si>
  <si>
    <t>WBS 10: Project Management</t>
  </si>
  <si>
    <t>PROJECT BASE ESTIMATE</t>
  </si>
  <si>
    <t>Contingency (30%)</t>
  </si>
  <si>
    <t>TOTAL ESTIMATED COST</t>
  </si>
  <si>
    <t>6. KEY DEPENDENCIES &amp; INTERFACES</t>
  </si>
  <si>
    <t xml:space="preserve">  LLRF Upgrade</t>
  </si>
  <si>
    <t>Independent, separately-funded project. SSA leverages 2 existing LLRF9 units and procures 2 more. No schedule dependency.</t>
  </si>
  <si>
    <t xml:space="preserve">  Substation 507</t>
  </si>
  <si>
    <t>Electrical infrastructure upgrade ($1-2M, 2-3 year timeline). SSA 480V distribution depends on this.</t>
  </si>
  <si>
    <t xml:space="preserve">  F&amp;O / Facilities</t>
  </si>
  <si>
    <t xml:space="preserve">  SLAC AD Safety</t>
  </si>
  <si>
    <t>PPS and NIP system approval required before beam operation with SSAs.</t>
  </si>
  <si>
    <t>k$</t>
  </si>
  <si>
    <t>1 65 kw unit</t>
  </si>
  <si>
    <t>16 units</t>
  </si>
  <si>
    <t xml:space="preserve">  - Infrastructure (LCW, electricity, HVAC)</t>
  </si>
  <si>
    <t>two 32 kW prototype units from two vendors</t>
  </si>
  <si>
    <t>use R&amp;K quote 65 kW as reference</t>
  </si>
  <si>
    <t>0.5 FTE prototype design/acceptance protocol + 0.25 FTE vendor collaboration &amp; test iteration.</t>
  </si>
  <si>
    <t xml:space="preserve">Directional couplers at combined outputs (4), WR2100-to-coax transitions, phase trimmers for combining efficiency. </t>
  </si>
  <si>
    <t>4 ferrite circulators. $80-120k each NEW (AFT Microwave, Mega Industries). PEP-II 1.5 MW units available - if reusable, saves ~$400k.</t>
  </si>
  <si>
    <t>4 water-cooled circulator loads (~250 kW each), waveguide terminations. HCW-cooled (separate from SSA LCW ).</t>
  </si>
  <si>
    <t>Unistrut, beam clamps, hangers every 8 ft. Some supports from platform structure above.</t>
  </si>
  <si>
    <t xml:space="preserve">New design required: SSA topology fundamentally different from klystron. Per-station permit logic, 16-module status aggregation, SSA-specific interlock sequencing. PCB design + fab + chassis. </t>
  </si>
  <si>
    <t>Mechical engineering support for design and procurement</t>
  </si>
  <si>
    <t>Waveform Buffer System</t>
  </si>
  <si>
    <t>assuming a new one with many rf channels for SSA monitoring points. M&amp;S for additional ADC channels if needed.</t>
  </si>
  <si>
    <t>New SSA PPS chain: 16x 480V SSA power permits, emergency stop integration. Requires SLAC AD Safety Division review.</t>
  </si>
  <si>
    <t>SSA Design Study &amp; Prototype Devloopment</t>
  </si>
  <si>
    <t>1FTE</t>
  </si>
  <si>
    <t>1hr</t>
  </si>
  <si>
    <t>Network switches, UPS, ACSW</t>
  </si>
  <si>
    <t>labor for procurment, installation and setup</t>
  </si>
  <si>
    <t>4 personx 2 weeeks/station x 4 stations. Waveguide assembly, circulator installation, combiner hookup, load installation. Crane required for heavy components.</t>
  </si>
  <si>
    <t>End-to-end interlock testing, PPS, NIP verification, EPICS PV verification, etc. Limited window due to SPEAR operations.</t>
  </si>
  <si>
    <t>Straighten S-shaped cable trays on roof. Relocate trays between 118 and ring ~10 ft outward.</t>
  </si>
  <si>
    <t>RF source (signal generator + driver amp ~$30k), waveguide test section (~$10k), circulator for test stand (~$40k), water-cooled RF load 32 kW (~$20k). 0.5 FTE for procurement, assembly, and initial checkout.</t>
  </si>
  <si>
    <t>based on PMO Estimate on 11/25/2025 (Class 5 ROM)</t>
  </si>
  <si>
    <t>Project Name</t>
  </si>
  <si>
    <t>SSRL RF System Upgrade to SSA - Test Lab Only Rev 1</t>
  </si>
  <si>
    <t>Estimate Class</t>
  </si>
  <si>
    <t>Class 5 (ROM)</t>
  </si>
  <si>
    <t>Estimator Name</t>
  </si>
  <si>
    <t>Shane Heller</t>
  </si>
  <si>
    <t>Estimate Range</t>
  </si>
  <si>
    <t>Construction Midpoint Date</t>
  </si>
  <si>
    <t>Estimate Issued Date</t>
  </si>
  <si>
    <t>Total Project Duration (days)</t>
  </si>
  <si>
    <t>Recommended Estimate Validity Range</t>
  </si>
  <si>
    <t>PA Number</t>
  </si>
  <si>
    <t>22569-A3060</t>
  </si>
  <si>
    <t>Execution Strategy</t>
  </si>
  <si>
    <t>Design-Bid-Build</t>
  </si>
  <si>
    <t>Design Costs (AE Contract)</t>
  </si>
  <si>
    <t>% of PMB</t>
  </si>
  <si>
    <t>Base Scope $</t>
  </si>
  <si>
    <t>AE Design</t>
  </si>
  <si>
    <t>Constructability Review</t>
  </si>
  <si>
    <t>Subtotal</t>
  </si>
  <si>
    <t>AE Contract Escalation %</t>
  </si>
  <si>
    <t>AE Contract Escalation Cost</t>
  </si>
  <si>
    <t>Total AE Design Costs</t>
  </si>
  <si>
    <t>Construction Costs</t>
  </si>
  <si>
    <t>DBB Construction Contract</t>
  </si>
  <si>
    <t>Commissioning Contract</t>
  </si>
  <si>
    <t>Construction Contract Escalation %</t>
  </si>
  <si>
    <t>Construction Contract Escalation</t>
  </si>
  <si>
    <t>Total Construction Costs</t>
  </si>
  <si>
    <t>GFE Costs</t>
  </si>
  <si>
    <t>GFE Escalation %</t>
  </si>
  <si>
    <t>GFE Escalation Cost</t>
  </si>
  <si>
    <t>Total GFE Costs</t>
  </si>
  <si>
    <t>Long Lead Equipment Costs</t>
  </si>
  <si>
    <t>Long Lead Escalation %</t>
  </si>
  <si>
    <t>Long Lead Escalation Cost</t>
  </si>
  <si>
    <t>Total Long Lead Equipment Costs</t>
  </si>
  <si>
    <t>Work</t>
  </si>
  <si>
    <t xml:space="preserve">Classification </t>
  </si>
  <si>
    <t>Accuracy</t>
  </si>
  <si>
    <t>Low</t>
  </si>
  <si>
    <t>High</t>
  </si>
  <si>
    <t>Class 1</t>
  </si>
  <si>
    <t>Low: -2% to -5%, High: +3% to +15%</t>
  </si>
  <si>
    <t>Class 2 (DBB Solicitation)</t>
  </si>
  <si>
    <t>Low: -5% to -15%, High: +5% to +30%</t>
  </si>
  <si>
    <t>Class 3 (DB Solicitation)</t>
  </si>
  <si>
    <t>Low: -20% to -10%, High: +10% to +40%</t>
  </si>
  <si>
    <t>Class 4 (Planning)</t>
  </si>
  <si>
    <t>Low: -30% to -15%, High: +20% to +50%</t>
  </si>
  <si>
    <t>Low: -50% to -40%, High: +30% to +100%</t>
  </si>
  <si>
    <t>Fixed or Direct Planned Support Costs</t>
  </si>
  <si>
    <t>SLAC Support Costs - Full Labor Estimate</t>
  </si>
  <si>
    <t>PMO</t>
  </si>
  <si>
    <t>F&amp;O</t>
  </si>
  <si>
    <t>BIO</t>
  </si>
  <si>
    <t xml:space="preserve">ES&amp;H </t>
  </si>
  <si>
    <t>IT Support</t>
  </si>
  <si>
    <t>Other SLAC Labor</t>
  </si>
  <si>
    <t>MISC</t>
  </si>
  <si>
    <t>Total SLAC Support Costs</t>
  </si>
  <si>
    <r>
      <t xml:space="preserve">SLAC Support Costs </t>
    </r>
    <r>
      <rPr>
        <sz val="10"/>
        <color theme="0"/>
        <rFont val="Arial"/>
        <family val="2"/>
      </rPr>
      <t>(%-Based  Estimate)</t>
    </r>
  </si>
  <si>
    <t>Support Cost Percentage</t>
  </si>
  <si>
    <t xml:space="preserve">Indirect Burden Costs </t>
  </si>
  <si>
    <t>Burden %</t>
  </si>
  <si>
    <t>Procurement Burden</t>
  </si>
  <si>
    <t>Total SLAC Burden Costs</t>
  </si>
  <si>
    <t>Total PMB</t>
  </si>
  <si>
    <t>Markup Percentages</t>
  </si>
  <si>
    <t>Contingency %</t>
  </si>
  <si>
    <t>Contingency</t>
  </si>
  <si>
    <t>Point Estimate Low Range</t>
  </si>
  <si>
    <t xml:space="preserve">Low </t>
  </si>
  <si>
    <t>Point Estimate High Range</t>
  </si>
  <si>
    <t>Total Point Estimate</t>
  </si>
  <si>
    <t>Estimate Assumptions and Exclusions</t>
  </si>
  <si>
    <t>1) Budgets based on 6 weeks of General Requirements and construction.
2) Includes scope of work based on "modified" SLAC Project Requirements for Test Lab Only.
3) Upgrade wall and roof insulation to current Title 24 requirements.
4) Includes new 200 amp breaker at MSB in adjacent building, 3/0 feeder and new 200 amp 480v panel in space.
5) Includes two 10 ton air handlers, digital controls/tie in to BMS system. Includes CWS/CWR piping to TBD area approximately 400 linear feet away.
6) Includes LCW for two test machines.
7) Excludes hazardous material work procedures and material handling.
8) Based on free and clear access during normal working hours.
9) Excludes and shell seismic upgrades.
10) Review detailed scope for additional information.
11) Contingency included per PM direction.</t>
  </si>
  <si>
    <t>Document Revision Status:</t>
  </si>
  <si>
    <t>Final</t>
  </si>
  <si>
    <t>Design Maturity: 1-15% | Labor: $200/hr burdened | 1 FTE=1,740 hrs/yr | All costs in k$ | Base year: FY2026 | Timeline: ~5 years</t>
  </si>
  <si>
    <t>Sub 507 option ($1-2M). 2.5-3 MVA transformer, 12kV feed, 480V panels for 16 SSAs.</t>
  </si>
  <si>
    <t>400 GPM LCW for 4 SSA stations. Add an additional cell to CT404</t>
  </si>
  <si>
    <t>~636 sqft + ~300 sqft mezzanine @ 27 ft. Two-story layout.  stairway. Roll-up doors. Seismic.</t>
  </si>
  <si>
    <t>Waveguide Removal</t>
  </si>
  <si>
    <t>existing waveguide, magic tee splitters. Roof splitters removed; replaced by direct SSA-to-cavity runs.</t>
  </si>
  <si>
    <t>Remove klystron (after SSA system has been operated successfully for at least 6 months),</t>
  </si>
  <si>
    <t>Remove 2.5 MVA HVPS</t>
  </si>
  <si>
    <t>~0.5 FTE/yr over ~5-year project. Schedule, resource, vendor management. 10k/year, M&amp;S for travel/reviews/meetings. Coordination with F&amp;O on infrastructure.</t>
  </si>
  <si>
    <t>RF/CONTROLS &amp; TEST STATION SCOPE (WBS 1-10)</t>
  </si>
  <si>
    <t>Procurement (13.99%)</t>
  </si>
  <si>
    <t>Lab support</t>
  </si>
  <si>
    <t>SSA Spare Modules (1 spare)</t>
  </si>
  <si>
    <t xml:space="preserve">WR2100 to 6-1/8" coax or N-type. </t>
  </si>
  <si>
    <t>$500-5k est.</t>
  </si>
  <si>
    <t>$5-15/ft est</t>
  </si>
  <si>
    <t xml:space="preserve">9-ch LLRF controller. </t>
  </si>
  <si>
    <t>based on LLRF upgrade project</t>
  </si>
  <si>
    <t>based on CRMF 8 SSA stations</t>
  </si>
  <si>
    <t>NIRP (swith gauges, pressure requlators)</t>
  </si>
  <si>
    <t>Complete ControlLogix PLC Set for RF MPS</t>
  </si>
  <si>
    <t>$22k/set</t>
  </si>
  <si>
    <t>Detailed BOM in  LLRFUpgradeTaskListRev3.docx.</t>
  </si>
  <si>
    <t>1 spares @ $311,600 each. Enables rapid replacement without waiting for vendor lead time.</t>
  </si>
  <si>
    <t xml:space="preserve">4 combiners, each combining 4 SSA outputs (6-1/8" coax) into WR2100. ~$40k each. </t>
  </si>
  <si>
    <t>2 more Dimtel LLRF9/500 units for SSA (4 already procured under LLRF upgrade). $99.45k each. 0.5 FTE for SSA-specific vector sum reconfiguration, 4-module combining control, and EPICS IOC integration.</t>
  </si>
  <si>
    <t xml:space="preserve">RF cables (SMA, Type-N), fiber optic links, LEMO interlock cables, Ethernet,rack hardwares. </t>
  </si>
  <si>
    <t>SSA module IOCs (ASYN/StreamDevice for R&amp;K Ethernet/serial),  LLRF9 IOC carries over from LLRF upgrade. SSA-specific customization.</t>
  </si>
  <si>
    <t>4 person x 4 weeks/station x 4 stations. Rack mounting, 480V power, LCW plumbing, RF cabling, control/interlock wiring.</t>
  </si>
  <si>
    <t>2 person x 4 weeks MPS rewiring, Interface Chassis install, NIP installation, interlock cabling, Ethernet network for 16 SSA modules.</t>
  </si>
  <si>
    <t>EPICS IOC for test stand SSA module, data acquisition, automated acceptance testing scripts. Performance characterization: power, phase, VSWR, thermal stability, fault response. M&amp;S for cable, low power rf components</t>
  </si>
  <si>
    <t xml:space="preserve">PPS + NIP review/approval with SLAC AD Safety Division. </t>
  </si>
  <si>
    <t xml:space="preserve">    • Engineering resource availability (software, rf  and facility design)</t>
  </si>
  <si>
    <t xml:space="preserve">  Vendor</t>
  </si>
  <si>
    <t>SSA module vendor. 16 units + 1 spares. Design iteration via Bldg 122 test station.</t>
  </si>
  <si>
    <t>LCW cooling connection (400 GPM), Lab support for existing CT404 upgrade</t>
  </si>
  <si>
    <t>~500 per SSA unit</t>
  </si>
  <si>
    <t xml:space="preserve"> 1 spare SSA $312k</t>
  </si>
  <si>
    <t xml:space="preserve">LLRF upgrade has 2 LLRF9 units already procured. SSA project procures 2 additional units. Total system will have 4 LLRF9 controllers. </t>
  </si>
  <si>
    <t>NIP system based on CRMF design</t>
  </si>
  <si>
    <t>Decommissioning scope: Marconi K3512S klystron, 2.5 MVA HVPS (oil-insulated transformer, SCR rectifier, crowbar), AFT circulator.</t>
  </si>
  <si>
    <t>1 person x 1 months /unit, commissioning. Incremental per-station power ramp. Performance: amplitude &lt;0.1%, phase &lt;0.1 deg.</t>
  </si>
  <si>
    <t xml:space="preserve">PPS redesign scope uncertain. </t>
  </si>
  <si>
    <t xml:space="preserve">EPICS Coordinator software largest untouched scope. </t>
  </si>
  <si>
    <t>Control system modification to support the SSA operation</t>
  </si>
  <si>
    <t>DOE 413.3B requires contingency at conceptual design.</t>
  </si>
  <si>
    <t xml:space="preserve">  - Allen-Bradley CompactLogix/ControlLogix PLCs for RF MPS</t>
  </si>
  <si>
    <t>(1-swappable SSA modules), and operational flexibility (graceful degradation with N-1 capability).</t>
  </si>
  <si>
    <t>Upgrade ControlLogix MPS for 16-module fault detection: individual module trip/bypass, new I/O cards for expanded inputs. AB PLC ~$22k + $15k additional I/O modules.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</si>
</sst>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quot;$&quot;* #,##0.00_);_(&quot;$&quot;* \(#,##0.00\);_(&quot;$&quot;* &quot;-&quot;??_);_(@_)"/>
    <numFmt numFmtId="170" formatCode="0.0"/>
    <numFmt numFmtId="171" formatCode="0.0%"/>
    <numFmt numFmtId="172" formatCode="_(&quot;$&quot;* #,##0_);_(&quot;$&quot;* \(#,##0\);_(&quot;$&quot;* &quot;-&quot;??_);_(@_)"/>
    <numFmt numFmtId="173" formatCode="0.000%"/>
    <numFmt numFmtId="174" formatCode="_(&quot;$&quot;* #,##0.0000_);_(&quot;$&quot;* \(#,##0.0000\);_(&quot;$&quot;* &quot;-&quot;??_);_(@_)"/>
  </numFmts>
  <fonts count="44" x14ac:knownFonts="1">
    <font>
      <sz val="11"/>
      <color theme="1"/>
      <name val="Calibri"/>
      <family val="2"/>
      <scheme val="minor"/>
    </font>
    <font>
      <b/>
      <sz val="11"/>
      <color theme="1"/>
      <name val="Calibri"/>
      <family val="2"/>
      <scheme val="minor"/>
    </font>
    <font>
      <sz val="11"/>
      <name val="Calibri"/>
    </font>
    <font>
      <b/>
      <sz val="11"/>
      <name val="Calibri"/>
    </font>
    <font>
      <b/>
      <sz val="14"/>
      <name val="Calibri"/>
    </font>
    <font>
      <i/>
      <sz val="10"/>
      <name val="Calibri"/>
    </font>
    <font>
      <b/>
      <sz val="11"/>
      <color rgb="FFFFFFFF"/>
      <name val="Calibri"/>
    </font>
    <font>
      <b/>
      <sz val="11"/>
      <name val="Calibri"/>
    </font>
    <font>
      <b/>
      <sz val="10"/>
      <name val="Calibri"/>
    </font>
    <font>
      <i/>
      <sz val="10"/>
      <color rgb="FF666666"/>
      <name val="Calibri"/>
    </font>
    <font>
      <b/>
      <sz val="12"/>
      <name val="Calibri"/>
    </font>
    <font>
      <u/>
      <sz val="10"/>
      <color rgb="FF0563C1"/>
      <name val="Calibri"/>
    </font>
    <font>
      <sz val="11"/>
      <name val="Calibri"/>
    </font>
    <font>
      <i/>
      <sz val="11"/>
      <name val="Calibri"/>
    </font>
    <font>
      <i/>
      <sz val="11"/>
      <name val="Calibri"/>
    </font>
    <font>
      <u/>
      <sz val="11"/>
      <color theme="10"/>
      <name val="Calibri"/>
      <family val="2"/>
      <scheme val="minor"/>
    </font>
    <font>
      <b/>
      <sz val="11"/>
      <name val="Calibri"/>
      <family val="2"/>
    </font>
    <font>
      <b/>
      <sz val="12"/>
      <name val="Calibri"/>
      <family val="2"/>
    </font>
    <font>
      <sz val="11"/>
      <name val="Calibri"/>
      <family val="2"/>
    </font>
    <font>
      <b/>
      <sz val="11"/>
      <name val="Calibri"/>
    </font>
    <font>
      <sz val="11"/>
      <name val="Calibri"/>
    </font>
    <font>
      <b/>
      <sz val="12"/>
      <name val="Calibri"/>
    </font>
    <font>
      <b/>
      <sz val="14"/>
      <name val="Calibri"/>
    </font>
    <font>
      <i/>
      <sz val="9"/>
      <name val="Calibri"/>
    </font>
    <font>
      <b/>
      <sz val="11"/>
      <name val="Calibri"/>
    </font>
    <font>
      <b/>
      <sz val="10"/>
      <name val="Calibri"/>
    </font>
    <font>
      <sz val="11"/>
      <color theme="1"/>
      <name val="Calibri"/>
      <family val="2"/>
      <scheme val="minor"/>
    </font>
    <font>
      <sz val="11"/>
      <color rgb="FF3F3F76"/>
      <name val="Calibri"/>
      <family val="2"/>
      <scheme val="minor"/>
    </font>
    <font>
      <sz val="11"/>
      <color theme="0"/>
      <name val="Calibri"/>
      <family val="2"/>
      <scheme val="minor"/>
    </font>
    <font>
      <b/>
      <sz val="12"/>
      <color theme="1"/>
      <name val="Calibri"/>
      <family val="2"/>
      <scheme val="minor"/>
    </font>
    <font>
      <sz val="12"/>
      <color theme="1"/>
      <name val="Calibri"/>
      <family val="2"/>
      <scheme val="minor"/>
    </font>
    <font>
      <sz val="12"/>
      <color rgb="FF3F3F76"/>
      <name val="Calibri"/>
      <family val="2"/>
      <scheme val="minor"/>
    </font>
    <font>
      <b/>
      <i/>
      <sz val="11"/>
      <color theme="0"/>
      <name val="Arial"/>
      <family val="2"/>
    </font>
    <font>
      <b/>
      <i/>
      <sz val="12"/>
      <color theme="0"/>
      <name val="Arial"/>
      <family val="2"/>
    </font>
    <font>
      <i/>
      <sz val="10"/>
      <color theme="0"/>
      <name val="Arial"/>
      <family val="2"/>
    </font>
    <font>
      <i/>
      <sz val="11"/>
      <color theme="1"/>
      <name val="Calibri"/>
      <family val="2"/>
      <scheme val="minor"/>
    </font>
    <font>
      <b/>
      <sz val="12"/>
      <color theme="0"/>
      <name val="Calibri"/>
      <family val="2"/>
      <scheme val="minor"/>
    </font>
    <font>
      <sz val="10"/>
      <name val="Arial"/>
      <family val="2"/>
    </font>
    <font>
      <sz val="9"/>
      <name val="Arial"/>
      <family val="2"/>
    </font>
    <font>
      <sz val="14"/>
      <color theme="1"/>
      <name val="Calibri"/>
      <family val="2"/>
      <scheme val="minor"/>
    </font>
    <font>
      <sz val="10"/>
      <color theme="0"/>
      <name val="Arial"/>
      <family val="2"/>
    </font>
    <font>
      <b/>
      <sz val="14"/>
      <color theme="1"/>
      <name val="Calibri"/>
      <family val="2"/>
      <scheme val="minor"/>
    </font>
    <font>
      <b/>
      <sz val="14"/>
      <name val="Calibri"/>
      <family val="2"/>
    </font>
    <font>
      <sz val="12"/>
      <name val="Calibri"/>
      <family val="2"/>
    </font>
  </fonts>
  <fills count="14">
    <fill>
      <patternFill patternType="none"/>
    </fill>
    <fill>
      <patternFill patternType="gray125"/>
    </fill>
    <fill>
      <patternFill patternType="solid">
        <fgColor rgb="FF4472C4"/>
        <bgColor rgb="FF4472C4"/>
      </patternFill>
    </fill>
    <fill>
      <patternFill patternType="solid">
        <fgColor rgb="FFD9E2F3"/>
        <bgColor rgb="FFD9E2F3"/>
      </patternFill>
    </fill>
    <fill>
      <patternFill patternType="solid">
        <fgColor rgb="FFE2EFDA"/>
        <bgColor rgb="FFE2EFDA"/>
      </patternFill>
    </fill>
    <fill>
      <patternFill patternType="solid">
        <fgColor rgb="FFFFF2CC"/>
        <bgColor rgb="FFFFF2CC"/>
      </patternFill>
    </fill>
    <fill>
      <patternFill patternType="solid">
        <fgColor rgb="FFE6B8B7"/>
        <bgColor rgb="FFE6B8B7"/>
      </patternFill>
    </fill>
    <fill>
      <patternFill patternType="solid">
        <fgColor rgb="FFD9E1F2"/>
        <bgColor rgb="FFD9E1F2"/>
      </patternFill>
    </fill>
    <fill>
      <patternFill patternType="solid">
        <fgColor rgb="FFC6EFCE"/>
        <bgColor rgb="FFC6EFCE"/>
      </patternFill>
    </fill>
    <fill>
      <patternFill patternType="solid">
        <fgColor rgb="FFFFCC99"/>
      </patternFill>
    </fill>
    <fill>
      <patternFill patternType="solid">
        <fgColor theme="0" tint="-0.14999847407452621"/>
        <bgColor indexed="64"/>
      </patternFill>
    </fill>
    <fill>
      <patternFill patternType="solid">
        <fgColor rgb="FF990000"/>
        <bgColor indexed="64"/>
      </patternFill>
    </fill>
    <fill>
      <patternFill patternType="solid">
        <fgColor theme="1" tint="0.499984740745262"/>
        <bgColor indexed="64"/>
      </patternFill>
    </fill>
    <fill>
      <patternFill patternType="solid">
        <fgColor rgb="FFCC66FF"/>
        <bgColor indexed="64"/>
      </patternFill>
    </fill>
  </fills>
  <borders count="32">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medium">
        <color indexed="64"/>
      </left>
      <right style="thin">
        <color indexed="64"/>
      </right>
      <top style="medium">
        <color indexed="64"/>
      </top>
      <bottom style="thin">
        <color indexed="64"/>
      </bottom>
      <diagonal/>
    </border>
    <border>
      <left style="thin">
        <color rgb="FF7F7F7F"/>
      </left>
      <right style="medium">
        <color indexed="64"/>
      </right>
      <top style="medium">
        <color indexed="64"/>
      </top>
      <bottom style="thin">
        <color rgb="FF7F7F7F"/>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rgb="FF7F7F7F"/>
      </left>
      <right style="medium">
        <color indexed="64"/>
      </right>
      <top style="thin">
        <color rgb="FF7F7F7F"/>
      </top>
      <bottom style="thin">
        <color rgb="FF7F7F7F"/>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rgb="FF7F7F7F"/>
      </left>
      <right style="medium">
        <color indexed="64"/>
      </right>
      <top style="thin">
        <color rgb="FF7F7F7F"/>
      </top>
      <bottom style="medium">
        <color indexed="64"/>
      </bottom>
      <diagonal/>
    </border>
    <border>
      <left style="thin">
        <color indexed="64"/>
      </left>
      <right style="medium">
        <color indexed="64"/>
      </right>
      <top style="thin">
        <color indexed="64"/>
      </top>
      <bottom style="medium">
        <color indexed="64"/>
      </bottom>
      <diagonal/>
    </border>
    <border>
      <left/>
      <right/>
      <top/>
      <bottom style="thick">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rgb="FF820000"/>
      </right>
      <top style="medium">
        <color indexed="64"/>
      </top>
      <bottom style="thin">
        <color indexed="64"/>
      </bottom>
      <diagonal/>
    </border>
    <border>
      <left style="thin">
        <color rgb="FF820000"/>
      </left>
      <right style="thin">
        <color rgb="FF820000"/>
      </right>
      <top style="medium">
        <color indexed="64"/>
      </top>
      <bottom style="thin">
        <color indexed="64"/>
      </bottom>
      <diagonal/>
    </border>
    <border>
      <left style="thin">
        <color rgb="FF820000"/>
      </left>
      <right style="medium">
        <color indexed="64"/>
      </right>
      <top style="medium">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7">
    <xf numFmtId="0" fontId="0" fillId="0" borderId="0"/>
    <xf numFmtId="0" fontId="15" fillId="0" borderId="0"/>
    <xf numFmtId="44" fontId="26" fillId="0" borderId="0" applyFont="0" applyFill="0" applyBorder="0" applyAlignment="0" applyProtection="0"/>
    <xf numFmtId="9" fontId="26" fillId="0" borderId="0" applyFont="0" applyFill="0" applyBorder="0" applyAlignment="0" applyProtection="0"/>
    <xf numFmtId="0" fontId="27" fillId="9" borderId="3" applyNumberFormat="0" applyAlignment="0" applyProtection="0"/>
    <xf numFmtId="0" fontId="32" fillId="11" borderId="13">
      <alignment horizontal="left"/>
    </xf>
    <xf numFmtId="0" fontId="37" fillId="0" borderId="0"/>
  </cellStyleXfs>
  <cellXfs count="13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2" xfId="0" applyFont="1" applyFill="1" applyBorder="1" applyAlignment="1">
      <alignment horizontal="center" wrapText="1"/>
    </xf>
    <xf numFmtId="0" fontId="7" fillId="3" borderId="2" xfId="0" applyFont="1" applyFill="1" applyBorder="1"/>
    <xf numFmtId="0" fontId="0" fillId="0" borderId="2" xfId="0" applyBorder="1"/>
    <xf numFmtId="0" fontId="8" fillId="4" borderId="2" xfId="0" applyFont="1" applyFill="1" applyBorder="1"/>
    <xf numFmtId="0" fontId="9" fillId="0" borderId="2" xfId="0" applyFont="1" applyBorder="1"/>
    <xf numFmtId="0" fontId="7" fillId="5" borderId="2" xfId="0" applyFont="1" applyFill="1" applyBorder="1"/>
    <xf numFmtId="0" fontId="10" fillId="6" borderId="2" xfId="0" applyFont="1" applyFill="1" applyBorder="1"/>
    <xf numFmtId="0" fontId="10" fillId="0" borderId="0" xfId="0" applyFont="1"/>
    <xf numFmtId="0" fontId="0" fillId="3" borderId="2" xfId="0" applyFill="1" applyBorder="1"/>
    <xf numFmtId="0" fontId="11" fillId="0" borderId="2" xfId="0" applyFont="1" applyBorder="1"/>
    <xf numFmtId="0" fontId="12" fillId="0" borderId="0" xfId="0" applyFont="1"/>
    <xf numFmtId="0" fontId="7" fillId="0" borderId="0" xfId="0" applyFont="1"/>
    <xf numFmtId="0" fontId="14" fillId="0" borderId="0" xfId="0" applyFont="1"/>
    <xf numFmtId="0" fontId="3" fillId="6" borderId="2" xfId="0" applyFont="1" applyFill="1" applyBorder="1"/>
    <xf numFmtId="0" fontId="16" fillId="0" borderId="0" xfId="0" applyFont="1"/>
    <xf numFmtId="0" fontId="13" fillId="0" borderId="0" xfId="0" applyFont="1"/>
    <xf numFmtId="0" fontId="17" fillId="0" borderId="0" xfId="0" applyFont="1"/>
    <xf numFmtId="0" fontId="18" fillId="0" borderId="0" xfId="0" applyFont="1"/>
    <xf numFmtId="0" fontId="15" fillId="0" borderId="2" xfId="1" applyBorder="1"/>
    <xf numFmtId="0" fontId="16" fillId="3" borderId="2" xfId="0" applyFont="1" applyFill="1" applyBorder="1"/>
    <xf numFmtId="0" fontId="15" fillId="0" borderId="0" xfId="1"/>
    <xf numFmtId="0" fontId="19" fillId="0" borderId="0" xfId="0" applyFont="1"/>
    <xf numFmtId="0" fontId="19" fillId="5" borderId="2" xfId="0" applyFont="1" applyFill="1" applyBorder="1"/>
    <xf numFmtId="0" fontId="20" fillId="0" borderId="0" xfId="0" applyFont="1"/>
    <xf numFmtId="0" fontId="21" fillId="0" borderId="0" xfId="0" applyFont="1"/>
    <xf numFmtId="0" fontId="22" fillId="0" borderId="0" xfId="0" applyFont="1"/>
    <xf numFmtId="0" fontId="23" fillId="0" borderId="0" xfId="0" applyFont="1"/>
    <xf numFmtId="0" fontId="24" fillId="0" borderId="0" xfId="0" applyFont="1"/>
    <xf numFmtId="0" fontId="20" fillId="0" borderId="0" xfId="0" applyFont="1" applyAlignment="1">
      <alignment vertical="top" wrapText="1"/>
    </xf>
    <xf numFmtId="0" fontId="25" fillId="7" borderId="0" xfId="0" applyFont="1" applyFill="1"/>
    <xf numFmtId="0" fontId="20" fillId="0" borderId="1" xfId="0" applyFont="1" applyBorder="1"/>
    <xf numFmtId="0" fontId="25" fillId="0" borderId="0" xfId="0" applyFont="1"/>
    <xf numFmtId="0" fontId="21" fillId="8" borderId="0" xfId="0" applyFont="1" applyFill="1"/>
    <xf numFmtId="0" fontId="19" fillId="3" borderId="2" xfId="0" applyFont="1" applyFill="1" applyBorder="1"/>
    <xf numFmtId="0" fontId="19" fillId="4" borderId="2" xfId="0" applyFont="1" applyFill="1" applyBorder="1"/>
    <xf numFmtId="2" fontId="0" fillId="0" borderId="2" xfId="0" applyNumberFormat="1" applyBorder="1"/>
    <xf numFmtId="1" fontId="8" fillId="4" borderId="2" xfId="0" applyNumberFormat="1" applyFont="1" applyFill="1" applyBorder="1"/>
    <xf numFmtId="2" fontId="8" fillId="4" borderId="2" xfId="0" applyNumberFormat="1" applyFont="1" applyFill="1" applyBorder="1"/>
    <xf numFmtId="0" fontId="0" fillId="0" borderId="0" xfId="0" applyFill="1" applyBorder="1"/>
    <xf numFmtId="0" fontId="29" fillId="10" borderId="4" xfId="0" applyFont="1" applyFill="1" applyBorder="1"/>
    <xf numFmtId="0" fontId="27" fillId="9" borderId="5" xfId="4" applyBorder="1" applyAlignment="1">
      <alignment horizontal="left"/>
    </xf>
    <xf numFmtId="0" fontId="30" fillId="0" borderId="6" xfId="0" applyFont="1" applyBorder="1" applyAlignment="1">
      <alignment horizontal="right"/>
    </xf>
    <xf numFmtId="0" fontId="29" fillId="10" borderId="7" xfId="0" applyFont="1" applyFill="1" applyBorder="1"/>
    <xf numFmtId="0" fontId="27" fillId="9" borderId="8" xfId="4" applyBorder="1" applyAlignment="1">
      <alignment horizontal="left"/>
    </xf>
    <xf numFmtId="0" fontId="30" fillId="0" borderId="9" xfId="0" applyFont="1" applyBorder="1" applyAlignment="1">
      <alignment horizontal="right"/>
    </xf>
    <xf numFmtId="14" fontId="30" fillId="0" borderId="9" xfId="0" applyNumberFormat="1" applyFont="1" applyBorder="1" applyAlignment="1">
      <alignment horizontal="left"/>
    </xf>
    <xf numFmtId="14" fontId="31" fillId="9" borderId="3" xfId="4" applyNumberFormat="1" applyFont="1" applyAlignment="1">
      <alignment horizontal="right"/>
    </xf>
    <xf numFmtId="0" fontId="30" fillId="0" borderId="9" xfId="0" applyFont="1" applyBorder="1" applyAlignment="1">
      <alignment horizontal="left"/>
    </xf>
    <xf numFmtId="14" fontId="30" fillId="0" borderId="9" xfId="0" applyNumberFormat="1" applyFont="1" applyBorder="1" applyAlignment="1">
      <alignment horizontal="right"/>
    </xf>
    <xf numFmtId="0" fontId="29" fillId="10" borderId="10" xfId="0" applyFont="1" applyFill="1" applyBorder="1"/>
    <xf numFmtId="0" fontId="27" fillId="9" borderId="11" xfId="4" applyBorder="1" applyAlignment="1">
      <alignment horizontal="left"/>
    </xf>
    <xf numFmtId="0" fontId="30" fillId="0" borderId="12" xfId="0" applyFont="1" applyBorder="1" applyAlignment="1">
      <alignment horizontal="right"/>
    </xf>
    <xf numFmtId="0" fontId="33" fillId="11" borderId="14" xfId="5" applyFont="1" applyBorder="1">
      <alignment horizontal="left"/>
    </xf>
    <xf numFmtId="0" fontId="34" fillId="11" borderId="15" xfId="5" applyFont="1" applyBorder="1" applyAlignment="1">
      <alignment horizontal="center"/>
    </xf>
    <xf numFmtId="0" fontId="34" fillId="11" borderId="16" xfId="5" applyFont="1" applyBorder="1" applyAlignment="1">
      <alignment horizontal="center"/>
    </xf>
    <xf numFmtId="0" fontId="0" fillId="0" borderId="7" xfId="0" applyBorder="1" applyAlignment="1">
      <alignment horizontal="left" indent="1"/>
    </xf>
    <xf numFmtId="171" fontId="0" fillId="0" borderId="2" xfId="3" applyNumberFormat="1" applyFont="1" applyBorder="1"/>
    <xf numFmtId="172" fontId="0" fillId="0" borderId="9" xfId="2" applyNumberFormat="1" applyFont="1" applyBorder="1"/>
    <xf numFmtId="0" fontId="0" fillId="0" borderId="17" xfId="0" applyBorder="1" applyAlignment="1">
      <alignment horizontal="left" indent="1"/>
    </xf>
    <xf numFmtId="0" fontId="1" fillId="0" borderId="0" xfId="0" applyFont="1" applyAlignment="1">
      <alignment horizontal="right"/>
    </xf>
    <xf numFmtId="172" fontId="1" fillId="0" borderId="9" xfId="2" applyNumberFormat="1" applyFont="1" applyBorder="1"/>
    <xf numFmtId="0" fontId="35" fillId="10" borderId="10" xfId="0" applyFont="1" applyFill="1" applyBorder="1" applyAlignment="1">
      <alignment horizontal="right"/>
    </xf>
    <xf numFmtId="9" fontId="27" fillId="9" borderId="18" xfId="4" applyNumberFormat="1" applyBorder="1" applyAlignment="1">
      <alignment horizontal="center"/>
    </xf>
    <xf numFmtId="0" fontId="35" fillId="10" borderId="18" xfId="0" applyFont="1" applyFill="1" applyBorder="1" applyAlignment="1">
      <alignment horizontal="right"/>
    </xf>
    <xf numFmtId="172" fontId="35" fillId="10" borderId="12" xfId="2" applyNumberFormat="1" applyFont="1" applyFill="1" applyBorder="1"/>
    <xf numFmtId="0" fontId="0" fillId="0" borderId="0" xfId="0" applyAlignment="1">
      <alignment horizontal="left" indent="1"/>
    </xf>
    <xf numFmtId="0" fontId="36" fillId="12" borderId="19" xfId="0" applyFont="1" applyFill="1" applyBorder="1" applyAlignment="1">
      <alignment horizontal="right"/>
    </xf>
    <xf numFmtId="172" fontId="36" fillId="12" borderId="20" xfId="2" applyNumberFormat="1" applyFont="1" applyFill="1" applyBorder="1"/>
    <xf numFmtId="172" fontId="0" fillId="0" borderId="0" xfId="2" applyNumberFormat="1" applyFont="1"/>
    <xf numFmtId="172" fontId="27" fillId="9" borderId="8" xfId="4" applyNumberFormat="1" applyBorder="1"/>
    <xf numFmtId="0" fontId="36" fillId="12" borderId="21" xfId="0" applyFont="1" applyFill="1" applyBorder="1" applyAlignment="1">
      <alignment horizontal="right"/>
    </xf>
    <xf numFmtId="172" fontId="36" fillId="12" borderId="22" xfId="2" applyNumberFormat="1" applyFont="1" applyFill="1" applyBorder="1"/>
    <xf numFmtId="0" fontId="0" fillId="0" borderId="0" xfId="0" applyAlignment="1">
      <alignment horizontal="center"/>
    </xf>
    <xf numFmtId="0" fontId="37" fillId="0" borderId="0" xfId="6"/>
    <xf numFmtId="0" fontId="37" fillId="0" borderId="0" xfId="6" quotePrefix="1"/>
    <xf numFmtId="0" fontId="38" fillId="0" borderId="0" xfId="6" applyFont="1"/>
    <xf numFmtId="9" fontId="0" fillId="0" borderId="0" xfId="3" applyFont="1"/>
    <xf numFmtId="14" fontId="0" fillId="0" borderId="0" xfId="0" applyNumberFormat="1"/>
    <xf numFmtId="0" fontId="39" fillId="0" borderId="0" xfId="0" applyFont="1"/>
    <xf numFmtId="44" fontId="0" fillId="0" borderId="0" xfId="0" applyNumberFormat="1"/>
    <xf numFmtId="0" fontId="1" fillId="0" borderId="17" xfId="0" applyFont="1" applyBorder="1" applyAlignment="1">
      <alignment horizontal="center" vertical="center"/>
    </xf>
    <xf numFmtId="0" fontId="1" fillId="0" borderId="0" xfId="0" applyFont="1" applyAlignment="1">
      <alignment horizontal="center" vertical="center"/>
    </xf>
    <xf numFmtId="0" fontId="1" fillId="0" borderId="0" xfId="0" applyFont="1" applyAlignment="1">
      <alignment vertical="center"/>
    </xf>
    <xf numFmtId="0" fontId="0" fillId="0" borderId="23" xfId="0" applyBorder="1"/>
    <xf numFmtId="0" fontId="0" fillId="0" borderId="24" xfId="0" applyBorder="1" applyAlignment="1">
      <alignment horizontal="left" indent="1"/>
    </xf>
    <xf numFmtId="0" fontId="0" fillId="0" borderId="10" xfId="0" applyBorder="1" applyAlignment="1">
      <alignment horizontal="left" indent="1"/>
    </xf>
    <xf numFmtId="0" fontId="0" fillId="0" borderId="18" xfId="0" applyBorder="1"/>
    <xf numFmtId="171" fontId="0" fillId="0" borderId="18" xfId="3" applyNumberFormat="1" applyFont="1" applyBorder="1"/>
    <xf numFmtId="172" fontId="0" fillId="0" borderId="12" xfId="2" applyNumberFormat="1" applyFont="1" applyBorder="1"/>
    <xf numFmtId="172" fontId="34" fillId="11" borderId="16" xfId="5" applyNumberFormat="1" applyFont="1" applyBorder="1" applyAlignment="1">
      <alignment horizontal="center"/>
    </xf>
    <xf numFmtId="173" fontId="0" fillId="0" borderId="18" xfId="3" applyNumberFormat="1" applyFont="1" applyBorder="1"/>
    <xf numFmtId="174" fontId="0" fillId="0" borderId="0" xfId="0" applyNumberFormat="1"/>
    <xf numFmtId="0" fontId="29" fillId="0" borderId="0" xfId="0" applyFont="1" applyAlignment="1">
      <alignment horizontal="right"/>
    </xf>
    <xf numFmtId="172" fontId="29" fillId="0" borderId="25" xfId="2" applyNumberFormat="1" applyFont="1" applyBorder="1"/>
    <xf numFmtId="0" fontId="36" fillId="11" borderId="2" xfId="0" applyFont="1" applyFill="1" applyBorder="1" applyAlignment="1">
      <alignment horizontal="center"/>
    </xf>
    <xf numFmtId="0" fontId="0" fillId="0" borderId="0" xfId="0" applyAlignment="1">
      <alignment horizontal="right"/>
    </xf>
    <xf numFmtId="0" fontId="35" fillId="0" borderId="0" xfId="0" applyFont="1" applyAlignment="1">
      <alignment horizontal="right"/>
    </xf>
    <xf numFmtId="9" fontId="27" fillId="9" borderId="2" xfId="3" applyFont="1" applyFill="1" applyBorder="1" applyAlignment="1">
      <alignment horizontal="center"/>
    </xf>
    <xf numFmtId="2" fontId="0" fillId="0" borderId="0" xfId="0" applyNumberFormat="1" applyAlignment="1">
      <alignment horizontal="center"/>
    </xf>
    <xf numFmtId="172" fontId="0" fillId="0" borderId="0" xfId="0" applyNumberFormat="1"/>
    <xf numFmtId="172" fontId="35" fillId="0" borderId="0" xfId="2" applyNumberFormat="1" applyFont="1"/>
    <xf numFmtId="0" fontId="0" fillId="0" borderId="0" xfId="0" applyAlignment="1">
      <alignment horizontal="left"/>
    </xf>
    <xf numFmtId="0" fontId="41" fillId="0" borderId="0" xfId="0" applyFont="1" applyAlignment="1">
      <alignment horizontal="right"/>
    </xf>
    <xf numFmtId="172" fontId="41" fillId="0" borderId="25" xfId="2" applyNumberFormat="1" applyFont="1" applyBorder="1"/>
    <xf numFmtId="0" fontId="41" fillId="0" borderId="0" xfId="0" applyFont="1" applyAlignment="1">
      <alignment horizontal="left"/>
    </xf>
    <xf numFmtId="44" fontId="39" fillId="0" borderId="0" xfId="2" applyFont="1" applyBorder="1"/>
    <xf numFmtId="0" fontId="36" fillId="11" borderId="26" xfId="0" applyFont="1" applyFill="1" applyBorder="1"/>
    <xf numFmtId="0" fontId="28" fillId="11" borderId="27" xfId="0" applyFont="1" applyFill="1" applyBorder="1"/>
    <xf numFmtId="44" fontId="28" fillId="11" borderId="28" xfId="2" applyFont="1" applyFill="1" applyBorder="1"/>
    <xf numFmtId="0" fontId="0" fillId="0" borderId="10" xfId="0" applyBorder="1" applyAlignment="1">
      <alignment horizontal="left" vertical="top" wrapText="1"/>
    </xf>
    <xf numFmtId="0" fontId="0" fillId="0" borderId="18" xfId="0" applyBorder="1" applyAlignment="1">
      <alignment horizontal="left" vertical="top" wrapText="1"/>
    </xf>
    <xf numFmtId="0" fontId="0" fillId="0" borderId="12" xfId="0" applyBorder="1" applyAlignment="1">
      <alignment horizontal="left" vertical="top" wrapText="1"/>
    </xf>
    <xf numFmtId="0" fontId="41" fillId="0" borderId="29" xfId="0" applyFont="1" applyBorder="1" applyAlignment="1">
      <alignment horizontal="center" vertical="center"/>
    </xf>
    <xf numFmtId="0" fontId="41" fillId="0" borderId="16" xfId="0" applyFont="1" applyBorder="1" applyAlignment="1">
      <alignment horizontal="center" vertical="center"/>
    </xf>
    <xf numFmtId="0" fontId="41" fillId="0" borderId="30" xfId="0" applyFont="1" applyBorder="1" applyAlignment="1">
      <alignment horizontal="center" vertical="center"/>
    </xf>
    <xf numFmtId="0" fontId="41" fillId="0" borderId="31" xfId="0" applyFont="1" applyBorder="1" applyAlignment="1">
      <alignment horizontal="center" vertical="center"/>
    </xf>
    <xf numFmtId="0" fontId="3" fillId="13" borderId="0" xfId="0" applyFont="1" applyFill="1"/>
    <xf numFmtId="0" fontId="0" fillId="13" borderId="0" xfId="0" applyFill="1"/>
    <xf numFmtId="0" fontId="16" fillId="5" borderId="2" xfId="0" applyFont="1" applyFill="1" applyBorder="1"/>
    <xf numFmtId="1" fontId="7" fillId="5" borderId="2" xfId="0" applyNumberFormat="1" applyFont="1" applyFill="1" applyBorder="1"/>
    <xf numFmtId="1" fontId="0" fillId="0" borderId="0" xfId="0" applyNumberFormat="1"/>
    <xf numFmtId="0" fontId="42" fillId="0" borderId="0" xfId="0" applyFont="1"/>
    <xf numFmtId="0" fontId="17" fillId="6" borderId="2" xfId="0" applyFont="1" applyFill="1" applyBorder="1"/>
    <xf numFmtId="1" fontId="10" fillId="6" borderId="2" xfId="0" applyNumberFormat="1" applyFont="1" applyFill="1" applyBorder="1"/>
    <xf numFmtId="170" fontId="0" fillId="0" borderId="0" xfId="0" applyNumberFormat="1"/>
    <xf numFmtId="0" fontId="20" fillId="0" borderId="0" xfId="0" applyFont="1" applyAlignment="1">
      <alignment horizontal="left" vertical="top" wrapText="1"/>
    </xf>
    <xf numFmtId="1" fontId="20" fillId="0" borderId="0" xfId="0" applyNumberFormat="1" applyFont="1"/>
    <xf numFmtId="1" fontId="25" fillId="0" borderId="0" xfId="0" applyNumberFormat="1" applyFont="1"/>
    <xf numFmtId="1" fontId="21" fillId="8" borderId="0" xfId="0" applyNumberFormat="1" applyFont="1" applyFill="1"/>
    <xf numFmtId="0" fontId="2" fillId="0" borderId="0" xfId="0" applyFont="1" applyAlignment="1">
      <alignment vertical="top" wrapText="1"/>
    </xf>
    <xf numFmtId="0" fontId="8" fillId="0" borderId="0" xfId="0" applyFont="1"/>
    <xf numFmtId="0" fontId="43" fillId="0" borderId="0" xfId="0" applyFont="1"/>
  </cellXfs>
  <cellStyles count="7">
    <cellStyle name="Currency" xfId="2" builtinId="4"/>
    <cellStyle name="Hyperlink" xfId="1" builtinId="8"/>
    <cellStyle name="Input" xfId="4" builtinId="20"/>
    <cellStyle name="Normal" xfId="0" builtinId="0"/>
    <cellStyle name="Normal 2" xfId="6" xr:uid="{C6F04D9D-4790-4189-93B6-F6457998D8D5}"/>
    <cellStyle name="Percent" xfId="3" builtinId="5"/>
    <cellStyle name="SLAC Heading" xfId="5" xr:uid="{2168862D-F815-4135-B157-306EC42F94FA}"/>
  </cellStyles>
  <dxfs count="0"/>
  <tableStyles count="0" defaultTableStyle="TableStyleMedium2" defaultPivotStyle="PivotStyleLight16"/>
  <colors>
    <mruColors>
      <color rgb="FFCC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10</xdr:row>
      <xdr:rowOff>0</xdr:rowOff>
    </xdr:from>
    <xdr:to>
      <xdr:col>14</xdr:col>
      <xdr:colOff>443033</xdr:colOff>
      <xdr:row>70</xdr:row>
      <xdr:rowOff>108404</xdr:rowOff>
    </xdr:to>
    <xdr:pic>
      <xdr:nvPicPr>
        <xdr:cNvPr id="2" name="Picture 1">
          <a:extLst>
            <a:ext uri="{FF2B5EF4-FFF2-40B4-BE49-F238E27FC236}">
              <a16:creationId xmlns:a16="http://schemas.microsoft.com/office/drawing/2014/main" id="{30607DCF-7181-4FE7-594C-AB22EFA744F9}"/>
            </a:ext>
          </a:extLst>
        </xdr:cNvPr>
        <xdr:cNvPicPr>
          <a:picLocks noChangeAspect="1"/>
        </xdr:cNvPicPr>
      </xdr:nvPicPr>
      <xdr:blipFill>
        <a:blip xmlns:r="http://schemas.openxmlformats.org/officeDocument/2006/relationships" r:embed="rId1"/>
        <a:stretch>
          <a:fillRect/>
        </a:stretch>
      </xdr:blipFill>
      <xdr:spPr>
        <a:xfrm>
          <a:off x="612588" y="1867647"/>
          <a:ext cx="8742857" cy="11314286"/>
        </a:xfrm>
        <a:prstGeom prst="rect">
          <a:avLst/>
        </a:prstGeom>
      </xdr:spPr>
    </xdr:pic>
    <xdr:clientData/>
  </xdr:twoCellAnchor>
  <xdr:twoCellAnchor editAs="oneCell">
    <xdr:from>
      <xdr:col>16</xdr:col>
      <xdr:colOff>0</xdr:colOff>
      <xdr:row>10</xdr:row>
      <xdr:rowOff>0</xdr:rowOff>
    </xdr:from>
    <xdr:to>
      <xdr:col>30</xdr:col>
      <xdr:colOff>166621</xdr:colOff>
      <xdr:row>70</xdr:row>
      <xdr:rowOff>108404</xdr:rowOff>
    </xdr:to>
    <xdr:pic>
      <xdr:nvPicPr>
        <xdr:cNvPr id="3" name="Picture 2">
          <a:extLst>
            <a:ext uri="{FF2B5EF4-FFF2-40B4-BE49-F238E27FC236}">
              <a16:creationId xmlns:a16="http://schemas.microsoft.com/office/drawing/2014/main" id="{4E8C2AE3-70F8-4B15-BC46-B0B2744F8E5A}"/>
            </a:ext>
          </a:extLst>
        </xdr:cNvPr>
        <xdr:cNvPicPr>
          <a:picLocks noChangeAspect="1"/>
        </xdr:cNvPicPr>
      </xdr:nvPicPr>
      <xdr:blipFill>
        <a:blip xmlns:r="http://schemas.openxmlformats.org/officeDocument/2006/relationships" r:embed="rId2"/>
        <a:stretch>
          <a:fillRect/>
        </a:stretch>
      </xdr:blipFill>
      <xdr:spPr>
        <a:xfrm>
          <a:off x="10137588" y="1867647"/>
          <a:ext cx="8742857" cy="113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396687</xdr:colOff>
      <xdr:row>36</xdr:row>
      <xdr:rowOff>55024</xdr:rowOff>
    </xdr:from>
    <xdr:to>
      <xdr:col>5</xdr:col>
      <xdr:colOff>788220</xdr:colOff>
      <xdr:row>39</xdr:row>
      <xdr:rowOff>22973</xdr:rowOff>
    </xdr:to>
    <xdr:sp macro="[1]!Sheet3.Support_Cost_Toggle" textlink="">
      <xdr:nvSpPr>
        <xdr:cNvPr id="3" name="TextBox 2">
          <a:extLst>
            <a:ext uri="{FF2B5EF4-FFF2-40B4-BE49-F238E27FC236}">
              <a16:creationId xmlns:a16="http://schemas.microsoft.com/office/drawing/2014/main" id="{699B9614-6A4C-482B-BBC9-DDDB00120A28}"/>
            </a:ext>
          </a:extLst>
        </xdr:cNvPr>
        <xdr:cNvSpPr txBox="1"/>
      </xdr:nvSpPr>
      <xdr:spPr>
        <a:xfrm>
          <a:off x="12182287" y="6944774"/>
          <a:ext cx="1928233" cy="545799"/>
        </a:xfrm>
        <a:prstGeom prst="rect">
          <a:avLst/>
        </a:prstGeom>
        <a:ln/>
      </xdr:spPr>
      <xdr:style>
        <a:lnRef idx="0">
          <a:schemeClr val="accent6"/>
        </a:lnRef>
        <a:fillRef idx="3">
          <a:schemeClr val="accent6"/>
        </a:fillRef>
        <a:effectRef idx="3">
          <a:schemeClr val="accent6"/>
        </a:effectRef>
        <a:fontRef idx="minor">
          <a:schemeClr val="lt1"/>
        </a:fontRef>
      </xdr:style>
      <xdr:txBody>
        <a:bodyPr vertOverflow="clip" horzOverflow="clip" wrap="square" rtlCol="0" anchor="ctr"/>
        <a:lstStyle/>
        <a:p>
          <a:pPr algn="ctr"/>
          <a:r>
            <a:rPr lang="en-US" sz="1200" b="1"/>
            <a:t>Fixed Percentage Based</a:t>
          </a:r>
        </a:p>
      </xdr:txBody>
    </xdr:sp>
    <xdr:clientData/>
  </xdr:twoCellAnchor>
  <xdr:twoCellAnchor editAs="oneCell">
    <xdr:from>
      <xdr:col>4</xdr:col>
      <xdr:colOff>361238</xdr:colOff>
      <xdr:row>56</xdr:row>
      <xdr:rowOff>181570</xdr:rowOff>
    </xdr:from>
    <xdr:to>
      <xdr:col>23</xdr:col>
      <xdr:colOff>527050</xdr:colOff>
      <xdr:row>70</xdr:row>
      <xdr:rowOff>2876550</xdr:rowOff>
    </xdr:to>
    <xdr:pic>
      <xdr:nvPicPr>
        <xdr:cNvPr id="4" name="Picture 3">
          <a:extLst>
            <a:ext uri="{FF2B5EF4-FFF2-40B4-BE49-F238E27FC236}">
              <a16:creationId xmlns:a16="http://schemas.microsoft.com/office/drawing/2014/main" id="{A8E1258E-7580-4900-9E12-07960E62536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146838" y="8982670"/>
          <a:ext cx="8236662" cy="55143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slac.sharepoint.com/sites/SPEARRFUPGRADE/Shared%20Documents/spearSSAUpgrade/PM/PMO%20Estimate%20SSRL%20RF%20System%20Upgrade%20to%20SSA%20Rev%201.xlsm" TargetMode="External"/><Relationship Id="rId1" Type="http://schemas.openxmlformats.org/officeDocument/2006/relationships/externalLinkPath" Target="https://slac.sharepoint.com/sites/SPEARRFUPGRADE/Shared%20Documents/spearSSAUpgrade/PM/PMO%20Estimate%20SSRL%20RF%20System%20Upgrade%20to%20SSA%20Rev%201.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NE PAGER"/>
      <sheetName val="SLIDE_DATA"/>
      <sheetName val="REPORT"/>
      <sheetName val="Estimate Summary"/>
      <sheetName val="Construction Summary"/>
      <sheetName val="AE Design Estimate"/>
      <sheetName val="SLAC Services"/>
      <sheetName val="Construction Detail Estimate"/>
      <sheetName val="SLAC Labor Estimate"/>
      <sheetName val="Compounded Escalation Calc"/>
      <sheetName val="DATA INPUT"/>
      <sheetName val="SCHEDULE_DATES"/>
      <sheetName val="ARCHIVE"/>
      <sheetName val="TEMPLATE"/>
      <sheetName val="RATES_&amp;_RESOURCES"/>
      <sheetName val="DATA"/>
    </sheetNames>
    <definedNames>
      <definedName name="Sheet3.Support_Cost_Toggle"/>
    </definedNames>
    <sheetDataSet>
      <sheetData sheetId="0" refreshError="1"/>
      <sheetData sheetId="1" refreshError="1"/>
      <sheetData sheetId="2" refreshError="1"/>
      <sheetData sheetId="3" refreshError="1"/>
      <sheetData sheetId="4">
        <row r="47">
          <cell r="E47">
            <v>718860.35400000005</v>
          </cell>
        </row>
      </sheetData>
      <sheetData sheetId="5">
        <row r="5">
          <cell r="D5">
            <v>107829.0531</v>
          </cell>
        </row>
      </sheetData>
      <sheetData sheetId="6" refreshError="1"/>
      <sheetData sheetId="7" refreshError="1"/>
      <sheetData sheetId="8">
        <row r="11">
          <cell r="A11" t="str">
            <v>Exp Category</v>
          </cell>
          <cell r="B11" t="str">
            <v>Resource/Exp Type</v>
          </cell>
          <cell r="C11" t="str">
            <v>Description/Note</v>
          </cell>
          <cell r="E11" t="str">
            <v>OCT</v>
          </cell>
          <cell r="F11" t="str">
            <v>NOV</v>
          </cell>
          <cell r="G11" t="str">
            <v>DEC</v>
          </cell>
          <cell r="H11" t="str">
            <v>JAN</v>
          </cell>
          <cell r="I11" t="str">
            <v>FEB</v>
          </cell>
          <cell r="J11" t="str">
            <v>MAR</v>
          </cell>
          <cell r="K11" t="str">
            <v>APR</v>
          </cell>
          <cell r="L11" t="str">
            <v>MAY</v>
          </cell>
          <cell r="M11" t="str">
            <v>JUN</v>
          </cell>
          <cell r="N11" t="str">
            <v>JUL</v>
          </cell>
          <cell r="O11" t="str">
            <v>AUG</v>
          </cell>
          <cell r="P11" t="str">
            <v>SEP</v>
          </cell>
          <cell r="Q11" t="str">
            <v>OCT</v>
          </cell>
          <cell r="R11" t="str">
            <v>NOV</v>
          </cell>
          <cell r="S11" t="str">
            <v>DEC</v>
          </cell>
          <cell r="T11" t="str">
            <v>JAN</v>
          </cell>
          <cell r="U11" t="str">
            <v>FEB</v>
          </cell>
          <cell r="V11" t="str">
            <v>MAR</v>
          </cell>
          <cell r="W11" t="str">
            <v>APR</v>
          </cell>
          <cell r="X11" t="str">
            <v>MAY</v>
          </cell>
          <cell r="Y11" t="str">
            <v>JUN</v>
          </cell>
          <cell r="Z11" t="str">
            <v>JUL</v>
          </cell>
          <cell r="AA11" t="str">
            <v>AUG</v>
          </cell>
          <cell r="AB11" t="str">
            <v>SEP</v>
          </cell>
          <cell r="AC11" t="str">
            <v>OCT</v>
          </cell>
          <cell r="AD11" t="str">
            <v>NOV</v>
          </cell>
          <cell r="AE11" t="str">
            <v>DEC</v>
          </cell>
          <cell r="AF11" t="str">
            <v>JAN</v>
          </cell>
          <cell r="AG11" t="str">
            <v>FEB</v>
          </cell>
          <cell r="AH11" t="str">
            <v>MAR</v>
          </cell>
          <cell r="AI11" t="str">
            <v>APR</v>
          </cell>
          <cell r="AJ11" t="str">
            <v>MAY</v>
          </cell>
          <cell r="AK11" t="str">
            <v>JUN</v>
          </cell>
          <cell r="AL11" t="str">
            <v>JUL</v>
          </cell>
          <cell r="AM11" t="str">
            <v>AUG</v>
          </cell>
          <cell r="AN11" t="str">
            <v>SEP</v>
          </cell>
          <cell r="AO11" t="str">
            <v>OCT</v>
          </cell>
          <cell r="AP11" t="str">
            <v>NOV</v>
          </cell>
          <cell r="AQ11" t="str">
            <v>DEC</v>
          </cell>
          <cell r="AR11" t="str">
            <v>JAN</v>
          </cell>
          <cell r="AS11" t="str">
            <v>FEB</v>
          </cell>
          <cell r="AT11" t="str">
            <v>MAR</v>
          </cell>
          <cell r="AU11" t="str">
            <v>APR</v>
          </cell>
          <cell r="AV11" t="str">
            <v>MAY</v>
          </cell>
          <cell r="AW11" t="str">
            <v>JUN</v>
          </cell>
          <cell r="AX11" t="str">
            <v>JUL</v>
          </cell>
          <cell r="AY11" t="str">
            <v>AUG</v>
          </cell>
          <cell r="AZ11" t="str">
            <v>SEP</v>
          </cell>
          <cell r="BA11" t="str">
            <v>OCT</v>
          </cell>
          <cell r="BB11" t="str">
            <v>NOV</v>
          </cell>
          <cell r="BC11" t="str">
            <v>DEC</v>
          </cell>
          <cell r="BD11" t="str">
            <v>JAN</v>
          </cell>
          <cell r="BE11" t="str">
            <v>FEB</v>
          </cell>
          <cell r="BF11" t="str">
            <v>MAR</v>
          </cell>
          <cell r="BG11" t="str">
            <v>APR</v>
          </cell>
          <cell r="BH11" t="str">
            <v>MAY</v>
          </cell>
          <cell r="BI11" t="str">
            <v>JUN</v>
          </cell>
          <cell r="BJ11" t="str">
            <v>JUL</v>
          </cell>
          <cell r="BK11" t="str">
            <v>AUG</v>
          </cell>
          <cell r="BL11" t="str">
            <v>SEP</v>
          </cell>
          <cell r="BM11" t="str">
            <v>OCT</v>
          </cell>
          <cell r="BN11" t="str">
            <v>NOV</v>
          </cell>
          <cell r="BO11" t="str">
            <v>DEC</v>
          </cell>
          <cell r="BP11" t="str">
            <v>JAN</v>
          </cell>
          <cell r="BQ11" t="str">
            <v>FEB</v>
          </cell>
          <cell r="BR11" t="str">
            <v>MAR</v>
          </cell>
          <cell r="BS11" t="str">
            <v>APR</v>
          </cell>
          <cell r="BT11" t="str">
            <v>MAY</v>
          </cell>
          <cell r="BU11" t="str">
            <v>JUN</v>
          </cell>
          <cell r="BV11" t="str">
            <v>JUL</v>
          </cell>
          <cell r="BW11" t="str">
            <v>AUG</v>
          </cell>
          <cell r="BX11" t="str">
            <v>SEP</v>
          </cell>
          <cell r="BY11" t="str">
            <v>ACTUALS</v>
          </cell>
          <cell r="BZ11" t="str">
            <v>ETC</v>
          </cell>
          <cell r="CA11" t="str">
            <v>EAC</v>
          </cell>
          <cell r="CB11" t="str">
            <v>ACTUALS</v>
          </cell>
          <cell r="CC11" t="str">
            <v>ETC</v>
          </cell>
          <cell r="CD11" t="str">
            <v>EAC</v>
          </cell>
          <cell r="CE11" t="str">
            <v>ACTUALS</v>
          </cell>
          <cell r="CF11" t="str">
            <v>ETC</v>
          </cell>
          <cell r="CG11" t="str">
            <v>EAC</v>
          </cell>
          <cell r="CH11" t="str">
            <v>ACTUALS</v>
          </cell>
          <cell r="CI11" t="str">
            <v>ETC</v>
          </cell>
          <cell r="CJ11" t="str">
            <v>EAC</v>
          </cell>
          <cell r="CK11" t="str">
            <v>ACTUALS</v>
          </cell>
          <cell r="CL11" t="str">
            <v>ETC</v>
          </cell>
          <cell r="CM11" t="str">
            <v>EAC</v>
          </cell>
          <cell r="CN11" t="str">
            <v>ACTUALS</v>
          </cell>
          <cell r="CO11" t="str">
            <v>ETC</v>
          </cell>
          <cell r="CP11" t="str">
            <v>EAC</v>
          </cell>
          <cell r="CQ11" t="str">
            <v>ACTUALS</v>
          </cell>
          <cell r="CR11" t="str">
            <v>ETC</v>
          </cell>
          <cell r="CS11" t="str">
            <v>EAC</v>
          </cell>
        </row>
        <row r="12">
          <cell r="A12" t="str">
            <v>PMO</v>
          </cell>
          <cell r="B12" t="str">
            <v>PMO</v>
          </cell>
          <cell r="C12" t="str">
            <v>EAC = $0</v>
          </cell>
          <cell r="D12" t="str">
            <v>LABOR TOTAL</v>
          </cell>
          <cell r="E12">
            <v>0</v>
          </cell>
          <cell r="F12">
            <v>0</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0</v>
          </cell>
          <cell r="W12">
            <v>0</v>
          </cell>
          <cell r="X12">
            <v>0</v>
          </cell>
          <cell r="Y12">
            <v>0</v>
          </cell>
          <cell r="Z12">
            <v>0</v>
          </cell>
          <cell r="AA12">
            <v>0</v>
          </cell>
          <cell r="AB12">
            <v>0</v>
          </cell>
          <cell r="AC12">
            <v>0</v>
          </cell>
          <cell r="AD12">
            <v>0</v>
          </cell>
          <cell r="AE12">
            <v>0</v>
          </cell>
          <cell r="AF12">
            <v>0</v>
          </cell>
          <cell r="AG12">
            <v>0</v>
          </cell>
          <cell r="AH12">
            <v>0</v>
          </cell>
          <cell r="AI12">
            <v>0</v>
          </cell>
          <cell r="AJ12">
            <v>0</v>
          </cell>
          <cell r="AK12">
            <v>0</v>
          </cell>
          <cell r="AL12">
            <v>0</v>
          </cell>
          <cell r="AM12">
            <v>0</v>
          </cell>
          <cell r="AN12">
            <v>0</v>
          </cell>
          <cell r="AO12">
            <v>0</v>
          </cell>
          <cell r="AP12">
            <v>0</v>
          </cell>
          <cell r="AQ12">
            <v>0</v>
          </cell>
          <cell r="AR12">
            <v>0</v>
          </cell>
          <cell r="AS12">
            <v>0</v>
          </cell>
          <cell r="AT12">
            <v>0</v>
          </cell>
          <cell r="AU12">
            <v>0</v>
          </cell>
          <cell r="AV12">
            <v>0</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v>0</v>
          </cell>
          <cell r="CD12">
            <v>0</v>
          </cell>
          <cell r="CE12">
            <v>0</v>
          </cell>
          <cell r="CF12">
            <v>0</v>
          </cell>
          <cell r="CG12">
            <v>0</v>
          </cell>
          <cell r="CH12">
            <v>0</v>
          </cell>
          <cell r="CI12">
            <v>0</v>
          </cell>
          <cell r="CJ12">
            <v>0</v>
          </cell>
          <cell r="CK12">
            <v>0</v>
          </cell>
          <cell r="CL12">
            <v>0</v>
          </cell>
          <cell r="CM12">
            <v>0</v>
          </cell>
          <cell r="CN12">
            <v>0</v>
          </cell>
          <cell r="CO12">
            <v>0</v>
          </cell>
          <cell r="CP12">
            <v>0</v>
          </cell>
          <cell r="CQ12">
            <v>0</v>
          </cell>
          <cell r="CR12">
            <v>0</v>
          </cell>
          <cell r="CS12">
            <v>0</v>
          </cell>
        </row>
        <row r="13">
          <cell r="A13" t="str">
            <v>PMO</v>
          </cell>
          <cell r="C13" t="str">
            <v>XXXX1</v>
          </cell>
          <cell r="D13" t="str">
            <v>TOTAL SALARY $</v>
          </cell>
          <cell r="E13">
            <v>0</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0</v>
          </cell>
          <cell r="AF13">
            <v>0</v>
          </cell>
          <cell r="AG13">
            <v>0</v>
          </cell>
          <cell r="AH13">
            <v>0</v>
          </cell>
          <cell r="AI13">
            <v>0</v>
          </cell>
          <cell r="AJ13">
            <v>0</v>
          </cell>
          <cell r="AK13">
            <v>0</v>
          </cell>
          <cell r="AL13">
            <v>0</v>
          </cell>
          <cell r="AM13">
            <v>0</v>
          </cell>
          <cell r="AN13">
            <v>0</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v>0</v>
          </cell>
          <cell r="BQ13">
            <v>0</v>
          </cell>
          <cell r="BR13">
            <v>0</v>
          </cell>
          <cell r="BS13">
            <v>0</v>
          </cell>
          <cell r="BT13">
            <v>0</v>
          </cell>
          <cell r="BU13">
            <v>0</v>
          </cell>
          <cell r="BV13">
            <v>0</v>
          </cell>
          <cell r="BW13">
            <v>0</v>
          </cell>
          <cell r="BX13">
            <v>0</v>
          </cell>
          <cell r="BY13">
            <v>0</v>
          </cell>
          <cell r="BZ13">
            <v>0</v>
          </cell>
          <cell r="CA13">
            <v>0</v>
          </cell>
          <cell r="CB13">
            <v>0</v>
          </cell>
          <cell r="CC13">
            <v>0</v>
          </cell>
          <cell r="CD13">
            <v>0</v>
          </cell>
          <cell r="CE13">
            <v>0</v>
          </cell>
          <cell r="CF13">
            <v>0</v>
          </cell>
          <cell r="CG13">
            <v>0</v>
          </cell>
          <cell r="CH13">
            <v>0</v>
          </cell>
          <cell r="CI13">
            <v>0</v>
          </cell>
          <cell r="CJ13">
            <v>0</v>
          </cell>
          <cell r="CK13">
            <v>0</v>
          </cell>
          <cell r="CL13">
            <v>0</v>
          </cell>
          <cell r="CM13">
            <v>0</v>
          </cell>
          <cell r="CN13">
            <v>0</v>
          </cell>
          <cell r="CO13">
            <v>0</v>
          </cell>
          <cell r="CP13">
            <v>0</v>
          </cell>
          <cell r="CQ13">
            <v>0</v>
          </cell>
          <cell r="CR13">
            <v>0</v>
          </cell>
          <cell r="CS13">
            <v>0</v>
          </cell>
        </row>
        <row r="14">
          <cell r="A14" t="str">
            <v>PMO</v>
          </cell>
          <cell r="D14" t="str">
            <v>TOTAL FTE</v>
          </cell>
          <cell r="E14">
            <v>0</v>
          </cell>
          <cell r="F14">
            <v>0</v>
          </cell>
          <cell r="G14">
            <v>0</v>
          </cell>
          <cell r="H14">
            <v>0</v>
          </cell>
          <cell r="I14">
            <v>0</v>
          </cell>
          <cell r="J14">
            <v>0</v>
          </cell>
          <cell r="K14">
            <v>0</v>
          </cell>
          <cell r="L14">
            <v>0</v>
          </cell>
          <cell r="M14">
            <v>0</v>
          </cell>
          <cell r="N14">
            <v>0</v>
          </cell>
          <cell r="O14">
            <v>0</v>
          </cell>
          <cell r="P14">
            <v>0</v>
          </cell>
          <cell r="Q14">
            <v>0</v>
          </cell>
          <cell r="R14">
            <v>0</v>
          </cell>
          <cell r="S14">
            <v>0</v>
          </cell>
          <cell r="T14">
            <v>0</v>
          </cell>
          <cell r="U14">
            <v>0</v>
          </cell>
          <cell r="V14">
            <v>0</v>
          </cell>
          <cell r="W14">
            <v>0</v>
          </cell>
          <cell r="X14">
            <v>0</v>
          </cell>
          <cell r="Y14">
            <v>0</v>
          </cell>
          <cell r="Z14">
            <v>0</v>
          </cell>
          <cell r="AA14">
            <v>0</v>
          </cell>
          <cell r="AB14">
            <v>0</v>
          </cell>
          <cell r="AC14">
            <v>0</v>
          </cell>
          <cell r="AD14">
            <v>0</v>
          </cell>
          <cell r="AE14">
            <v>0</v>
          </cell>
          <cell r="AF14">
            <v>0</v>
          </cell>
          <cell r="AG14">
            <v>0</v>
          </cell>
          <cell r="AH14">
            <v>0</v>
          </cell>
          <cell r="AI14">
            <v>0</v>
          </cell>
          <cell r="AJ14">
            <v>0</v>
          </cell>
          <cell r="AK14">
            <v>0</v>
          </cell>
          <cell r="AL14">
            <v>0</v>
          </cell>
          <cell r="AM14">
            <v>0</v>
          </cell>
          <cell r="AN14">
            <v>0</v>
          </cell>
          <cell r="AO14">
            <v>0</v>
          </cell>
          <cell r="AP14">
            <v>0</v>
          </cell>
          <cell r="AQ14">
            <v>0</v>
          </cell>
          <cell r="AR14">
            <v>0</v>
          </cell>
          <cell r="AS14">
            <v>0</v>
          </cell>
          <cell r="AT14">
            <v>0</v>
          </cell>
          <cell r="AU14">
            <v>0</v>
          </cell>
          <cell r="AV14">
            <v>0</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v>0</v>
          </cell>
          <cell r="CD14">
            <v>0</v>
          </cell>
          <cell r="CE14">
            <v>0</v>
          </cell>
          <cell r="CF14">
            <v>0</v>
          </cell>
          <cell r="CG14">
            <v>0</v>
          </cell>
          <cell r="CH14">
            <v>0</v>
          </cell>
          <cell r="CI14">
            <v>0</v>
          </cell>
          <cell r="CJ14">
            <v>0</v>
          </cell>
          <cell r="CK14">
            <v>0</v>
          </cell>
          <cell r="CL14">
            <v>0</v>
          </cell>
          <cell r="CM14">
            <v>0</v>
          </cell>
          <cell r="CN14">
            <v>0</v>
          </cell>
          <cell r="CO14">
            <v>0</v>
          </cell>
          <cell r="CP14">
            <v>0</v>
          </cell>
          <cell r="CQ14">
            <v>0</v>
          </cell>
          <cell r="CR14">
            <v>0</v>
          </cell>
          <cell r="CS14">
            <v>0</v>
          </cell>
        </row>
        <row r="15">
          <cell r="A15" t="str">
            <v>PMO</v>
          </cell>
          <cell r="D15" t="str">
            <v>TOTAL HOURS</v>
          </cell>
          <cell r="E15">
            <v>0</v>
          </cell>
          <cell r="F15">
            <v>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0</v>
          </cell>
          <cell r="AB15">
            <v>0</v>
          </cell>
          <cell r="AC15">
            <v>0</v>
          </cell>
          <cell r="AD15">
            <v>0</v>
          </cell>
          <cell r="AE15">
            <v>0</v>
          </cell>
          <cell r="AF15">
            <v>0</v>
          </cell>
          <cell r="AG15">
            <v>0</v>
          </cell>
          <cell r="AH15">
            <v>0</v>
          </cell>
          <cell r="AI15">
            <v>0</v>
          </cell>
          <cell r="AJ15">
            <v>0</v>
          </cell>
          <cell r="AK15">
            <v>0</v>
          </cell>
          <cell r="AL15">
            <v>0</v>
          </cell>
          <cell r="AM15">
            <v>0</v>
          </cell>
          <cell r="AN15">
            <v>0</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v>0</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v>0</v>
          </cell>
          <cell r="CQ15">
            <v>0</v>
          </cell>
          <cell r="CR15">
            <v>0</v>
          </cell>
          <cell r="CS15">
            <v>0</v>
          </cell>
        </row>
        <row r="16">
          <cell r="A16" t="str">
            <v>PMO</v>
          </cell>
          <cell r="C16" t="str">
            <v>Costs+Liens+PLiens = $0</v>
          </cell>
          <cell r="D16" t="str">
            <v>AVG HRLY LBR RATE</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cell r="S16" t="str">
            <v/>
          </cell>
          <cell r="T16" t="str">
            <v/>
          </cell>
          <cell r="U16" t="str">
            <v/>
          </cell>
          <cell r="V16" t="str">
            <v/>
          </cell>
          <cell r="W16" t="str">
            <v/>
          </cell>
          <cell r="X16" t="str">
            <v/>
          </cell>
          <cell r="Y16" t="str">
            <v/>
          </cell>
          <cell r="Z16" t="str">
            <v/>
          </cell>
          <cell r="AA16" t="str">
            <v/>
          </cell>
          <cell r="AB16" t="str">
            <v/>
          </cell>
          <cell r="AC16" t="str">
            <v/>
          </cell>
          <cell r="AD16" t="str">
            <v/>
          </cell>
          <cell r="AE16" t="str">
            <v/>
          </cell>
          <cell r="AF16" t="str">
            <v/>
          </cell>
          <cell r="AG16" t="str">
            <v/>
          </cell>
          <cell r="AH16" t="str">
            <v/>
          </cell>
          <cell r="AI16" t="str">
            <v/>
          </cell>
          <cell r="AJ16" t="str">
            <v/>
          </cell>
          <cell r="AK16" t="str">
            <v/>
          </cell>
          <cell r="AL16" t="str">
            <v/>
          </cell>
          <cell r="AM16" t="str">
            <v/>
          </cell>
          <cell r="AN16" t="str">
            <v/>
          </cell>
          <cell r="AO16" t="str">
            <v/>
          </cell>
          <cell r="AP16" t="str">
            <v/>
          </cell>
          <cell r="AQ16" t="str">
            <v/>
          </cell>
          <cell r="AR16" t="str">
            <v/>
          </cell>
          <cell r="AS16" t="str">
            <v/>
          </cell>
          <cell r="AT16" t="str">
            <v/>
          </cell>
          <cell r="AU16" t="str">
            <v/>
          </cell>
          <cell r="AV16" t="str">
            <v/>
          </cell>
          <cell r="AW16" t="str">
            <v/>
          </cell>
          <cell r="AX16" t="str">
            <v/>
          </cell>
          <cell r="AY16" t="str">
            <v/>
          </cell>
          <cell r="AZ16" t="str">
            <v/>
          </cell>
          <cell r="BA16" t="str">
            <v/>
          </cell>
          <cell r="BB16" t="str">
            <v/>
          </cell>
          <cell r="BC16" t="str">
            <v/>
          </cell>
          <cell r="BD16" t="str">
            <v/>
          </cell>
          <cell r="BE16" t="str">
            <v/>
          </cell>
          <cell r="BF16" t="str">
            <v/>
          </cell>
          <cell r="BG16" t="str">
            <v/>
          </cell>
          <cell r="BH16" t="str">
            <v/>
          </cell>
          <cell r="BI16" t="str">
            <v/>
          </cell>
          <cell r="BJ16" t="str">
            <v/>
          </cell>
          <cell r="BK16" t="str">
            <v/>
          </cell>
          <cell r="BL16" t="str">
            <v/>
          </cell>
          <cell r="BM16" t="str">
            <v/>
          </cell>
          <cell r="BN16" t="str">
            <v/>
          </cell>
          <cell r="BO16" t="str">
            <v/>
          </cell>
          <cell r="BP16" t="str">
            <v/>
          </cell>
          <cell r="BQ16" t="str">
            <v/>
          </cell>
          <cell r="BR16" t="str">
            <v/>
          </cell>
          <cell r="BS16" t="str">
            <v/>
          </cell>
          <cell r="BT16" t="str">
            <v/>
          </cell>
          <cell r="BU16" t="str">
            <v/>
          </cell>
          <cell r="BV16" t="str">
            <v/>
          </cell>
          <cell r="BW16" t="str">
            <v/>
          </cell>
          <cell r="BX16" t="str">
            <v/>
          </cell>
          <cell r="BY16" t="str">
            <v/>
          </cell>
          <cell r="BZ16" t="str">
            <v/>
          </cell>
          <cell r="CA16" t="str">
            <v/>
          </cell>
          <cell r="CB16" t="str">
            <v/>
          </cell>
          <cell r="CC16" t="str">
            <v/>
          </cell>
          <cell r="CD16" t="str">
            <v/>
          </cell>
          <cell r="CE16" t="str">
            <v/>
          </cell>
          <cell r="CF16" t="str">
            <v/>
          </cell>
          <cell r="CG16" t="str">
            <v/>
          </cell>
          <cell r="CH16" t="str">
            <v/>
          </cell>
          <cell r="CI16" t="str">
            <v/>
          </cell>
          <cell r="CJ16" t="str">
            <v/>
          </cell>
          <cell r="CK16" t="str">
            <v/>
          </cell>
          <cell r="CL16" t="str">
            <v/>
          </cell>
          <cell r="CM16" t="str">
            <v/>
          </cell>
          <cell r="CN16" t="str">
            <v/>
          </cell>
          <cell r="CO16" t="str">
            <v/>
          </cell>
          <cell r="CP16" t="str">
            <v/>
          </cell>
          <cell r="CQ16" t="str">
            <v/>
          </cell>
          <cell r="CR16" t="str">
            <v/>
          </cell>
          <cell r="CS16" t="str">
            <v/>
          </cell>
        </row>
        <row r="17">
          <cell r="A17" t="str">
            <v>PMO</v>
          </cell>
          <cell r="B17" t="str">
            <v>Encumbrances = $0</v>
          </cell>
          <cell r="C17" t="str">
            <v>Costs+Encumbrances = $0</v>
          </cell>
          <cell r="D17" t="str">
            <v>NON-LABOR TOTAL</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0</v>
          </cell>
          <cell r="X17">
            <v>0</v>
          </cell>
          <cell r="Y17">
            <v>0</v>
          </cell>
          <cell r="Z17">
            <v>0</v>
          </cell>
          <cell r="AA17">
            <v>0</v>
          </cell>
          <cell r="AB17">
            <v>0</v>
          </cell>
          <cell r="AC17">
            <v>0</v>
          </cell>
          <cell r="AD17">
            <v>0</v>
          </cell>
          <cell r="AE17">
            <v>0</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v>0</v>
          </cell>
          <cell r="CF17">
            <v>0</v>
          </cell>
          <cell r="CG17">
            <v>0</v>
          </cell>
          <cell r="CH17">
            <v>0</v>
          </cell>
          <cell r="CI17">
            <v>0</v>
          </cell>
          <cell r="CJ17">
            <v>0</v>
          </cell>
          <cell r="CK17">
            <v>0</v>
          </cell>
          <cell r="CL17">
            <v>0</v>
          </cell>
          <cell r="CM17">
            <v>0</v>
          </cell>
          <cell r="CN17">
            <v>0</v>
          </cell>
          <cell r="CO17">
            <v>0</v>
          </cell>
          <cell r="CP17">
            <v>0</v>
          </cell>
          <cell r="CQ17">
            <v>0</v>
          </cell>
          <cell r="CR17">
            <v>0</v>
          </cell>
          <cell r="CS17">
            <v>0</v>
          </cell>
        </row>
        <row r="18">
          <cell r="A18" t="str">
            <v>PMO</v>
          </cell>
          <cell r="D18" t="str">
            <v>NON-LABOR RAW</v>
          </cell>
          <cell r="E18">
            <v>0</v>
          </cell>
          <cell r="F18">
            <v>0</v>
          </cell>
          <cell r="G18">
            <v>0</v>
          </cell>
          <cell r="H18">
            <v>0</v>
          </cell>
          <cell r="I18">
            <v>0</v>
          </cell>
          <cell r="J18">
            <v>0</v>
          </cell>
          <cell r="K18">
            <v>0</v>
          </cell>
          <cell r="L18">
            <v>0</v>
          </cell>
          <cell r="M18">
            <v>0</v>
          </cell>
          <cell r="N18">
            <v>0</v>
          </cell>
          <cell r="O18">
            <v>0</v>
          </cell>
          <cell r="P18">
            <v>0</v>
          </cell>
          <cell r="Q18">
            <v>0</v>
          </cell>
          <cell r="R18">
            <v>0</v>
          </cell>
          <cell r="S18">
            <v>0</v>
          </cell>
          <cell r="T18">
            <v>0</v>
          </cell>
          <cell r="U18">
            <v>0</v>
          </cell>
          <cell r="V18">
            <v>0</v>
          </cell>
          <cell r="W18">
            <v>0</v>
          </cell>
          <cell r="X18">
            <v>0</v>
          </cell>
          <cell r="Y18">
            <v>0</v>
          </cell>
          <cell r="Z18">
            <v>0</v>
          </cell>
          <cell r="AA18">
            <v>0</v>
          </cell>
          <cell r="AB18">
            <v>0</v>
          </cell>
          <cell r="AC18">
            <v>0</v>
          </cell>
          <cell r="AD18">
            <v>0</v>
          </cell>
          <cell r="AE18">
            <v>0</v>
          </cell>
          <cell r="AF18">
            <v>0</v>
          </cell>
          <cell r="AG18">
            <v>0</v>
          </cell>
          <cell r="AH18">
            <v>0</v>
          </cell>
          <cell r="AI18">
            <v>0</v>
          </cell>
          <cell r="AJ18">
            <v>0</v>
          </cell>
          <cell r="AK18">
            <v>0</v>
          </cell>
          <cell r="AL18">
            <v>0</v>
          </cell>
          <cell r="AM18">
            <v>0</v>
          </cell>
          <cell r="AN18">
            <v>0</v>
          </cell>
          <cell r="AO18">
            <v>0</v>
          </cell>
          <cell r="AP18">
            <v>0</v>
          </cell>
          <cell r="AQ18">
            <v>0</v>
          </cell>
          <cell r="AR18">
            <v>0</v>
          </cell>
          <cell r="AS18">
            <v>0</v>
          </cell>
          <cell r="AT18">
            <v>0</v>
          </cell>
          <cell r="AU18">
            <v>0</v>
          </cell>
          <cell r="AV18">
            <v>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v>0</v>
          </cell>
          <cell r="CC18">
            <v>0</v>
          </cell>
          <cell r="CD18">
            <v>0</v>
          </cell>
          <cell r="CE18">
            <v>0</v>
          </cell>
          <cell r="CF18">
            <v>0</v>
          </cell>
          <cell r="CG18">
            <v>0</v>
          </cell>
          <cell r="CH18">
            <v>0</v>
          </cell>
          <cell r="CI18">
            <v>0</v>
          </cell>
          <cell r="CJ18">
            <v>0</v>
          </cell>
          <cell r="CK18">
            <v>0</v>
          </cell>
          <cell r="CL18">
            <v>0</v>
          </cell>
          <cell r="CM18">
            <v>0</v>
          </cell>
          <cell r="CN18">
            <v>0</v>
          </cell>
          <cell r="CO18">
            <v>0</v>
          </cell>
          <cell r="CP18">
            <v>0</v>
          </cell>
          <cell r="CQ18">
            <v>0</v>
          </cell>
          <cell r="CR18">
            <v>0</v>
          </cell>
          <cell r="CS18">
            <v>0</v>
          </cell>
        </row>
        <row r="19">
          <cell r="A19" t="str">
            <v>PMO</v>
          </cell>
          <cell r="D19" t="str">
            <v>TOTAL BURDENED $</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0</v>
          </cell>
          <cell r="W19">
            <v>0</v>
          </cell>
          <cell r="X19">
            <v>0</v>
          </cell>
          <cell r="Y19">
            <v>0</v>
          </cell>
          <cell r="Z19">
            <v>0</v>
          </cell>
          <cell r="AA19">
            <v>0</v>
          </cell>
          <cell r="AB19">
            <v>0</v>
          </cell>
          <cell r="AC19">
            <v>0</v>
          </cell>
          <cell r="AD19">
            <v>0</v>
          </cell>
          <cell r="AE19">
            <v>0</v>
          </cell>
          <cell r="AF19">
            <v>0</v>
          </cell>
          <cell r="AG19">
            <v>0</v>
          </cell>
          <cell r="AH19">
            <v>0</v>
          </cell>
          <cell r="AI19">
            <v>0</v>
          </cell>
          <cell r="AJ19">
            <v>0</v>
          </cell>
          <cell r="AK19">
            <v>0</v>
          </cell>
          <cell r="AL19">
            <v>0</v>
          </cell>
          <cell r="AM19">
            <v>0</v>
          </cell>
          <cell r="AN19">
            <v>0</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v>0</v>
          </cell>
          <cell r="CC19">
            <v>0</v>
          </cell>
          <cell r="CD19">
            <v>0</v>
          </cell>
          <cell r="CE19">
            <v>0</v>
          </cell>
          <cell r="CF19">
            <v>0</v>
          </cell>
          <cell r="CG19">
            <v>0</v>
          </cell>
          <cell r="CH19">
            <v>0</v>
          </cell>
          <cell r="CI19">
            <v>0</v>
          </cell>
          <cell r="CJ19">
            <v>0</v>
          </cell>
          <cell r="CK19">
            <v>0</v>
          </cell>
          <cell r="CL19">
            <v>0</v>
          </cell>
          <cell r="CM19">
            <v>0</v>
          </cell>
          <cell r="CN19">
            <v>0</v>
          </cell>
          <cell r="CO19">
            <v>0</v>
          </cell>
          <cell r="CP19">
            <v>0</v>
          </cell>
          <cell r="CQ19">
            <v>0</v>
          </cell>
          <cell r="CR19">
            <v>0</v>
          </cell>
          <cell r="CS19">
            <v>0</v>
          </cell>
        </row>
        <row r="20">
          <cell r="BY20" t="str">
            <v>Past ETC</v>
          </cell>
          <cell r="BZ20" t="str">
            <v>ETC</v>
          </cell>
          <cell r="CA20" t="str">
            <v>Total Fcst</v>
          </cell>
          <cell r="CB20" t="str">
            <v>Past ETC</v>
          </cell>
          <cell r="CC20" t="str">
            <v>ETC</v>
          </cell>
          <cell r="CD20" t="str">
            <v>Total Fcst</v>
          </cell>
          <cell r="CE20" t="str">
            <v>Past ETC</v>
          </cell>
          <cell r="CF20" t="str">
            <v>ETC</v>
          </cell>
          <cell r="CG20" t="str">
            <v>Total Fcst</v>
          </cell>
          <cell r="CH20" t="str">
            <v>Past ETC</v>
          </cell>
          <cell r="CI20" t="str">
            <v>ETC</v>
          </cell>
          <cell r="CJ20" t="str">
            <v>Total Fcst</v>
          </cell>
          <cell r="CK20" t="str">
            <v>Past ETC</v>
          </cell>
          <cell r="CL20" t="str">
            <v>ETC</v>
          </cell>
          <cell r="CM20" t="str">
            <v>Total Fcst</v>
          </cell>
          <cell r="CN20" t="str">
            <v>Past ETC</v>
          </cell>
          <cell r="CO20" t="str">
            <v>ETC</v>
          </cell>
          <cell r="CP20" t="str">
            <v>Total Fcst</v>
          </cell>
          <cell r="CQ20" t="str">
            <v>Past ETC</v>
          </cell>
          <cell r="CR20" t="str">
            <v>ETC</v>
          </cell>
          <cell r="CS20" t="str">
            <v>Total Fcst</v>
          </cell>
        </row>
        <row r="21">
          <cell r="A21" t="str">
            <v>LABOR</v>
          </cell>
          <cell r="BY21">
            <v>0</v>
          </cell>
          <cell r="BZ21">
            <v>0</v>
          </cell>
          <cell r="CA21">
            <v>0</v>
          </cell>
          <cell r="CB21">
            <v>0</v>
          </cell>
          <cell r="CC21">
            <v>0</v>
          </cell>
          <cell r="CD21">
            <v>0</v>
          </cell>
          <cell r="CE21">
            <v>0</v>
          </cell>
          <cell r="CF21">
            <v>0</v>
          </cell>
          <cell r="CG21">
            <v>0</v>
          </cell>
          <cell r="CH21">
            <v>0</v>
          </cell>
          <cell r="CI21">
            <v>0</v>
          </cell>
          <cell r="CJ21">
            <v>0</v>
          </cell>
          <cell r="CK21">
            <v>0</v>
          </cell>
          <cell r="CL21">
            <v>0</v>
          </cell>
          <cell r="CM21">
            <v>0</v>
          </cell>
          <cell r="CN21">
            <v>0</v>
          </cell>
          <cell r="CO21">
            <v>0</v>
          </cell>
          <cell r="CP21">
            <v>0</v>
          </cell>
          <cell r="CQ21">
            <v>0</v>
          </cell>
          <cell r="CR21">
            <v>0</v>
          </cell>
          <cell r="CS21">
            <v>0</v>
          </cell>
        </row>
        <row r="22">
          <cell r="BY22" t="str">
            <v/>
          </cell>
        </row>
        <row r="23">
          <cell r="A23" t="str">
            <v>F&amp;O</v>
          </cell>
          <cell r="B23" t="str">
            <v>F&amp;O</v>
          </cell>
          <cell r="C23" t="str">
            <v>EAC = $0</v>
          </cell>
          <cell r="D23" t="str">
            <v>LABOR TOTAL</v>
          </cell>
          <cell r="E23">
            <v>0</v>
          </cell>
          <cell r="F23">
            <v>0</v>
          </cell>
          <cell r="G23">
            <v>0</v>
          </cell>
          <cell r="H23">
            <v>0</v>
          </cell>
          <cell r="I23">
            <v>0</v>
          </cell>
          <cell r="J23">
            <v>0</v>
          </cell>
          <cell r="K23">
            <v>0</v>
          </cell>
          <cell r="L23">
            <v>0</v>
          </cell>
          <cell r="M23">
            <v>0</v>
          </cell>
          <cell r="N23">
            <v>0</v>
          </cell>
          <cell r="O23">
            <v>0</v>
          </cell>
          <cell r="P23">
            <v>0</v>
          </cell>
          <cell r="Q23">
            <v>0</v>
          </cell>
          <cell r="R23">
            <v>0</v>
          </cell>
          <cell r="S23">
            <v>0</v>
          </cell>
          <cell r="T23">
            <v>0</v>
          </cell>
          <cell r="U23">
            <v>0</v>
          </cell>
          <cell r="V23">
            <v>0</v>
          </cell>
          <cell r="W23">
            <v>0</v>
          </cell>
          <cell r="X23">
            <v>0</v>
          </cell>
          <cell r="Y23">
            <v>0</v>
          </cell>
          <cell r="Z23">
            <v>0</v>
          </cell>
          <cell r="AA23">
            <v>0</v>
          </cell>
          <cell r="AB23">
            <v>0</v>
          </cell>
          <cell r="AC23">
            <v>0</v>
          </cell>
          <cell r="AD23">
            <v>0</v>
          </cell>
          <cell r="AE23">
            <v>0</v>
          </cell>
          <cell r="AF23">
            <v>0</v>
          </cell>
          <cell r="AG23">
            <v>0</v>
          </cell>
          <cell r="AH23">
            <v>0</v>
          </cell>
          <cell r="AI23">
            <v>0</v>
          </cell>
          <cell r="AJ23">
            <v>0</v>
          </cell>
          <cell r="AK23">
            <v>0</v>
          </cell>
          <cell r="AL23">
            <v>0</v>
          </cell>
          <cell r="AM23">
            <v>0</v>
          </cell>
          <cell r="AN23">
            <v>0</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v>0</v>
          </cell>
          <cell r="CC23">
            <v>0</v>
          </cell>
          <cell r="CD23">
            <v>0</v>
          </cell>
          <cell r="CE23">
            <v>0</v>
          </cell>
          <cell r="CF23">
            <v>0</v>
          </cell>
          <cell r="CG23">
            <v>0</v>
          </cell>
          <cell r="CH23">
            <v>0</v>
          </cell>
          <cell r="CI23">
            <v>0</v>
          </cell>
          <cell r="CJ23">
            <v>0</v>
          </cell>
          <cell r="CK23">
            <v>0</v>
          </cell>
          <cell r="CL23">
            <v>0</v>
          </cell>
          <cell r="CM23">
            <v>0</v>
          </cell>
          <cell r="CN23">
            <v>0</v>
          </cell>
          <cell r="CO23">
            <v>0</v>
          </cell>
          <cell r="CP23">
            <v>0</v>
          </cell>
          <cell r="CQ23">
            <v>0</v>
          </cell>
          <cell r="CR23">
            <v>0</v>
          </cell>
          <cell r="CS23">
            <v>0</v>
          </cell>
        </row>
        <row r="24">
          <cell r="A24" t="str">
            <v>F&amp;O</v>
          </cell>
          <cell r="C24" t="str">
            <v>XXXX2</v>
          </cell>
          <cell r="D24" t="str">
            <v>TOTAL SALARY $</v>
          </cell>
          <cell r="E24">
            <v>0</v>
          </cell>
          <cell r="F24">
            <v>0</v>
          </cell>
          <cell r="G24">
            <v>0</v>
          </cell>
          <cell r="H24">
            <v>0</v>
          </cell>
          <cell r="I24">
            <v>0</v>
          </cell>
          <cell r="J24">
            <v>0</v>
          </cell>
          <cell r="K24">
            <v>0</v>
          </cell>
          <cell r="L24">
            <v>0</v>
          </cell>
          <cell r="M24">
            <v>0</v>
          </cell>
          <cell r="N24">
            <v>0</v>
          </cell>
          <cell r="O24">
            <v>0</v>
          </cell>
          <cell r="P24">
            <v>0</v>
          </cell>
          <cell r="Q24">
            <v>0</v>
          </cell>
          <cell r="R24">
            <v>0</v>
          </cell>
          <cell r="S24">
            <v>0</v>
          </cell>
          <cell r="T24">
            <v>0</v>
          </cell>
          <cell r="U24">
            <v>0</v>
          </cell>
          <cell r="V24">
            <v>0</v>
          </cell>
          <cell r="W24">
            <v>0</v>
          </cell>
          <cell r="X24">
            <v>0</v>
          </cell>
          <cell r="Y24">
            <v>0</v>
          </cell>
          <cell r="Z24">
            <v>0</v>
          </cell>
          <cell r="AA24">
            <v>0</v>
          </cell>
          <cell r="AB24">
            <v>0</v>
          </cell>
          <cell r="AC24">
            <v>0</v>
          </cell>
          <cell r="AD24">
            <v>0</v>
          </cell>
          <cell r="AE24">
            <v>0</v>
          </cell>
          <cell r="AF24">
            <v>0</v>
          </cell>
          <cell r="AG24">
            <v>0</v>
          </cell>
          <cell r="AH24">
            <v>0</v>
          </cell>
          <cell r="AI24">
            <v>0</v>
          </cell>
          <cell r="AJ24">
            <v>0</v>
          </cell>
          <cell r="AK24">
            <v>0</v>
          </cell>
          <cell r="AL24">
            <v>0</v>
          </cell>
          <cell r="AM24">
            <v>0</v>
          </cell>
          <cell r="AN24">
            <v>0</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v>0</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v>0</v>
          </cell>
          <cell r="CR24">
            <v>0</v>
          </cell>
          <cell r="CS24">
            <v>0</v>
          </cell>
        </row>
        <row r="25">
          <cell r="A25" t="str">
            <v>F&amp;O</v>
          </cell>
          <cell r="D25" t="str">
            <v>TOTAL FTE</v>
          </cell>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cell r="T25">
            <v>0</v>
          </cell>
          <cell r="U25">
            <v>0</v>
          </cell>
          <cell r="V25">
            <v>0</v>
          </cell>
          <cell r="W25">
            <v>0</v>
          </cell>
          <cell r="X25">
            <v>0</v>
          </cell>
          <cell r="Y25">
            <v>0</v>
          </cell>
          <cell r="Z25">
            <v>0</v>
          </cell>
          <cell r="AA25">
            <v>0</v>
          </cell>
          <cell r="AB25">
            <v>0</v>
          </cell>
          <cell r="AC25">
            <v>0</v>
          </cell>
          <cell r="AD25">
            <v>0</v>
          </cell>
          <cell r="AE25">
            <v>0</v>
          </cell>
          <cell r="AF25">
            <v>0</v>
          </cell>
          <cell r="AG25">
            <v>0</v>
          </cell>
          <cell r="AH25">
            <v>0</v>
          </cell>
          <cell r="AI25">
            <v>0</v>
          </cell>
          <cell r="AJ25">
            <v>0</v>
          </cell>
          <cell r="AK25">
            <v>0</v>
          </cell>
          <cell r="AL25">
            <v>0</v>
          </cell>
          <cell r="AM25">
            <v>0</v>
          </cell>
          <cell r="AN25">
            <v>0</v>
          </cell>
          <cell r="AO25">
            <v>0</v>
          </cell>
          <cell r="AP25">
            <v>0</v>
          </cell>
          <cell r="AQ25">
            <v>0</v>
          </cell>
          <cell r="AR25">
            <v>0</v>
          </cell>
          <cell r="AS25">
            <v>0</v>
          </cell>
          <cell r="AT25">
            <v>0</v>
          </cell>
          <cell r="AU25">
            <v>0</v>
          </cell>
          <cell r="AV25">
            <v>0</v>
          </cell>
          <cell r="AW25">
            <v>0</v>
          </cell>
          <cell r="AX25">
            <v>0</v>
          </cell>
          <cell r="AY25">
            <v>0</v>
          </cell>
          <cell r="AZ25">
            <v>0</v>
          </cell>
          <cell r="BA25">
            <v>0</v>
          </cell>
          <cell r="BB25">
            <v>0</v>
          </cell>
          <cell r="BC25">
            <v>0</v>
          </cell>
          <cell r="BD25">
            <v>0</v>
          </cell>
          <cell r="BE25">
            <v>0</v>
          </cell>
          <cell r="BF25">
            <v>0</v>
          </cell>
          <cell r="BG25">
            <v>0</v>
          </cell>
          <cell r="BH25">
            <v>0</v>
          </cell>
          <cell r="BI25">
            <v>0</v>
          </cell>
          <cell r="BJ25">
            <v>0</v>
          </cell>
          <cell r="BK25">
            <v>0</v>
          </cell>
          <cell r="BL25">
            <v>0</v>
          </cell>
          <cell r="BM25">
            <v>0</v>
          </cell>
          <cell r="BN25">
            <v>0</v>
          </cell>
          <cell r="BO25">
            <v>0</v>
          </cell>
          <cell r="BP25">
            <v>0</v>
          </cell>
          <cell r="BQ25">
            <v>0</v>
          </cell>
          <cell r="BR25">
            <v>0</v>
          </cell>
          <cell r="BS25">
            <v>0</v>
          </cell>
          <cell r="BT25">
            <v>0</v>
          </cell>
          <cell r="BU25">
            <v>0</v>
          </cell>
          <cell r="BV25">
            <v>0</v>
          </cell>
          <cell r="BW25">
            <v>0</v>
          </cell>
          <cell r="BX25">
            <v>0</v>
          </cell>
          <cell r="BY25">
            <v>0</v>
          </cell>
          <cell r="BZ25">
            <v>0</v>
          </cell>
          <cell r="CA25">
            <v>0</v>
          </cell>
          <cell r="CB25">
            <v>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v>0</v>
          </cell>
          <cell r="CR25">
            <v>0</v>
          </cell>
          <cell r="CS25">
            <v>0</v>
          </cell>
        </row>
        <row r="26">
          <cell r="A26" t="str">
            <v>F&amp;O</v>
          </cell>
          <cell r="D26" t="str">
            <v>TOTAL HOURS</v>
          </cell>
          <cell r="E26">
            <v>0</v>
          </cell>
          <cell r="F26">
            <v>0</v>
          </cell>
          <cell r="G26">
            <v>0</v>
          </cell>
          <cell r="H26">
            <v>0</v>
          </cell>
          <cell r="I26">
            <v>0</v>
          </cell>
          <cell r="J26">
            <v>0</v>
          </cell>
          <cell r="K26">
            <v>0</v>
          </cell>
          <cell r="L26">
            <v>0</v>
          </cell>
          <cell r="M26">
            <v>0</v>
          </cell>
          <cell r="N26">
            <v>0</v>
          </cell>
          <cell r="O26">
            <v>0</v>
          </cell>
          <cell r="P26">
            <v>0</v>
          </cell>
          <cell r="Q26">
            <v>0</v>
          </cell>
          <cell r="R26">
            <v>0</v>
          </cell>
          <cell r="S26">
            <v>0</v>
          </cell>
          <cell r="T26">
            <v>0</v>
          </cell>
          <cell r="U26">
            <v>0</v>
          </cell>
          <cell r="V26">
            <v>0</v>
          </cell>
          <cell r="W26">
            <v>0</v>
          </cell>
          <cell r="X26">
            <v>0</v>
          </cell>
          <cell r="Y26">
            <v>0</v>
          </cell>
          <cell r="Z26">
            <v>0</v>
          </cell>
          <cell r="AA26">
            <v>0</v>
          </cell>
          <cell r="AB26">
            <v>0</v>
          </cell>
          <cell r="AC26">
            <v>0</v>
          </cell>
          <cell r="AD26">
            <v>0</v>
          </cell>
          <cell r="AE26">
            <v>0</v>
          </cell>
          <cell r="AF26">
            <v>0</v>
          </cell>
          <cell r="AG26">
            <v>0</v>
          </cell>
          <cell r="AH26">
            <v>0</v>
          </cell>
          <cell r="AI26">
            <v>0</v>
          </cell>
          <cell r="AJ26">
            <v>0</v>
          </cell>
          <cell r="AK26">
            <v>0</v>
          </cell>
          <cell r="AL26">
            <v>0</v>
          </cell>
          <cell r="AM26">
            <v>0</v>
          </cell>
          <cell r="AN26">
            <v>0</v>
          </cell>
          <cell r="AO26">
            <v>0</v>
          </cell>
          <cell r="AP26">
            <v>0</v>
          </cell>
          <cell r="AQ26">
            <v>0</v>
          </cell>
          <cell r="AR26">
            <v>0</v>
          </cell>
          <cell r="AS26">
            <v>0</v>
          </cell>
          <cell r="AT26">
            <v>0</v>
          </cell>
          <cell r="AU26">
            <v>0</v>
          </cell>
          <cell r="AV26">
            <v>0</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v>0</v>
          </cell>
          <cell r="CD26">
            <v>0</v>
          </cell>
          <cell r="CE26">
            <v>0</v>
          </cell>
          <cell r="CF26">
            <v>0</v>
          </cell>
          <cell r="CG26">
            <v>0</v>
          </cell>
          <cell r="CH26">
            <v>0</v>
          </cell>
          <cell r="CI26">
            <v>0</v>
          </cell>
          <cell r="CJ26">
            <v>0</v>
          </cell>
          <cell r="CK26">
            <v>0</v>
          </cell>
          <cell r="CL26">
            <v>0</v>
          </cell>
          <cell r="CM26">
            <v>0</v>
          </cell>
          <cell r="CN26">
            <v>0</v>
          </cell>
          <cell r="CO26">
            <v>0</v>
          </cell>
          <cell r="CP26">
            <v>0</v>
          </cell>
          <cell r="CQ26">
            <v>0</v>
          </cell>
          <cell r="CR26">
            <v>0</v>
          </cell>
          <cell r="CS26">
            <v>0</v>
          </cell>
        </row>
        <row r="27">
          <cell r="A27" t="str">
            <v>F&amp;O</v>
          </cell>
          <cell r="C27" t="str">
            <v>Costs+Liens+PLiens = $0</v>
          </cell>
          <cell r="D27" t="str">
            <v>AVG HRLY LBR RATE</v>
          </cell>
          <cell r="E27" t="str">
            <v/>
          </cell>
          <cell r="F27" t="str">
            <v/>
          </cell>
          <cell r="G27" t="str">
            <v/>
          </cell>
          <cell r="H27" t="str">
            <v/>
          </cell>
          <cell r="I27" t="str">
            <v/>
          </cell>
          <cell r="J27" t="str">
            <v/>
          </cell>
          <cell r="K27" t="str">
            <v/>
          </cell>
          <cell r="L27" t="str">
            <v/>
          </cell>
          <cell r="M27" t="str">
            <v/>
          </cell>
          <cell r="N27" t="str">
            <v/>
          </cell>
          <cell r="O27" t="str">
            <v/>
          </cell>
          <cell r="P27" t="str">
            <v/>
          </cell>
          <cell r="Q27" t="str">
            <v/>
          </cell>
          <cell r="R27" t="str">
            <v/>
          </cell>
          <cell r="S27" t="str">
            <v/>
          </cell>
          <cell r="T27" t="str">
            <v/>
          </cell>
          <cell r="U27" t="str">
            <v/>
          </cell>
          <cell r="V27" t="str">
            <v/>
          </cell>
          <cell r="W27" t="str">
            <v/>
          </cell>
          <cell r="X27" t="str">
            <v/>
          </cell>
          <cell r="Y27" t="str">
            <v/>
          </cell>
          <cell r="Z27" t="str">
            <v/>
          </cell>
          <cell r="AA27" t="str">
            <v/>
          </cell>
          <cell r="AB27" t="str">
            <v/>
          </cell>
          <cell r="AC27" t="str">
            <v/>
          </cell>
          <cell r="AD27" t="str">
            <v/>
          </cell>
          <cell r="AE27" t="str">
            <v/>
          </cell>
          <cell r="AF27" t="str">
            <v/>
          </cell>
          <cell r="AG27" t="str">
            <v/>
          </cell>
          <cell r="AH27" t="str">
            <v/>
          </cell>
          <cell r="AI27" t="str">
            <v/>
          </cell>
          <cell r="AJ27" t="str">
            <v/>
          </cell>
          <cell r="AK27" t="str">
            <v/>
          </cell>
          <cell r="AL27" t="str">
            <v/>
          </cell>
          <cell r="AM27" t="str">
            <v/>
          </cell>
          <cell r="AN27" t="str">
            <v/>
          </cell>
          <cell r="AO27" t="str">
            <v/>
          </cell>
          <cell r="AP27" t="str">
            <v/>
          </cell>
          <cell r="AQ27" t="str">
            <v/>
          </cell>
          <cell r="AR27" t="str">
            <v/>
          </cell>
          <cell r="AS27" t="str">
            <v/>
          </cell>
          <cell r="AT27" t="str">
            <v/>
          </cell>
          <cell r="AU27" t="str">
            <v/>
          </cell>
          <cell r="AV27" t="str">
            <v/>
          </cell>
          <cell r="AW27" t="str">
            <v/>
          </cell>
          <cell r="AX27" t="str">
            <v/>
          </cell>
          <cell r="AY27" t="str">
            <v/>
          </cell>
          <cell r="AZ27" t="str">
            <v/>
          </cell>
          <cell r="BA27" t="str">
            <v/>
          </cell>
          <cell r="BB27" t="str">
            <v/>
          </cell>
          <cell r="BC27" t="str">
            <v/>
          </cell>
          <cell r="BD27" t="str">
            <v/>
          </cell>
          <cell r="BE27" t="str">
            <v/>
          </cell>
          <cell r="BF27" t="str">
            <v/>
          </cell>
          <cell r="BG27" t="str">
            <v/>
          </cell>
          <cell r="BH27" t="str">
            <v/>
          </cell>
          <cell r="BI27" t="str">
            <v/>
          </cell>
          <cell r="BJ27" t="str">
            <v/>
          </cell>
          <cell r="BK27" t="str">
            <v/>
          </cell>
          <cell r="BL27" t="str">
            <v/>
          </cell>
          <cell r="BM27" t="str">
            <v/>
          </cell>
          <cell r="BN27" t="str">
            <v/>
          </cell>
          <cell r="BO27" t="str">
            <v/>
          </cell>
          <cell r="BP27" t="str">
            <v/>
          </cell>
          <cell r="BQ27" t="str">
            <v/>
          </cell>
          <cell r="BR27" t="str">
            <v/>
          </cell>
          <cell r="BS27" t="str">
            <v/>
          </cell>
          <cell r="BT27" t="str">
            <v/>
          </cell>
          <cell r="BU27" t="str">
            <v/>
          </cell>
          <cell r="BV27" t="str">
            <v/>
          </cell>
          <cell r="BW27" t="str">
            <v/>
          </cell>
          <cell r="BX27" t="str">
            <v/>
          </cell>
          <cell r="BY27" t="str">
            <v/>
          </cell>
          <cell r="BZ27" t="str">
            <v/>
          </cell>
          <cell r="CA27" t="str">
            <v/>
          </cell>
          <cell r="CB27" t="str">
            <v/>
          </cell>
          <cell r="CC27" t="str">
            <v/>
          </cell>
          <cell r="CD27" t="str">
            <v/>
          </cell>
          <cell r="CE27" t="str">
            <v/>
          </cell>
          <cell r="CF27" t="str">
            <v/>
          </cell>
          <cell r="CG27" t="str">
            <v/>
          </cell>
          <cell r="CH27" t="str">
            <v/>
          </cell>
          <cell r="CI27" t="str">
            <v/>
          </cell>
          <cell r="CJ27" t="str">
            <v/>
          </cell>
          <cell r="CK27" t="str">
            <v/>
          </cell>
          <cell r="CL27" t="str">
            <v/>
          </cell>
          <cell r="CM27" t="str">
            <v/>
          </cell>
          <cell r="CN27" t="str">
            <v/>
          </cell>
          <cell r="CO27" t="str">
            <v/>
          </cell>
          <cell r="CP27" t="str">
            <v/>
          </cell>
          <cell r="CQ27" t="str">
            <v/>
          </cell>
          <cell r="CR27" t="str">
            <v/>
          </cell>
          <cell r="CS27" t="str">
            <v/>
          </cell>
        </row>
        <row r="28">
          <cell r="A28" t="str">
            <v>F&amp;O</v>
          </cell>
          <cell r="B28" t="str">
            <v>Encumbrances = $0</v>
          </cell>
          <cell r="C28" t="str">
            <v>Costs+Encumbrances = $0</v>
          </cell>
          <cell r="D28" t="str">
            <v>NON-LABOR TOTAL</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0</v>
          </cell>
          <cell r="T28">
            <v>0</v>
          </cell>
          <cell r="U28">
            <v>0</v>
          </cell>
          <cell r="V28">
            <v>0</v>
          </cell>
          <cell r="W28">
            <v>0</v>
          </cell>
          <cell r="X28">
            <v>0</v>
          </cell>
          <cell r="Y28">
            <v>0</v>
          </cell>
          <cell r="Z28">
            <v>0</v>
          </cell>
          <cell r="AA28">
            <v>0</v>
          </cell>
          <cell r="AB28">
            <v>0</v>
          </cell>
          <cell r="AC28">
            <v>0</v>
          </cell>
          <cell r="AD28">
            <v>0</v>
          </cell>
          <cell r="AE28">
            <v>0</v>
          </cell>
          <cell r="AF28">
            <v>0</v>
          </cell>
          <cell r="AG28">
            <v>0</v>
          </cell>
          <cell r="AH28">
            <v>0</v>
          </cell>
          <cell r="AI28">
            <v>0</v>
          </cell>
          <cell r="AJ28">
            <v>0</v>
          </cell>
          <cell r="AK28">
            <v>0</v>
          </cell>
          <cell r="AL28">
            <v>0</v>
          </cell>
          <cell r="AM28">
            <v>0</v>
          </cell>
          <cell r="AN28">
            <v>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v>0</v>
          </cell>
          <cell r="CF28">
            <v>0</v>
          </cell>
          <cell r="CG28">
            <v>0</v>
          </cell>
          <cell r="CH28">
            <v>0</v>
          </cell>
          <cell r="CI28">
            <v>0</v>
          </cell>
          <cell r="CJ28">
            <v>0</v>
          </cell>
          <cell r="CK28">
            <v>0</v>
          </cell>
          <cell r="CL28">
            <v>0</v>
          </cell>
          <cell r="CM28">
            <v>0</v>
          </cell>
          <cell r="CN28">
            <v>0</v>
          </cell>
          <cell r="CO28">
            <v>0</v>
          </cell>
          <cell r="CP28">
            <v>0</v>
          </cell>
          <cell r="CQ28">
            <v>0</v>
          </cell>
          <cell r="CR28">
            <v>0</v>
          </cell>
          <cell r="CS28">
            <v>0</v>
          </cell>
        </row>
        <row r="29">
          <cell r="A29" t="str">
            <v>F&amp;O</v>
          </cell>
          <cell r="D29" t="str">
            <v>NON-LABOR RAW</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0</v>
          </cell>
          <cell r="T29">
            <v>0</v>
          </cell>
          <cell r="U29">
            <v>0</v>
          </cell>
          <cell r="V29">
            <v>0</v>
          </cell>
          <cell r="W29">
            <v>0</v>
          </cell>
          <cell r="X29">
            <v>0</v>
          </cell>
          <cell r="Y29">
            <v>0</v>
          </cell>
          <cell r="Z29">
            <v>0</v>
          </cell>
          <cell r="AA29">
            <v>0</v>
          </cell>
          <cell r="AB29">
            <v>0</v>
          </cell>
          <cell r="AC29">
            <v>0</v>
          </cell>
          <cell r="AD29">
            <v>0</v>
          </cell>
          <cell r="AE29">
            <v>0</v>
          </cell>
          <cell r="AF29">
            <v>0</v>
          </cell>
          <cell r="AG29">
            <v>0</v>
          </cell>
          <cell r="AH29">
            <v>0</v>
          </cell>
          <cell r="AI29">
            <v>0</v>
          </cell>
          <cell r="AJ29">
            <v>0</v>
          </cell>
          <cell r="AK29">
            <v>0</v>
          </cell>
          <cell r="AL29">
            <v>0</v>
          </cell>
          <cell r="AM29">
            <v>0</v>
          </cell>
          <cell r="AN29">
            <v>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v>0</v>
          </cell>
          <cell r="CR29">
            <v>0</v>
          </cell>
          <cell r="CS29">
            <v>0</v>
          </cell>
        </row>
        <row r="30">
          <cell r="A30" t="str">
            <v>F&amp;O</v>
          </cell>
          <cell r="D30" t="str">
            <v>TOTAL BURDENED $</v>
          </cell>
          <cell r="E30">
            <v>0</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M30">
            <v>0</v>
          </cell>
          <cell r="AN30">
            <v>0</v>
          </cell>
          <cell r="AO30">
            <v>0</v>
          </cell>
          <cell r="AP30">
            <v>0</v>
          </cell>
          <cell r="AQ30">
            <v>0</v>
          </cell>
          <cell r="AR30">
            <v>0</v>
          </cell>
          <cell r="AS30">
            <v>0</v>
          </cell>
          <cell r="AT30">
            <v>0</v>
          </cell>
          <cell r="AU30">
            <v>0</v>
          </cell>
          <cell r="AV30">
            <v>0</v>
          </cell>
          <cell r="AW30">
            <v>0</v>
          </cell>
          <cell r="AX30">
            <v>0</v>
          </cell>
          <cell r="AY30">
            <v>0</v>
          </cell>
          <cell r="AZ30">
            <v>0</v>
          </cell>
          <cell r="BA30">
            <v>0</v>
          </cell>
          <cell r="BB30">
            <v>0</v>
          </cell>
          <cell r="BC30">
            <v>0</v>
          </cell>
          <cell r="BD30">
            <v>0</v>
          </cell>
          <cell r="BE30">
            <v>0</v>
          </cell>
          <cell r="BF30">
            <v>0</v>
          </cell>
          <cell r="BG30">
            <v>0</v>
          </cell>
          <cell r="BH30">
            <v>0</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v>0</v>
          </cell>
          <cell r="BZ30">
            <v>0</v>
          </cell>
          <cell r="CA30">
            <v>0</v>
          </cell>
          <cell r="CB30">
            <v>0</v>
          </cell>
          <cell r="CC30">
            <v>0</v>
          </cell>
          <cell r="CD30">
            <v>0</v>
          </cell>
          <cell r="CE30">
            <v>0</v>
          </cell>
          <cell r="CF30">
            <v>0</v>
          </cell>
          <cell r="CG30">
            <v>0</v>
          </cell>
          <cell r="CH30">
            <v>0</v>
          </cell>
          <cell r="CI30">
            <v>0</v>
          </cell>
          <cell r="CJ30">
            <v>0</v>
          </cell>
          <cell r="CK30">
            <v>0</v>
          </cell>
          <cell r="CL30">
            <v>0</v>
          </cell>
          <cell r="CM30">
            <v>0</v>
          </cell>
          <cell r="CN30">
            <v>0</v>
          </cell>
          <cell r="CO30">
            <v>0</v>
          </cell>
          <cell r="CP30">
            <v>0</v>
          </cell>
          <cell r="CQ30">
            <v>0</v>
          </cell>
          <cell r="CR30">
            <v>0</v>
          </cell>
          <cell r="CS30">
            <v>0</v>
          </cell>
        </row>
        <row r="31">
          <cell r="BY31" t="str">
            <v>Past ETC</v>
          </cell>
          <cell r="BZ31" t="str">
            <v>ETC</v>
          </cell>
          <cell r="CA31" t="str">
            <v>Total Fcst</v>
          </cell>
          <cell r="CB31" t="str">
            <v>Past ETC</v>
          </cell>
          <cell r="CC31" t="str">
            <v>ETC</v>
          </cell>
          <cell r="CD31" t="str">
            <v>Total Fcst</v>
          </cell>
          <cell r="CE31" t="str">
            <v>Past ETC</v>
          </cell>
          <cell r="CF31" t="str">
            <v>ETC</v>
          </cell>
          <cell r="CG31" t="str">
            <v>Total Fcst</v>
          </cell>
          <cell r="CH31" t="str">
            <v>Past ETC</v>
          </cell>
          <cell r="CI31" t="str">
            <v>ETC</v>
          </cell>
          <cell r="CJ31" t="str">
            <v>Total Fcst</v>
          </cell>
          <cell r="CK31" t="str">
            <v>Past ETC</v>
          </cell>
          <cell r="CL31" t="str">
            <v>ETC</v>
          </cell>
          <cell r="CM31" t="str">
            <v>Total Fcst</v>
          </cell>
          <cell r="CN31" t="str">
            <v>Past ETC</v>
          </cell>
          <cell r="CO31" t="str">
            <v>ETC</v>
          </cell>
          <cell r="CP31" t="str">
            <v>Total Fcst</v>
          </cell>
          <cell r="CQ31" t="str">
            <v>Past ETC</v>
          </cell>
          <cell r="CR31" t="str">
            <v>ETC</v>
          </cell>
          <cell r="CS31" t="str">
            <v>Total Fcst</v>
          </cell>
        </row>
        <row r="32">
          <cell r="BY32" t="str">
            <v/>
          </cell>
        </row>
        <row r="33">
          <cell r="A33" t="str">
            <v>BIO</v>
          </cell>
          <cell r="B33">
            <v>0</v>
          </cell>
          <cell r="C33" t="str">
            <v>EAC = $0</v>
          </cell>
          <cell r="D33" t="str">
            <v>LABOR TOTAL</v>
          </cell>
          <cell r="E33">
            <v>0</v>
          </cell>
          <cell r="F33">
            <v>0</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0</v>
          </cell>
          <cell r="AB33">
            <v>0</v>
          </cell>
          <cell r="AC33">
            <v>0</v>
          </cell>
          <cell r="AD33">
            <v>0</v>
          </cell>
          <cell r="AE33">
            <v>0</v>
          </cell>
          <cell r="AF33">
            <v>0</v>
          </cell>
          <cell r="AG33">
            <v>0</v>
          </cell>
          <cell r="AH33">
            <v>0</v>
          </cell>
          <cell r="AI33">
            <v>0</v>
          </cell>
          <cell r="AJ33">
            <v>0</v>
          </cell>
          <cell r="AK33">
            <v>0</v>
          </cell>
          <cell r="AL33">
            <v>0</v>
          </cell>
          <cell r="AM33">
            <v>0</v>
          </cell>
          <cell r="AN33">
            <v>0</v>
          </cell>
          <cell r="AO33">
            <v>0</v>
          </cell>
          <cell r="AP33">
            <v>0</v>
          </cell>
          <cell r="AQ33">
            <v>0</v>
          </cell>
          <cell r="AR33">
            <v>0</v>
          </cell>
          <cell r="AS33">
            <v>0</v>
          </cell>
          <cell r="AT33">
            <v>0</v>
          </cell>
          <cell r="AU33">
            <v>0</v>
          </cell>
          <cell r="AV33">
            <v>0</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v>0</v>
          </cell>
          <cell r="CD33">
            <v>0</v>
          </cell>
          <cell r="CE33">
            <v>0</v>
          </cell>
          <cell r="CF33">
            <v>0</v>
          </cell>
          <cell r="CG33">
            <v>0</v>
          </cell>
          <cell r="CH33">
            <v>0</v>
          </cell>
          <cell r="CI33">
            <v>0</v>
          </cell>
          <cell r="CJ33">
            <v>0</v>
          </cell>
          <cell r="CK33">
            <v>0</v>
          </cell>
          <cell r="CL33">
            <v>0</v>
          </cell>
          <cell r="CM33">
            <v>0</v>
          </cell>
          <cell r="CN33">
            <v>0</v>
          </cell>
          <cell r="CO33">
            <v>0</v>
          </cell>
          <cell r="CP33">
            <v>0</v>
          </cell>
          <cell r="CQ33">
            <v>0</v>
          </cell>
          <cell r="CR33">
            <v>0</v>
          </cell>
          <cell r="CS33">
            <v>0</v>
          </cell>
        </row>
        <row r="34">
          <cell r="A34" t="str">
            <v>BIO</v>
          </cell>
          <cell r="C34" t="str">
            <v>XXXX3</v>
          </cell>
          <cell r="D34" t="str">
            <v>TOTAL SALARY $</v>
          </cell>
          <cell r="E34">
            <v>0</v>
          </cell>
          <cell r="F34">
            <v>0</v>
          </cell>
          <cell r="G34">
            <v>0</v>
          </cell>
          <cell r="H34">
            <v>0</v>
          </cell>
          <cell r="I34">
            <v>0</v>
          </cell>
          <cell r="J34">
            <v>0</v>
          </cell>
          <cell r="K34">
            <v>0</v>
          </cell>
          <cell r="L34">
            <v>0</v>
          </cell>
          <cell r="M34">
            <v>0</v>
          </cell>
          <cell r="N34">
            <v>0</v>
          </cell>
          <cell r="O34">
            <v>0</v>
          </cell>
          <cell r="P34">
            <v>0</v>
          </cell>
          <cell r="Q34">
            <v>0</v>
          </cell>
          <cell r="R34">
            <v>0</v>
          </cell>
          <cell r="S34">
            <v>0</v>
          </cell>
          <cell r="T34">
            <v>0</v>
          </cell>
          <cell r="U34">
            <v>0</v>
          </cell>
          <cell r="V34">
            <v>0</v>
          </cell>
          <cell r="W34">
            <v>0</v>
          </cell>
          <cell r="X34">
            <v>0</v>
          </cell>
          <cell r="Y34">
            <v>0</v>
          </cell>
          <cell r="Z34">
            <v>0</v>
          </cell>
          <cell r="AA34">
            <v>0</v>
          </cell>
          <cell r="AB34">
            <v>0</v>
          </cell>
          <cell r="AC34">
            <v>0</v>
          </cell>
          <cell r="AD34">
            <v>0</v>
          </cell>
          <cell r="AE34">
            <v>0</v>
          </cell>
          <cell r="AF34">
            <v>0</v>
          </cell>
          <cell r="AG34">
            <v>0</v>
          </cell>
          <cell r="AH34">
            <v>0</v>
          </cell>
          <cell r="AI34">
            <v>0</v>
          </cell>
          <cell r="AJ34">
            <v>0</v>
          </cell>
          <cell r="AK34">
            <v>0</v>
          </cell>
          <cell r="AL34">
            <v>0</v>
          </cell>
          <cell r="AM34">
            <v>0</v>
          </cell>
          <cell r="AN34">
            <v>0</v>
          </cell>
          <cell r="AO34">
            <v>0</v>
          </cell>
          <cell r="AP34">
            <v>0</v>
          </cell>
          <cell r="AQ34">
            <v>0</v>
          </cell>
          <cell r="AR34">
            <v>0</v>
          </cell>
          <cell r="AS34">
            <v>0</v>
          </cell>
          <cell r="AT34">
            <v>0</v>
          </cell>
          <cell r="AU34">
            <v>0</v>
          </cell>
          <cell r="AV34">
            <v>0</v>
          </cell>
          <cell r="AW34">
            <v>0</v>
          </cell>
          <cell r="AX34">
            <v>0</v>
          </cell>
          <cell r="AY34">
            <v>0</v>
          </cell>
          <cell r="AZ34">
            <v>0</v>
          </cell>
          <cell r="BA34">
            <v>0</v>
          </cell>
          <cell r="BB34">
            <v>0</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v>0</v>
          </cell>
          <cell r="BV34">
            <v>0</v>
          </cell>
          <cell r="BW34">
            <v>0</v>
          </cell>
          <cell r="BX34">
            <v>0</v>
          </cell>
          <cell r="BY34">
            <v>0</v>
          </cell>
          <cell r="BZ34">
            <v>0</v>
          </cell>
          <cell r="CA34">
            <v>0</v>
          </cell>
          <cell r="CB34">
            <v>0</v>
          </cell>
          <cell r="CC34">
            <v>0</v>
          </cell>
          <cell r="CD34">
            <v>0</v>
          </cell>
          <cell r="CE34">
            <v>0</v>
          </cell>
          <cell r="CF34">
            <v>0</v>
          </cell>
          <cell r="CG34">
            <v>0</v>
          </cell>
          <cell r="CH34">
            <v>0</v>
          </cell>
          <cell r="CI34">
            <v>0</v>
          </cell>
          <cell r="CJ34">
            <v>0</v>
          </cell>
          <cell r="CK34">
            <v>0</v>
          </cell>
          <cell r="CL34">
            <v>0</v>
          </cell>
          <cell r="CM34">
            <v>0</v>
          </cell>
          <cell r="CN34">
            <v>0</v>
          </cell>
          <cell r="CO34">
            <v>0</v>
          </cell>
          <cell r="CP34">
            <v>0</v>
          </cell>
          <cell r="CQ34">
            <v>0</v>
          </cell>
          <cell r="CR34">
            <v>0</v>
          </cell>
          <cell r="CS34">
            <v>0</v>
          </cell>
        </row>
        <row r="35">
          <cell r="A35" t="str">
            <v>BIO</v>
          </cell>
          <cell r="D35" t="str">
            <v>TOTAL FTE</v>
          </cell>
          <cell r="E35">
            <v>0</v>
          </cell>
          <cell r="F35">
            <v>0</v>
          </cell>
          <cell r="G35">
            <v>0</v>
          </cell>
          <cell r="H35">
            <v>0</v>
          </cell>
          <cell r="I35">
            <v>0</v>
          </cell>
          <cell r="J35">
            <v>0</v>
          </cell>
          <cell r="K35">
            <v>0</v>
          </cell>
          <cell r="L35">
            <v>0</v>
          </cell>
          <cell r="M35">
            <v>0</v>
          </cell>
          <cell r="N35">
            <v>0</v>
          </cell>
          <cell r="O35">
            <v>0</v>
          </cell>
          <cell r="P35">
            <v>0</v>
          </cell>
          <cell r="Q35">
            <v>0</v>
          </cell>
          <cell r="R35">
            <v>0</v>
          </cell>
          <cell r="S35">
            <v>0</v>
          </cell>
          <cell r="T35">
            <v>0</v>
          </cell>
          <cell r="U35">
            <v>0</v>
          </cell>
          <cell r="V35">
            <v>0</v>
          </cell>
          <cell r="W35">
            <v>0</v>
          </cell>
          <cell r="X35">
            <v>0</v>
          </cell>
          <cell r="Y35">
            <v>0</v>
          </cell>
          <cell r="Z35">
            <v>0</v>
          </cell>
          <cell r="AA35">
            <v>0</v>
          </cell>
          <cell r="AB35">
            <v>0</v>
          </cell>
          <cell r="AC35">
            <v>0</v>
          </cell>
          <cell r="AD35">
            <v>0</v>
          </cell>
          <cell r="AE35">
            <v>0</v>
          </cell>
          <cell r="AF35">
            <v>0</v>
          </cell>
          <cell r="AG35">
            <v>0</v>
          </cell>
          <cell r="AH35">
            <v>0</v>
          </cell>
          <cell r="AI35">
            <v>0</v>
          </cell>
          <cell r="AJ35">
            <v>0</v>
          </cell>
          <cell r="AK35">
            <v>0</v>
          </cell>
          <cell r="AL35">
            <v>0</v>
          </cell>
          <cell r="AM35">
            <v>0</v>
          </cell>
          <cell r="AN35">
            <v>0</v>
          </cell>
          <cell r="AO35">
            <v>0</v>
          </cell>
          <cell r="AP35">
            <v>0</v>
          </cell>
          <cell r="AQ35">
            <v>0</v>
          </cell>
          <cell r="AR35">
            <v>0</v>
          </cell>
          <cell r="AS35">
            <v>0</v>
          </cell>
          <cell r="AT35">
            <v>0</v>
          </cell>
          <cell r="AU35">
            <v>0</v>
          </cell>
          <cell r="AV35">
            <v>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cell r="BX35">
            <v>0</v>
          </cell>
          <cell r="BY35">
            <v>0</v>
          </cell>
          <cell r="BZ35">
            <v>0</v>
          </cell>
          <cell r="CA35">
            <v>0</v>
          </cell>
          <cell r="CB35">
            <v>0</v>
          </cell>
          <cell r="CC35">
            <v>0</v>
          </cell>
          <cell r="CD35">
            <v>0</v>
          </cell>
          <cell r="CE35">
            <v>0</v>
          </cell>
          <cell r="CF35">
            <v>0</v>
          </cell>
          <cell r="CG35">
            <v>0</v>
          </cell>
          <cell r="CH35">
            <v>0</v>
          </cell>
          <cell r="CI35">
            <v>0</v>
          </cell>
          <cell r="CJ35">
            <v>0</v>
          </cell>
          <cell r="CK35">
            <v>0</v>
          </cell>
          <cell r="CL35">
            <v>0</v>
          </cell>
          <cell r="CM35">
            <v>0</v>
          </cell>
          <cell r="CN35">
            <v>0</v>
          </cell>
          <cell r="CO35">
            <v>0</v>
          </cell>
          <cell r="CP35">
            <v>0</v>
          </cell>
          <cell r="CQ35">
            <v>0</v>
          </cell>
          <cell r="CR35">
            <v>0</v>
          </cell>
          <cell r="CS35">
            <v>0</v>
          </cell>
        </row>
        <row r="36">
          <cell r="A36" t="str">
            <v>BIO</v>
          </cell>
          <cell r="D36" t="str">
            <v>TOTAL HOURS</v>
          </cell>
          <cell r="E36">
            <v>0</v>
          </cell>
          <cell r="F36">
            <v>0</v>
          </cell>
          <cell r="G36">
            <v>0</v>
          </cell>
          <cell r="H36">
            <v>0</v>
          </cell>
          <cell r="I36">
            <v>0</v>
          </cell>
          <cell r="J36">
            <v>0</v>
          </cell>
          <cell r="K36">
            <v>0</v>
          </cell>
          <cell r="L36">
            <v>0</v>
          </cell>
          <cell r="M36">
            <v>0</v>
          </cell>
          <cell r="N36">
            <v>0</v>
          </cell>
          <cell r="O36">
            <v>0</v>
          </cell>
          <cell r="P36">
            <v>0</v>
          </cell>
          <cell r="Q36">
            <v>0</v>
          </cell>
          <cell r="R36">
            <v>0</v>
          </cell>
          <cell r="S36">
            <v>0</v>
          </cell>
          <cell r="T36">
            <v>0</v>
          </cell>
          <cell r="U36">
            <v>0</v>
          </cell>
          <cell r="V36">
            <v>0</v>
          </cell>
          <cell r="W36">
            <v>0</v>
          </cell>
          <cell r="X36">
            <v>0</v>
          </cell>
          <cell r="Y36">
            <v>0</v>
          </cell>
          <cell r="Z36">
            <v>0</v>
          </cell>
          <cell r="AA36">
            <v>0</v>
          </cell>
          <cell r="AB36">
            <v>0</v>
          </cell>
          <cell r="AC36">
            <v>0</v>
          </cell>
          <cell r="AD36">
            <v>0</v>
          </cell>
          <cell r="AE36">
            <v>0</v>
          </cell>
          <cell r="AF36">
            <v>0</v>
          </cell>
          <cell r="AG36">
            <v>0</v>
          </cell>
          <cell r="AH36">
            <v>0</v>
          </cell>
          <cell r="AI36">
            <v>0</v>
          </cell>
          <cell r="AJ36">
            <v>0</v>
          </cell>
          <cell r="AK36">
            <v>0</v>
          </cell>
          <cell r="AL36">
            <v>0</v>
          </cell>
          <cell r="AM36">
            <v>0</v>
          </cell>
          <cell r="AN36">
            <v>0</v>
          </cell>
          <cell r="AO36">
            <v>0</v>
          </cell>
          <cell r="AP36">
            <v>0</v>
          </cell>
          <cell r="AQ36">
            <v>0</v>
          </cell>
          <cell r="AR36">
            <v>0</v>
          </cell>
          <cell r="AS36">
            <v>0</v>
          </cell>
          <cell r="AT36">
            <v>0</v>
          </cell>
          <cell r="AU36">
            <v>0</v>
          </cell>
          <cell r="AV36">
            <v>0</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v>0</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v>0</v>
          </cell>
          <cell r="CR36">
            <v>0</v>
          </cell>
          <cell r="CS36">
            <v>0</v>
          </cell>
        </row>
        <row r="37">
          <cell r="A37" t="str">
            <v>BIO</v>
          </cell>
          <cell r="C37" t="str">
            <v>Costs+Liens+PLiens = $0</v>
          </cell>
          <cell r="D37" t="str">
            <v>AVG HRLY LBR RATE</v>
          </cell>
          <cell r="E37" t="str">
            <v/>
          </cell>
          <cell r="F37" t="str">
            <v/>
          </cell>
          <cell r="G37" t="str">
            <v/>
          </cell>
          <cell r="H37" t="str">
            <v/>
          </cell>
          <cell r="I37" t="str">
            <v/>
          </cell>
          <cell r="J37" t="str">
            <v/>
          </cell>
          <cell r="K37" t="str">
            <v/>
          </cell>
          <cell r="L37" t="str">
            <v/>
          </cell>
          <cell r="M37" t="str">
            <v/>
          </cell>
          <cell r="N37" t="str">
            <v/>
          </cell>
          <cell r="O37" t="str">
            <v/>
          </cell>
          <cell r="P37" t="str">
            <v/>
          </cell>
          <cell r="Q37" t="str">
            <v/>
          </cell>
          <cell r="R37" t="str">
            <v/>
          </cell>
          <cell r="S37" t="str">
            <v/>
          </cell>
          <cell r="T37" t="str">
            <v/>
          </cell>
          <cell r="U37" t="str">
            <v/>
          </cell>
          <cell r="V37" t="str">
            <v/>
          </cell>
          <cell r="W37" t="str">
            <v/>
          </cell>
          <cell r="X37" t="str">
            <v/>
          </cell>
          <cell r="Y37" t="str">
            <v/>
          </cell>
          <cell r="Z37" t="str">
            <v/>
          </cell>
          <cell r="AA37" t="str">
            <v/>
          </cell>
          <cell r="AB37" t="str">
            <v/>
          </cell>
          <cell r="AC37" t="str">
            <v/>
          </cell>
          <cell r="AD37" t="str">
            <v/>
          </cell>
          <cell r="AE37" t="str">
            <v/>
          </cell>
          <cell r="AF37" t="str">
            <v/>
          </cell>
          <cell r="AG37" t="str">
            <v/>
          </cell>
          <cell r="AH37" t="str">
            <v/>
          </cell>
          <cell r="AI37" t="str">
            <v/>
          </cell>
          <cell r="AJ37" t="str">
            <v/>
          </cell>
          <cell r="AK37" t="str">
            <v/>
          </cell>
          <cell r="AL37" t="str">
            <v/>
          </cell>
          <cell r="AM37" t="str">
            <v/>
          </cell>
          <cell r="AN37" t="str">
            <v/>
          </cell>
          <cell r="AO37" t="str">
            <v/>
          </cell>
          <cell r="AP37" t="str">
            <v/>
          </cell>
          <cell r="AQ37" t="str">
            <v/>
          </cell>
          <cell r="AR37" t="str">
            <v/>
          </cell>
          <cell r="AS37" t="str">
            <v/>
          </cell>
          <cell r="AT37" t="str">
            <v/>
          </cell>
          <cell r="AU37" t="str">
            <v/>
          </cell>
          <cell r="AV37" t="str">
            <v/>
          </cell>
          <cell r="AW37" t="str">
            <v/>
          </cell>
          <cell r="AX37" t="str">
            <v/>
          </cell>
          <cell r="AY37" t="str">
            <v/>
          </cell>
          <cell r="AZ37" t="str">
            <v/>
          </cell>
          <cell r="BA37" t="str">
            <v/>
          </cell>
          <cell r="BB37" t="str">
            <v/>
          </cell>
          <cell r="BC37" t="str">
            <v/>
          </cell>
          <cell r="BD37" t="str">
            <v/>
          </cell>
          <cell r="BE37" t="str">
            <v/>
          </cell>
          <cell r="BF37" t="str">
            <v/>
          </cell>
          <cell r="BG37" t="str">
            <v/>
          </cell>
          <cell r="BH37" t="str">
            <v/>
          </cell>
          <cell r="BI37" t="str">
            <v/>
          </cell>
          <cell r="BJ37" t="str">
            <v/>
          </cell>
          <cell r="BK37" t="str">
            <v/>
          </cell>
          <cell r="BL37" t="str">
            <v/>
          </cell>
          <cell r="BM37" t="str">
            <v/>
          </cell>
          <cell r="BN37" t="str">
            <v/>
          </cell>
          <cell r="BO37" t="str">
            <v/>
          </cell>
          <cell r="BP37" t="str">
            <v/>
          </cell>
          <cell r="BQ37" t="str">
            <v/>
          </cell>
          <cell r="BR37" t="str">
            <v/>
          </cell>
          <cell r="BS37" t="str">
            <v/>
          </cell>
          <cell r="BT37" t="str">
            <v/>
          </cell>
          <cell r="BU37" t="str">
            <v/>
          </cell>
          <cell r="BV37" t="str">
            <v/>
          </cell>
          <cell r="BW37" t="str">
            <v/>
          </cell>
          <cell r="BX37" t="str">
            <v/>
          </cell>
          <cell r="BY37" t="str">
            <v/>
          </cell>
          <cell r="BZ37" t="str">
            <v/>
          </cell>
          <cell r="CA37" t="str">
            <v/>
          </cell>
          <cell r="CB37" t="str">
            <v/>
          </cell>
          <cell r="CC37" t="str">
            <v/>
          </cell>
          <cell r="CD37" t="str">
            <v/>
          </cell>
          <cell r="CE37" t="str">
            <v/>
          </cell>
          <cell r="CF37" t="str">
            <v/>
          </cell>
          <cell r="CG37" t="str">
            <v/>
          </cell>
          <cell r="CH37" t="str">
            <v/>
          </cell>
          <cell r="CI37" t="str">
            <v/>
          </cell>
          <cell r="CJ37" t="str">
            <v/>
          </cell>
          <cell r="CK37" t="str">
            <v/>
          </cell>
          <cell r="CL37" t="str">
            <v/>
          </cell>
          <cell r="CM37" t="str">
            <v/>
          </cell>
          <cell r="CN37" t="str">
            <v/>
          </cell>
          <cell r="CO37" t="str">
            <v/>
          </cell>
          <cell r="CP37" t="str">
            <v/>
          </cell>
          <cell r="CQ37" t="str">
            <v/>
          </cell>
          <cell r="CR37" t="str">
            <v/>
          </cell>
          <cell r="CS37" t="str">
            <v/>
          </cell>
        </row>
        <row r="38">
          <cell r="A38" t="str">
            <v>BIO</v>
          </cell>
          <cell r="B38" t="str">
            <v>Encumbrances = $0</v>
          </cell>
          <cell r="C38" t="str">
            <v>Costs+Encumbrances = $0</v>
          </cell>
          <cell r="D38" t="str">
            <v>NON-LABOR TOTAL</v>
          </cell>
          <cell r="E38">
            <v>0</v>
          </cell>
          <cell r="F38">
            <v>0</v>
          </cell>
          <cell r="G38">
            <v>0</v>
          </cell>
          <cell r="H38">
            <v>0</v>
          </cell>
          <cell r="I38">
            <v>0</v>
          </cell>
          <cell r="J38">
            <v>0</v>
          </cell>
          <cell r="K38">
            <v>0</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0</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0</v>
          </cell>
          <cell r="AQ38">
            <v>0</v>
          </cell>
          <cell r="AR38">
            <v>0</v>
          </cell>
          <cell r="AS38">
            <v>0</v>
          </cell>
          <cell r="AT38">
            <v>0</v>
          </cell>
          <cell r="AU38">
            <v>0</v>
          </cell>
          <cell r="AV38">
            <v>0</v>
          </cell>
          <cell r="AW38">
            <v>0</v>
          </cell>
          <cell r="AX38">
            <v>0</v>
          </cell>
          <cell r="AY38">
            <v>0</v>
          </cell>
          <cell r="AZ38">
            <v>0</v>
          </cell>
          <cell r="BA38">
            <v>0</v>
          </cell>
          <cell r="BB38">
            <v>0</v>
          </cell>
          <cell r="BC38">
            <v>0</v>
          </cell>
          <cell r="BD38">
            <v>0</v>
          </cell>
          <cell r="BE38">
            <v>0</v>
          </cell>
          <cell r="BF38">
            <v>0</v>
          </cell>
          <cell r="BG38">
            <v>0</v>
          </cell>
          <cell r="BH38">
            <v>0</v>
          </cell>
          <cell r="BI38">
            <v>0</v>
          </cell>
          <cell r="BJ38">
            <v>0</v>
          </cell>
          <cell r="BK38">
            <v>0</v>
          </cell>
          <cell r="BL38">
            <v>0</v>
          </cell>
          <cell r="BM38">
            <v>0</v>
          </cell>
          <cell r="BN38">
            <v>0</v>
          </cell>
          <cell r="BO38">
            <v>0</v>
          </cell>
          <cell r="BP38">
            <v>0</v>
          </cell>
          <cell r="BQ38">
            <v>0</v>
          </cell>
          <cell r="BR38">
            <v>0</v>
          </cell>
          <cell r="BS38">
            <v>0</v>
          </cell>
          <cell r="BT38">
            <v>0</v>
          </cell>
          <cell r="BU38">
            <v>0</v>
          </cell>
          <cell r="BV38">
            <v>0</v>
          </cell>
          <cell r="BW38">
            <v>0</v>
          </cell>
          <cell r="BX38">
            <v>0</v>
          </cell>
          <cell r="BY38">
            <v>0</v>
          </cell>
          <cell r="BZ38">
            <v>0</v>
          </cell>
          <cell r="CA38">
            <v>0</v>
          </cell>
          <cell r="CB38">
            <v>0</v>
          </cell>
          <cell r="CC38">
            <v>0</v>
          </cell>
          <cell r="CD38">
            <v>0</v>
          </cell>
          <cell r="CE38">
            <v>0</v>
          </cell>
          <cell r="CF38">
            <v>0</v>
          </cell>
          <cell r="CG38">
            <v>0</v>
          </cell>
          <cell r="CH38">
            <v>0</v>
          </cell>
          <cell r="CI38">
            <v>0</v>
          </cell>
          <cell r="CJ38">
            <v>0</v>
          </cell>
          <cell r="CK38">
            <v>0</v>
          </cell>
          <cell r="CL38">
            <v>0</v>
          </cell>
          <cell r="CM38">
            <v>0</v>
          </cell>
          <cell r="CN38">
            <v>0</v>
          </cell>
          <cell r="CO38">
            <v>0</v>
          </cell>
          <cell r="CP38">
            <v>0</v>
          </cell>
          <cell r="CQ38">
            <v>0</v>
          </cell>
          <cell r="CR38">
            <v>0</v>
          </cell>
          <cell r="CS38">
            <v>0</v>
          </cell>
        </row>
        <row r="39">
          <cell r="A39" t="str">
            <v>BIO</v>
          </cell>
          <cell r="D39" t="str">
            <v>NON-LABOR RAW</v>
          </cell>
          <cell r="E39">
            <v>0</v>
          </cell>
          <cell r="F39">
            <v>0</v>
          </cell>
          <cell r="G39">
            <v>0</v>
          </cell>
          <cell r="H39">
            <v>0</v>
          </cell>
          <cell r="I39">
            <v>0</v>
          </cell>
          <cell r="J39">
            <v>0</v>
          </cell>
          <cell r="K39">
            <v>0</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0</v>
          </cell>
          <cell r="AQ39">
            <v>0</v>
          </cell>
          <cell r="AR39">
            <v>0</v>
          </cell>
          <cell r="AS39">
            <v>0</v>
          </cell>
          <cell r="AT39">
            <v>0</v>
          </cell>
          <cell r="AU39">
            <v>0</v>
          </cell>
          <cell r="AV39">
            <v>0</v>
          </cell>
          <cell r="AW39">
            <v>0</v>
          </cell>
          <cell r="AX39">
            <v>0</v>
          </cell>
          <cell r="AY39">
            <v>0</v>
          </cell>
          <cell r="AZ39">
            <v>0</v>
          </cell>
          <cell r="BA39">
            <v>0</v>
          </cell>
          <cell r="BB39">
            <v>0</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v>0</v>
          </cell>
          <cell r="CB39">
            <v>0</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v>0</v>
          </cell>
          <cell r="CR39">
            <v>0</v>
          </cell>
          <cell r="CS39">
            <v>0</v>
          </cell>
        </row>
        <row r="40">
          <cell r="A40" t="str">
            <v>BIO</v>
          </cell>
          <cell r="D40" t="str">
            <v>TOTAL BURDENED $</v>
          </cell>
          <cell r="E40">
            <v>0</v>
          </cell>
          <cell r="F40">
            <v>0</v>
          </cell>
          <cell r="G40">
            <v>0</v>
          </cell>
          <cell r="H40">
            <v>0</v>
          </cell>
          <cell r="I40">
            <v>0</v>
          </cell>
          <cell r="J40">
            <v>0</v>
          </cell>
          <cell r="K40">
            <v>0</v>
          </cell>
          <cell r="L40">
            <v>0</v>
          </cell>
          <cell r="M40">
            <v>0</v>
          </cell>
          <cell r="N40">
            <v>0</v>
          </cell>
          <cell r="O40">
            <v>0</v>
          </cell>
          <cell r="P40">
            <v>0</v>
          </cell>
          <cell r="Q40">
            <v>0</v>
          </cell>
          <cell r="R40">
            <v>0</v>
          </cell>
          <cell r="S40">
            <v>0</v>
          </cell>
          <cell r="T40">
            <v>0</v>
          </cell>
          <cell r="U40">
            <v>0</v>
          </cell>
          <cell r="V40">
            <v>0</v>
          </cell>
          <cell r="W40">
            <v>0</v>
          </cell>
          <cell r="X40">
            <v>0</v>
          </cell>
          <cell r="Y40">
            <v>0</v>
          </cell>
          <cell r="Z40">
            <v>0</v>
          </cell>
          <cell r="AA40">
            <v>0</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0</v>
          </cell>
          <cell r="AQ40">
            <v>0</v>
          </cell>
          <cell r="AR40">
            <v>0</v>
          </cell>
          <cell r="AS40">
            <v>0</v>
          </cell>
          <cell r="AT40">
            <v>0</v>
          </cell>
          <cell r="AU40">
            <v>0</v>
          </cell>
          <cell r="AV40">
            <v>0</v>
          </cell>
          <cell r="AW40">
            <v>0</v>
          </cell>
          <cell r="AX40">
            <v>0</v>
          </cell>
          <cell r="AY40">
            <v>0</v>
          </cell>
          <cell r="AZ40">
            <v>0</v>
          </cell>
          <cell r="BA40">
            <v>0</v>
          </cell>
          <cell r="BB40">
            <v>0</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v>0</v>
          </cell>
          <cell r="BZ40">
            <v>0</v>
          </cell>
          <cell r="CA40">
            <v>0</v>
          </cell>
          <cell r="CB40">
            <v>0</v>
          </cell>
          <cell r="CC40">
            <v>0</v>
          </cell>
          <cell r="CD40">
            <v>0</v>
          </cell>
          <cell r="CE40">
            <v>0</v>
          </cell>
          <cell r="CF40">
            <v>0</v>
          </cell>
          <cell r="CG40">
            <v>0</v>
          </cell>
          <cell r="CH40">
            <v>0</v>
          </cell>
          <cell r="CI40">
            <v>0</v>
          </cell>
          <cell r="CJ40">
            <v>0</v>
          </cell>
          <cell r="CK40">
            <v>0</v>
          </cell>
          <cell r="CL40">
            <v>0</v>
          </cell>
          <cell r="CM40">
            <v>0</v>
          </cell>
          <cell r="CN40">
            <v>0</v>
          </cell>
          <cell r="CO40">
            <v>0</v>
          </cell>
          <cell r="CP40">
            <v>0</v>
          </cell>
          <cell r="CQ40">
            <v>0</v>
          </cell>
          <cell r="CR40">
            <v>0</v>
          </cell>
          <cell r="CS40">
            <v>0</v>
          </cell>
        </row>
        <row r="41">
          <cell r="BY41" t="str">
            <v>Past ETC</v>
          </cell>
          <cell r="BZ41" t="str">
            <v>ETC</v>
          </cell>
          <cell r="CA41" t="str">
            <v>Total Fcst</v>
          </cell>
          <cell r="CB41" t="str">
            <v>Past ETC</v>
          </cell>
          <cell r="CC41" t="str">
            <v>ETC</v>
          </cell>
          <cell r="CD41" t="str">
            <v>Total Fcst</v>
          </cell>
          <cell r="CE41" t="str">
            <v>Past ETC</v>
          </cell>
          <cell r="CF41" t="str">
            <v>ETC</v>
          </cell>
          <cell r="CG41" t="str">
            <v>Total Fcst</v>
          </cell>
          <cell r="CH41" t="str">
            <v>Past ETC</v>
          </cell>
          <cell r="CI41" t="str">
            <v>ETC</v>
          </cell>
          <cell r="CJ41" t="str">
            <v>Total Fcst</v>
          </cell>
          <cell r="CK41" t="str">
            <v>Past ETC</v>
          </cell>
          <cell r="CL41" t="str">
            <v>ETC</v>
          </cell>
          <cell r="CM41" t="str">
            <v>Total Fcst</v>
          </cell>
          <cell r="CN41" t="str">
            <v>Past ETC</v>
          </cell>
          <cell r="CO41" t="str">
            <v>ETC</v>
          </cell>
          <cell r="CP41" t="str">
            <v>Total Fcst</v>
          </cell>
          <cell r="CQ41" t="str">
            <v>Past ETC</v>
          </cell>
          <cell r="CR41" t="str">
            <v>ETC</v>
          </cell>
          <cell r="CS41" t="str">
            <v>Total Fcst</v>
          </cell>
        </row>
        <row r="42">
          <cell r="BY42">
            <v>0</v>
          </cell>
          <cell r="BZ42">
            <v>0</v>
          </cell>
          <cell r="CA42">
            <v>0</v>
          </cell>
          <cell r="CB42">
            <v>0</v>
          </cell>
          <cell r="CC42">
            <v>0</v>
          </cell>
          <cell r="CD42">
            <v>0</v>
          </cell>
          <cell r="CE42">
            <v>0</v>
          </cell>
          <cell r="CF42">
            <v>0</v>
          </cell>
          <cell r="CG42">
            <v>0</v>
          </cell>
          <cell r="CH42">
            <v>0</v>
          </cell>
          <cell r="CI42">
            <v>0</v>
          </cell>
          <cell r="CJ42">
            <v>0</v>
          </cell>
          <cell r="CK42">
            <v>0</v>
          </cell>
          <cell r="CL42">
            <v>0</v>
          </cell>
          <cell r="CM42">
            <v>0</v>
          </cell>
          <cell r="CN42">
            <v>0</v>
          </cell>
          <cell r="CO42">
            <v>0</v>
          </cell>
          <cell r="CP42">
            <v>0</v>
          </cell>
          <cell r="CQ42">
            <v>0</v>
          </cell>
          <cell r="CR42">
            <v>0</v>
          </cell>
          <cell r="CS42">
            <v>0</v>
          </cell>
        </row>
        <row r="43">
          <cell r="BY43" t="str">
            <v/>
          </cell>
        </row>
        <row r="44">
          <cell r="A44" t="str">
            <v xml:space="preserve">ES&amp;H </v>
          </cell>
          <cell r="B44" t="str">
            <v xml:space="preserve">ES&amp;H </v>
          </cell>
          <cell r="C44" t="str">
            <v>EAC = $0</v>
          </cell>
          <cell r="D44" t="str">
            <v>LABOR TOTAL</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0</v>
          </cell>
          <cell r="AQ44">
            <v>0</v>
          </cell>
          <cell r="AR44">
            <v>0</v>
          </cell>
          <cell r="AS44">
            <v>0</v>
          </cell>
          <cell r="AT44">
            <v>0</v>
          </cell>
          <cell r="AU44">
            <v>0</v>
          </cell>
          <cell r="AV44">
            <v>0</v>
          </cell>
          <cell r="AW44">
            <v>0</v>
          </cell>
          <cell r="AX44">
            <v>0</v>
          </cell>
          <cell r="AY44">
            <v>0</v>
          </cell>
          <cell r="AZ44">
            <v>0</v>
          </cell>
          <cell r="BA44">
            <v>0</v>
          </cell>
          <cell r="BB44">
            <v>0</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cell r="CD44">
            <v>0</v>
          </cell>
          <cell r="CE44">
            <v>0</v>
          </cell>
          <cell r="CF44">
            <v>0</v>
          </cell>
          <cell r="CG44">
            <v>0</v>
          </cell>
          <cell r="CH44">
            <v>0</v>
          </cell>
          <cell r="CI44">
            <v>0</v>
          </cell>
          <cell r="CJ44">
            <v>0</v>
          </cell>
          <cell r="CK44">
            <v>0</v>
          </cell>
          <cell r="CL44">
            <v>0</v>
          </cell>
          <cell r="CM44">
            <v>0</v>
          </cell>
          <cell r="CN44">
            <v>0</v>
          </cell>
          <cell r="CO44">
            <v>0</v>
          </cell>
          <cell r="CP44">
            <v>0</v>
          </cell>
          <cell r="CQ44">
            <v>0</v>
          </cell>
          <cell r="CR44">
            <v>0</v>
          </cell>
          <cell r="CS44">
            <v>0</v>
          </cell>
        </row>
        <row r="45">
          <cell r="A45" t="str">
            <v xml:space="preserve">ES&amp;H </v>
          </cell>
          <cell r="C45" t="str">
            <v>XXXX4</v>
          </cell>
          <cell r="D45" t="str">
            <v>TOTAL SALARY $</v>
          </cell>
          <cell r="E45">
            <v>0</v>
          </cell>
          <cell r="F45">
            <v>0</v>
          </cell>
          <cell r="G45">
            <v>0</v>
          </cell>
          <cell r="H45">
            <v>0</v>
          </cell>
          <cell r="I45">
            <v>0</v>
          </cell>
          <cell r="J45">
            <v>0</v>
          </cell>
          <cell r="K45">
            <v>0</v>
          </cell>
          <cell r="L45">
            <v>0</v>
          </cell>
          <cell r="M45">
            <v>0</v>
          </cell>
          <cell r="N45">
            <v>0</v>
          </cell>
          <cell r="O45">
            <v>0</v>
          </cell>
          <cell r="P45">
            <v>0</v>
          </cell>
          <cell r="Q45">
            <v>0</v>
          </cell>
          <cell r="R45">
            <v>0</v>
          </cell>
          <cell r="S45">
            <v>0</v>
          </cell>
          <cell r="T45">
            <v>0</v>
          </cell>
          <cell r="U45">
            <v>0</v>
          </cell>
          <cell r="V45">
            <v>0</v>
          </cell>
          <cell r="W45">
            <v>0</v>
          </cell>
          <cell r="X45">
            <v>0</v>
          </cell>
          <cell r="Y45">
            <v>0</v>
          </cell>
          <cell r="Z45">
            <v>0</v>
          </cell>
          <cell r="AA45">
            <v>0</v>
          </cell>
          <cell r="AB45">
            <v>0</v>
          </cell>
          <cell r="AC45">
            <v>0</v>
          </cell>
          <cell r="AD45">
            <v>0</v>
          </cell>
          <cell r="AE45">
            <v>0</v>
          </cell>
          <cell r="AF45">
            <v>0</v>
          </cell>
          <cell r="AG45">
            <v>0</v>
          </cell>
          <cell r="AH45">
            <v>0</v>
          </cell>
          <cell r="AI45">
            <v>0</v>
          </cell>
          <cell r="AJ45">
            <v>0</v>
          </cell>
          <cell r="AK45">
            <v>0</v>
          </cell>
          <cell r="AL45">
            <v>0</v>
          </cell>
          <cell r="AM45">
            <v>0</v>
          </cell>
          <cell r="AN45">
            <v>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cell r="BX45">
            <v>0</v>
          </cell>
          <cell r="BY45">
            <v>0</v>
          </cell>
          <cell r="BZ45">
            <v>0</v>
          </cell>
          <cell r="CA45">
            <v>0</v>
          </cell>
          <cell r="CB45">
            <v>0</v>
          </cell>
          <cell r="CC45">
            <v>0</v>
          </cell>
          <cell r="CD45">
            <v>0</v>
          </cell>
          <cell r="CE45">
            <v>0</v>
          </cell>
          <cell r="CF45">
            <v>0</v>
          </cell>
          <cell r="CG45">
            <v>0</v>
          </cell>
          <cell r="CH45">
            <v>0</v>
          </cell>
          <cell r="CI45">
            <v>0</v>
          </cell>
          <cell r="CJ45">
            <v>0</v>
          </cell>
          <cell r="CK45">
            <v>0</v>
          </cell>
          <cell r="CL45">
            <v>0</v>
          </cell>
          <cell r="CM45">
            <v>0</v>
          </cell>
          <cell r="CN45">
            <v>0</v>
          </cell>
          <cell r="CO45">
            <v>0</v>
          </cell>
          <cell r="CP45">
            <v>0</v>
          </cell>
          <cell r="CQ45">
            <v>0</v>
          </cell>
          <cell r="CR45">
            <v>0</v>
          </cell>
          <cell r="CS45">
            <v>0</v>
          </cell>
        </row>
        <row r="46">
          <cell r="A46" t="str">
            <v xml:space="preserve">ES&amp;H </v>
          </cell>
          <cell r="D46" t="str">
            <v>TOTAL FTE</v>
          </cell>
          <cell r="E46">
            <v>0</v>
          </cell>
          <cell r="F46">
            <v>0</v>
          </cell>
          <cell r="G46">
            <v>0</v>
          </cell>
          <cell r="H46">
            <v>0</v>
          </cell>
          <cell r="I46">
            <v>0</v>
          </cell>
          <cell r="J46">
            <v>0</v>
          </cell>
          <cell r="K46">
            <v>0</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0</v>
          </cell>
          <cell r="AQ46">
            <v>0</v>
          </cell>
          <cell r="AR46">
            <v>0</v>
          </cell>
          <cell r="AS46">
            <v>0</v>
          </cell>
          <cell r="AT46">
            <v>0</v>
          </cell>
          <cell r="AU46">
            <v>0</v>
          </cell>
          <cell r="AV46">
            <v>0</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v>0</v>
          </cell>
          <cell r="CC46">
            <v>0</v>
          </cell>
          <cell r="CD46">
            <v>0</v>
          </cell>
          <cell r="CE46">
            <v>0</v>
          </cell>
          <cell r="CF46">
            <v>0</v>
          </cell>
          <cell r="CG46">
            <v>0</v>
          </cell>
          <cell r="CH46">
            <v>0</v>
          </cell>
          <cell r="CI46">
            <v>0</v>
          </cell>
          <cell r="CJ46">
            <v>0</v>
          </cell>
          <cell r="CK46">
            <v>0</v>
          </cell>
          <cell r="CL46">
            <v>0</v>
          </cell>
          <cell r="CM46">
            <v>0</v>
          </cell>
          <cell r="CN46">
            <v>0</v>
          </cell>
          <cell r="CO46">
            <v>0</v>
          </cell>
          <cell r="CP46">
            <v>0</v>
          </cell>
          <cell r="CQ46">
            <v>0</v>
          </cell>
          <cell r="CR46">
            <v>0</v>
          </cell>
          <cell r="CS46">
            <v>0</v>
          </cell>
        </row>
        <row r="47">
          <cell r="A47" t="str">
            <v xml:space="preserve">ES&amp;H </v>
          </cell>
          <cell r="D47" t="str">
            <v>TOTAL HOURS</v>
          </cell>
          <cell r="E47">
            <v>0</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v>0</v>
          </cell>
          <cell r="CC47">
            <v>0</v>
          </cell>
          <cell r="CD47">
            <v>0</v>
          </cell>
          <cell r="CE47">
            <v>0</v>
          </cell>
          <cell r="CF47">
            <v>0</v>
          </cell>
          <cell r="CG47">
            <v>0</v>
          </cell>
          <cell r="CH47">
            <v>0</v>
          </cell>
          <cell r="CI47">
            <v>0</v>
          </cell>
          <cell r="CJ47">
            <v>0</v>
          </cell>
          <cell r="CK47">
            <v>0</v>
          </cell>
          <cell r="CL47">
            <v>0</v>
          </cell>
          <cell r="CM47">
            <v>0</v>
          </cell>
          <cell r="CN47">
            <v>0</v>
          </cell>
          <cell r="CO47">
            <v>0</v>
          </cell>
          <cell r="CP47">
            <v>0</v>
          </cell>
          <cell r="CQ47">
            <v>0</v>
          </cell>
          <cell r="CR47">
            <v>0</v>
          </cell>
          <cell r="CS47">
            <v>0</v>
          </cell>
        </row>
        <row r="48">
          <cell r="A48" t="str">
            <v xml:space="preserve">ES&amp;H </v>
          </cell>
          <cell r="C48" t="str">
            <v>Costs+Liens+PLiens = $0</v>
          </cell>
          <cell r="D48" t="str">
            <v>AVG HRLY LBR RATE</v>
          </cell>
          <cell r="E48" t="str">
            <v/>
          </cell>
          <cell r="F48" t="str">
            <v/>
          </cell>
          <cell r="G48" t="str">
            <v/>
          </cell>
          <cell r="H48" t="str">
            <v/>
          </cell>
          <cell r="I48" t="str">
            <v/>
          </cell>
          <cell r="J48" t="str">
            <v/>
          </cell>
          <cell r="K48" t="str">
            <v/>
          </cell>
          <cell r="L48" t="str">
            <v/>
          </cell>
          <cell r="M48" t="str">
            <v/>
          </cell>
          <cell r="N48" t="str">
            <v/>
          </cell>
          <cell r="O48" t="str">
            <v/>
          </cell>
          <cell r="P48" t="str">
            <v/>
          </cell>
          <cell r="Q48" t="str">
            <v/>
          </cell>
          <cell r="R48" t="str">
            <v/>
          </cell>
          <cell r="S48" t="str">
            <v/>
          </cell>
          <cell r="T48" t="str">
            <v/>
          </cell>
          <cell r="U48" t="str">
            <v/>
          </cell>
          <cell r="V48" t="str">
            <v/>
          </cell>
          <cell r="W48" t="str">
            <v/>
          </cell>
          <cell r="X48" t="str">
            <v/>
          </cell>
          <cell r="Y48" t="str">
            <v/>
          </cell>
          <cell r="Z48" t="str">
            <v/>
          </cell>
          <cell r="AA48" t="str">
            <v/>
          </cell>
          <cell r="AB48" t="str">
            <v/>
          </cell>
          <cell r="AC48" t="str">
            <v/>
          </cell>
          <cell r="AD48" t="str">
            <v/>
          </cell>
          <cell r="AE48" t="str">
            <v/>
          </cell>
          <cell r="AF48" t="str">
            <v/>
          </cell>
          <cell r="AG48" t="str">
            <v/>
          </cell>
          <cell r="AH48" t="str">
            <v/>
          </cell>
          <cell r="AI48" t="str">
            <v/>
          </cell>
          <cell r="AJ48" t="str">
            <v/>
          </cell>
          <cell r="AK48" t="str">
            <v/>
          </cell>
          <cell r="AL48" t="str">
            <v/>
          </cell>
          <cell r="AM48" t="str">
            <v/>
          </cell>
          <cell r="AN48" t="str">
            <v/>
          </cell>
          <cell r="AO48" t="str">
            <v/>
          </cell>
          <cell r="AP48" t="str">
            <v/>
          </cell>
          <cell r="AQ48" t="str">
            <v/>
          </cell>
          <cell r="AR48" t="str">
            <v/>
          </cell>
          <cell r="AS48" t="str">
            <v/>
          </cell>
          <cell r="AT48" t="str">
            <v/>
          </cell>
          <cell r="AU48" t="str">
            <v/>
          </cell>
          <cell r="AV48" t="str">
            <v/>
          </cell>
          <cell r="AW48" t="str">
            <v/>
          </cell>
          <cell r="AX48" t="str">
            <v/>
          </cell>
          <cell r="AY48" t="str">
            <v/>
          </cell>
          <cell r="AZ48" t="str">
            <v/>
          </cell>
          <cell r="BA48" t="str">
            <v/>
          </cell>
          <cell r="BB48" t="str">
            <v/>
          </cell>
          <cell r="BC48" t="str">
            <v/>
          </cell>
          <cell r="BD48" t="str">
            <v/>
          </cell>
          <cell r="BE48" t="str">
            <v/>
          </cell>
          <cell r="BF48" t="str">
            <v/>
          </cell>
          <cell r="BG48" t="str">
            <v/>
          </cell>
          <cell r="BH48" t="str">
            <v/>
          </cell>
          <cell r="BI48" t="str">
            <v/>
          </cell>
          <cell r="BJ48" t="str">
            <v/>
          </cell>
          <cell r="BK48" t="str">
            <v/>
          </cell>
          <cell r="BL48" t="str">
            <v/>
          </cell>
          <cell r="BM48" t="str">
            <v/>
          </cell>
          <cell r="BN48" t="str">
            <v/>
          </cell>
          <cell r="BO48" t="str">
            <v/>
          </cell>
          <cell r="BP48" t="str">
            <v/>
          </cell>
          <cell r="BQ48" t="str">
            <v/>
          </cell>
          <cell r="BR48" t="str">
            <v/>
          </cell>
          <cell r="BS48" t="str">
            <v/>
          </cell>
          <cell r="BT48" t="str">
            <v/>
          </cell>
          <cell r="BU48" t="str">
            <v/>
          </cell>
          <cell r="BV48" t="str">
            <v/>
          </cell>
          <cell r="BW48" t="str">
            <v/>
          </cell>
          <cell r="BX48" t="str">
            <v/>
          </cell>
          <cell r="BY48" t="str">
            <v/>
          </cell>
          <cell r="BZ48" t="str">
            <v/>
          </cell>
          <cell r="CA48" t="str">
            <v/>
          </cell>
          <cell r="CB48" t="str">
            <v/>
          </cell>
          <cell r="CC48" t="str">
            <v/>
          </cell>
          <cell r="CD48" t="str">
            <v/>
          </cell>
          <cell r="CE48" t="str">
            <v/>
          </cell>
          <cell r="CF48" t="str">
            <v/>
          </cell>
          <cell r="CG48" t="str">
            <v/>
          </cell>
          <cell r="CH48" t="str">
            <v/>
          </cell>
          <cell r="CI48" t="str">
            <v/>
          </cell>
          <cell r="CJ48" t="str">
            <v/>
          </cell>
          <cell r="CK48" t="str">
            <v/>
          </cell>
          <cell r="CL48" t="str">
            <v/>
          </cell>
          <cell r="CM48" t="str">
            <v/>
          </cell>
          <cell r="CN48" t="str">
            <v/>
          </cell>
          <cell r="CO48" t="str">
            <v/>
          </cell>
          <cell r="CP48" t="str">
            <v/>
          </cell>
          <cell r="CQ48" t="str">
            <v/>
          </cell>
          <cell r="CR48" t="str">
            <v/>
          </cell>
          <cell r="CS48" t="str">
            <v/>
          </cell>
        </row>
        <row r="49">
          <cell r="A49" t="str">
            <v xml:space="preserve">ES&amp;H </v>
          </cell>
          <cell r="B49" t="str">
            <v>Encumbrances = $0</v>
          </cell>
          <cell r="C49" t="str">
            <v>Costs+Encumbrances = $0</v>
          </cell>
          <cell r="D49" t="str">
            <v>NON-LABOR TOTAL</v>
          </cell>
          <cell r="E49">
            <v>0</v>
          </cell>
          <cell r="F49">
            <v>0</v>
          </cell>
          <cell r="G49">
            <v>0</v>
          </cell>
          <cell r="H49">
            <v>0</v>
          </cell>
          <cell r="I49">
            <v>0</v>
          </cell>
          <cell r="J49">
            <v>0</v>
          </cell>
          <cell r="K49">
            <v>0</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0</v>
          </cell>
          <cell r="AQ49">
            <v>0</v>
          </cell>
          <cell r="AR49">
            <v>0</v>
          </cell>
          <cell r="AS49">
            <v>0</v>
          </cell>
          <cell r="AT49">
            <v>0</v>
          </cell>
          <cell r="AU49">
            <v>0</v>
          </cell>
          <cell r="AV49">
            <v>0</v>
          </cell>
          <cell r="AW49">
            <v>0</v>
          </cell>
          <cell r="AX49">
            <v>0</v>
          </cell>
          <cell r="AY49">
            <v>0</v>
          </cell>
          <cell r="AZ49">
            <v>0</v>
          </cell>
          <cell r="BA49">
            <v>0</v>
          </cell>
          <cell r="BB49">
            <v>0</v>
          </cell>
          <cell r="BC49">
            <v>0</v>
          </cell>
          <cell r="BD49">
            <v>0</v>
          </cell>
          <cell r="BE49">
            <v>0</v>
          </cell>
          <cell r="BF49">
            <v>0</v>
          </cell>
          <cell r="BG49">
            <v>0</v>
          </cell>
          <cell r="BH49">
            <v>0</v>
          </cell>
          <cell r="BI49">
            <v>0</v>
          </cell>
          <cell r="BJ49">
            <v>0</v>
          </cell>
          <cell r="BK49">
            <v>0</v>
          </cell>
          <cell r="BL49">
            <v>0</v>
          </cell>
          <cell r="BM49">
            <v>0</v>
          </cell>
          <cell r="BN49">
            <v>0</v>
          </cell>
          <cell r="BO49">
            <v>0</v>
          </cell>
          <cell r="BP49">
            <v>0</v>
          </cell>
          <cell r="BQ49">
            <v>0</v>
          </cell>
          <cell r="BR49">
            <v>0</v>
          </cell>
          <cell r="BS49">
            <v>0</v>
          </cell>
          <cell r="BT49">
            <v>0</v>
          </cell>
          <cell r="BU49">
            <v>0</v>
          </cell>
          <cell r="BV49">
            <v>0</v>
          </cell>
          <cell r="BW49">
            <v>0</v>
          </cell>
          <cell r="BX49">
            <v>0</v>
          </cell>
          <cell r="BY49">
            <v>0</v>
          </cell>
          <cell r="BZ49">
            <v>0</v>
          </cell>
          <cell r="CA49">
            <v>0</v>
          </cell>
          <cell r="CB49">
            <v>0</v>
          </cell>
          <cell r="CC49">
            <v>0</v>
          </cell>
          <cell r="CD49">
            <v>0</v>
          </cell>
          <cell r="CE49">
            <v>0</v>
          </cell>
          <cell r="CF49">
            <v>0</v>
          </cell>
          <cell r="CG49">
            <v>0</v>
          </cell>
          <cell r="CH49">
            <v>0</v>
          </cell>
          <cell r="CI49">
            <v>0</v>
          </cell>
          <cell r="CJ49">
            <v>0</v>
          </cell>
          <cell r="CK49">
            <v>0</v>
          </cell>
          <cell r="CL49">
            <v>0</v>
          </cell>
          <cell r="CM49">
            <v>0</v>
          </cell>
          <cell r="CN49">
            <v>0</v>
          </cell>
          <cell r="CO49">
            <v>0</v>
          </cell>
          <cell r="CP49">
            <v>0</v>
          </cell>
          <cell r="CQ49">
            <v>0</v>
          </cell>
          <cell r="CR49">
            <v>0</v>
          </cell>
          <cell r="CS49">
            <v>0</v>
          </cell>
        </row>
        <row r="50">
          <cell r="A50" t="str">
            <v xml:space="preserve">ES&amp;H </v>
          </cell>
          <cell r="D50" t="str">
            <v>NON-LABOR RAW</v>
          </cell>
          <cell r="E50">
            <v>0</v>
          </cell>
          <cell r="F50">
            <v>0</v>
          </cell>
          <cell r="G50">
            <v>0</v>
          </cell>
          <cell r="H50">
            <v>0</v>
          </cell>
          <cell r="I50">
            <v>0</v>
          </cell>
          <cell r="J50">
            <v>0</v>
          </cell>
          <cell r="K50">
            <v>0</v>
          </cell>
          <cell r="L50">
            <v>0</v>
          </cell>
          <cell r="M50">
            <v>0</v>
          </cell>
          <cell r="N50">
            <v>0</v>
          </cell>
          <cell r="O50">
            <v>0</v>
          </cell>
          <cell r="P50">
            <v>0</v>
          </cell>
          <cell r="Q50">
            <v>0</v>
          </cell>
          <cell r="R50">
            <v>0</v>
          </cell>
          <cell r="S50">
            <v>0</v>
          </cell>
          <cell r="T50">
            <v>0</v>
          </cell>
          <cell r="U50">
            <v>0</v>
          </cell>
          <cell r="V50">
            <v>0</v>
          </cell>
          <cell r="W50">
            <v>0</v>
          </cell>
          <cell r="X50">
            <v>0</v>
          </cell>
          <cell r="Y50">
            <v>0</v>
          </cell>
          <cell r="Z50">
            <v>0</v>
          </cell>
          <cell r="AA50">
            <v>0</v>
          </cell>
          <cell r="AB50">
            <v>0</v>
          </cell>
          <cell r="AC50">
            <v>0</v>
          </cell>
          <cell r="AD50">
            <v>0</v>
          </cell>
          <cell r="AE50">
            <v>0</v>
          </cell>
          <cell r="AF50">
            <v>0</v>
          </cell>
          <cell r="AG50">
            <v>0</v>
          </cell>
          <cell r="AH50">
            <v>0</v>
          </cell>
          <cell r="AI50">
            <v>0</v>
          </cell>
          <cell r="AJ50">
            <v>0</v>
          </cell>
          <cell r="AK50">
            <v>0</v>
          </cell>
          <cell r="AL50">
            <v>0</v>
          </cell>
          <cell r="AM50">
            <v>0</v>
          </cell>
          <cell r="AN50">
            <v>0</v>
          </cell>
          <cell r="AO50">
            <v>0</v>
          </cell>
          <cell r="AP50">
            <v>0</v>
          </cell>
          <cell r="AQ50">
            <v>0</v>
          </cell>
          <cell r="AR50">
            <v>0</v>
          </cell>
          <cell r="AS50">
            <v>0</v>
          </cell>
          <cell r="AT50">
            <v>0</v>
          </cell>
          <cell r="AU50">
            <v>0</v>
          </cell>
          <cell r="AV50">
            <v>0</v>
          </cell>
          <cell r="AW50">
            <v>0</v>
          </cell>
          <cell r="AX50">
            <v>0</v>
          </cell>
          <cell r="AY50">
            <v>0</v>
          </cell>
          <cell r="AZ50">
            <v>0</v>
          </cell>
          <cell r="BA50">
            <v>0</v>
          </cell>
          <cell r="BB50">
            <v>0</v>
          </cell>
          <cell r="BC50">
            <v>0</v>
          </cell>
          <cell r="BD50">
            <v>0</v>
          </cell>
          <cell r="BE50">
            <v>0</v>
          </cell>
          <cell r="BF50">
            <v>0</v>
          </cell>
          <cell r="BG50">
            <v>0</v>
          </cell>
          <cell r="BH50">
            <v>0</v>
          </cell>
          <cell r="BI50">
            <v>0</v>
          </cell>
          <cell r="BJ50">
            <v>0</v>
          </cell>
          <cell r="BK50">
            <v>0</v>
          </cell>
          <cell r="BL50">
            <v>0</v>
          </cell>
          <cell r="BM50">
            <v>0</v>
          </cell>
          <cell r="BN50">
            <v>0</v>
          </cell>
          <cell r="BO50">
            <v>0</v>
          </cell>
          <cell r="BP50">
            <v>0</v>
          </cell>
          <cell r="BQ50">
            <v>0</v>
          </cell>
          <cell r="BR50">
            <v>0</v>
          </cell>
          <cell r="BS50">
            <v>0</v>
          </cell>
          <cell r="BT50">
            <v>0</v>
          </cell>
          <cell r="BU50">
            <v>0</v>
          </cell>
          <cell r="BV50">
            <v>0</v>
          </cell>
          <cell r="BW50">
            <v>0</v>
          </cell>
          <cell r="BX50">
            <v>0</v>
          </cell>
          <cell r="BY50">
            <v>0</v>
          </cell>
          <cell r="BZ50">
            <v>0</v>
          </cell>
          <cell r="CA50">
            <v>0</v>
          </cell>
          <cell r="CB50">
            <v>0</v>
          </cell>
          <cell r="CC50">
            <v>0</v>
          </cell>
          <cell r="CD50">
            <v>0</v>
          </cell>
          <cell r="CE50">
            <v>0</v>
          </cell>
          <cell r="CF50">
            <v>0</v>
          </cell>
          <cell r="CG50">
            <v>0</v>
          </cell>
          <cell r="CH50">
            <v>0</v>
          </cell>
          <cell r="CI50">
            <v>0</v>
          </cell>
          <cell r="CJ50">
            <v>0</v>
          </cell>
          <cell r="CK50">
            <v>0</v>
          </cell>
          <cell r="CL50">
            <v>0</v>
          </cell>
          <cell r="CM50">
            <v>0</v>
          </cell>
          <cell r="CN50">
            <v>0</v>
          </cell>
          <cell r="CO50">
            <v>0</v>
          </cell>
          <cell r="CP50">
            <v>0</v>
          </cell>
          <cell r="CQ50">
            <v>0</v>
          </cell>
          <cell r="CR50">
            <v>0</v>
          </cell>
          <cell r="CS50">
            <v>0</v>
          </cell>
        </row>
        <row r="51">
          <cell r="A51" t="str">
            <v xml:space="preserve">ES&amp;H </v>
          </cell>
          <cell r="D51" t="str">
            <v>TOTAL BURDENED $</v>
          </cell>
          <cell r="E51">
            <v>0</v>
          </cell>
          <cell r="F51">
            <v>0</v>
          </cell>
          <cell r="G51">
            <v>0</v>
          </cell>
          <cell r="H51">
            <v>0</v>
          </cell>
          <cell r="I51">
            <v>0</v>
          </cell>
          <cell r="J51">
            <v>0</v>
          </cell>
          <cell r="K51">
            <v>0</v>
          </cell>
          <cell r="L51">
            <v>0</v>
          </cell>
          <cell r="M51">
            <v>0</v>
          </cell>
          <cell r="N51">
            <v>0</v>
          </cell>
          <cell r="O51">
            <v>0</v>
          </cell>
          <cell r="P51">
            <v>0</v>
          </cell>
          <cell r="Q51">
            <v>0</v>
          </cell>
          <cell r="R51">
            <v>0</v>
          </cell>
          <cell r="S51">
            <v>0</v>
          </cell>
          <cell r="T51">
            <v>0</v>
          </cell>
          <cell r="U51">
            <v>0</v>
          </cell>
          <cell r="V51">
            <v>0</v>
          </cell>
          <cell r="W51">
            <v>0</v>
          </cell>
          <cell r="X51">
            <v>0</v>
          </cell>
          <cell r="Y51">
            <v>0</v>
          </cell>
          <cell r="Z51">
            <v>0</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0</v>
          </cell>
          <cell r="AQ51">
            <v>0</v>
          </cell>
          <cell r="AR51">
            <v>0</v>
          </cell>
          <cell r="AS51">
            <v>0</v>
          </cell>
          <cell r="AT51">
            <v>0</v>
          </cell>
          <cell r="AU51">
            <v>0</v>
          </cell>
          <cell r="AV51">
            <v>0</v>
          </cell>
          <cell r="AW51">
            <v>0</v>
          </cell>
          <cell r="AX51">
            <v>0</v>
          </cell>
          <cell r="AY51">
            <v>0</v>
          </cell>
          <cell r="AZ51">
            <v>0</v>
          </cell>
          <cell r="BA51">
            <v>0</v>
          </cell>
          <cell r="BB51">
            <v>0</v>
          </cell>
          <cell r="BC51">
            <v>0</v>
          </cell>
          <cell r="BD51">
            <v>0</v>
          </cell>
          <cell r="BE51">
            <v>0</v>
          </cell>
          <cell r="BF51">
            <v>0</v>
          </cell>
          <cell r="BG51">
            <v>0</v>
          </cell>
          <cell r="BH51">
            <v>0</v>
          </cell>
          <cell r="BI51">
            <v>0</v>
          </cell>
          <cell r="BJ51">
            <v>0</v>
          </cell>
          <cell r="BK51">
            <v>0</v>
          </cell>
          <cell r="BL51">
            <v>0</v>
          </cell>
          <cell r="BM51">
            <v>0</v>
          </cell>
          <cell r="BN51">
            <v>0</v>
          </cell>
          <cell r="BO51">
            <v>0</v>
          </cell>
          <cell r="BP51">
            <v>0</v>
          </cell>
          <cell r="BQ51">
            <v>0</v>
          </cell>
          <cell r="BR51">
            <v>0</v>
          </cell>
          <cell r="BS51">
            <v>0</v>
          </cell>
          <cell r="BT51">
            <v>0</v>
          </cell>
          <cell r="BU51">
            <v>0</v>
          </cell>
          <cell r="BV51">
            <v>0</v>
          </cell>
          <cell r="BW51">
            <v>0</v>
          </cell>
          <cell r="BX51">
            <v>0</v>
          </cell>
          <cell r="BY51">
            <v>0</v>
          </cell>
          <cell r="BZ51">
            <v>0</v>
          </cell>
          <cell r="CA51">
            <v>0</v>
          </cell>
          <cell r="CB51">
            <v>0</v>
          </cell>
          <cell r="CC51">
            <v>0</v>
          </cell>
          <cell r="CD51">
            <v>0</v>
          </cell>
          <cell r="CE51">
            <v>0</v>
          </cell>
          <cell r="CF51">
            <v>0</v>
          </cell>
          <cell r="CG51">
            <v>0</v>
          </cell>
          <cell r="CH51">
            <v>0</v>
          </cell>
          <cell r="CI51">
            <v>0</v>
          </cell>
          <cell r="CJ51">
            <v>0</v>
          </cell>
          <cell r="CK51">
            <v>0</v>
          </cell>
          <cell r="CL51">
            <v>0</v>
          </cell>
          <cell r="CM51">
            <v>0</v>
          </cell>
          <cell r="CN51">
            <v>0</v>
          </cell>
          <cell r="CO51">
            <v>0</v>
          </cell>
          <cell r="CP51">
            <v>0</v>
          </cell>
          <cell r="CQ51">
            <v>0</v>
          </cell>
          <cell r="CR51">
            <v>0</v>
          </cell>
          <cell r="CS51">
            <v>0</v>
          </cell>
        </row>
        <row r="52">
          <cell r="BY52" t="str">
            <v>Past ETC</v>
          </cell>
          <cell r="BZ52" t="str">
            <v>ETC</v>
          </cell>
          <cell r="CA52" t="str">
            <v>Total Fcst</v>
          </cell>
          <cell r="CB52" t="str">
            <v>Past ETC</v>
          </cell>
          <cell r="CC52" t="str">
            <v>ETC</v>
          </cell>
          <cell r="CD52" t="str">
            <v>Total Fcst</v>
          </cell>
          <cell r="CE52" t="str">
            <v>Past ETC</v>
          </cell>
          <cell r="CF52" t="str">
            <v>ETC</v>
          </cell>
          <cell r="CG52" t="str">
            <v>Total Fcst</v>
          </cell>
          <cell r="CH52" t="str">
            <v>Past ETC</v>
          </cell>
          <cell r="CI52" t="str">
            <v>ETC</v>
          </cell>
          <cell r="CJ52" t="str">
            <v>Total Fcst</v>
          </cell>
          <cell r="CK52" t="str">
            <v>Past ETC</v>
          </cell>
          <cell r="CL52" t="str">
            <v>ETC</v>
          </cell>
          <cell r="CM52" t="str">
            <v>Total Fcst</v>
          </cell>
          <cell r="CN52" t="str">
            <v>Past ETC</v>
          </cell>
          <cell r="CO52" t="str">
            <v>ETC</v>
          </cell>
          <cell r="CP52" t="str">
            <v>Total Fcst</v>
          </cell>
          <cell r="CQ52" t="str">
            <v>Past ETC</v>
          </cell>
          <cell r="CR52" t="str">
            <v>ETC</v>
          </cell>
          <cell r="CS52" t="str">
            <v>Total Fcst</v>
          </cell>
        </row>
        <row r="53">
          <cell r="BY53">
            <v>0</v>
          </cell>
          <cell r="BZ53">
            <v>0</v>
          </cell>
          <cell r="CA53">
            <v>0</v>
          </cell>
          <cell r="CB53">
            <v>0</v>
          </cell>
          <cell r="CC53">
            <v>0</v>
          </cell>
          <cell r="CD53">
            <v>0</v>
          </cell>
          <cell r="CE53">
            <v>0</v>
          </cell>
          <cell r="CF53">
            <v>0</v>
          </cell>
          <cell r="CG53">
            <v>0</v>
          </cell>
          <cell r="CH53">
            <v>0</v>
          </cell>
          <cell r="CI53">
            <v>0</v>
          </cell>
          <cell r="CJ53">
            <v>0</v>
          </cell>
          <cell r="CK53">
            <v>0</v>
          </cell>
          <cell r="CL53">
            <v>0</v>
          </cell>
          <cell r="CM53">
            <v>0</v>
          </cell>
          <cell r="CN53">
            <v>0</v>
          </cell>
          <cell r="CO53">
            <v>0</v>
          </cell>
          <cell r="CP53">
            <v>0</v>
          </cell>
          <cell r="CQ53">
            <v>0</v>
          </cell>
          <cell r="CR53">
            <v>0</v>
          </cell>
          <cell r="CS53">
            <v>0</v>
          </cell>
        </row>
        <row r="54">
          <cell r="BY54" t="str">
            <v/>
          </cell>
        </row>
        <row r="55">
          <cell r="A55" t="str">
            <v>IT Support</v>
          </cell>
          <cell r="B55" t="str">
            <v>IT Support</v>
          </cell>
          <cell r="C55" t="str">
            <v>EAC = $0</v>
          </cell>
          <cell r="D55" t="str">
            <v>LABOR TOTAL</v>
          </cell>
          <cell r="E55">
            <v>0</v>
          </cell>
          <cell r="F55">
            <v>0</v>
          </cell>
          <cell r="G55">
            <v>0</v>
          </cell>
          <cell r="H55">
            <v>0</v>
          </cell>
          <cell r="I55">
            <v>0</v>
          </cell>
          <cell r="J55">
            <v>0</v>
          </cell>
          <cell r="K55">
            <v>0</v>
          </cell>
          <cell r="L55">
            <v>0</v>
          </cell>
          <cell r="M55">
            <v>0</v>
          </cell>
          <cell r="N55">
            <v>0</v>
          </cell>
          <cell r="O55">
            <v>0</v>
          </cell>
          <cell r="P55">
            <v>0</v>
          </cell>
          <cell r="Q55">
            <v>0</v>
          </cell>
          <cell r="R55">
            <v>0</v>
          </cell>
          <cell r="S55">
            <v>0</v>
          </cell>
          <cell r="T55">
            <v>0</v>
          </cell>
          <cell r="U55">
            <v>0</v>
          </cell>
          <cell r="V55">
            <v>0</v>
          </cell>
          <cell r="W55">
            <v>0</v>
          </cell>
          <cell r="X55">
            <v>0</v>
          </cell>
          <cell r="Y55">
            <v>0</v>
          </cell>
          <cell r="Z55">
            <v>0</v>
          </cell>
          <cell r="AA55">
            <v>0</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0</v>
          </cell>
          <cell r="AQ55">
            <v>0</v>
          </cell>
          <cell r="AR55">
            <v>0</v>
          </cell>
          <cell r="AS55">
            <v>0</v>
          </cell>
          <cell r="AT55">
            <v>0</v>
          </cell>
          <cell r="AU55">
            <v>0</v>
          </cell>
          <cell r="AV55">
            <v>0</v>
          </cell>
          <cell r="AW55">
            <v>0</v>
          </cell>
          <cell r="AX55">
            <v>0</v>
          </cell>
          <cell r="AY55">
            <v>0</v>
          </cell>
          <cell r="AZ55">
            <v>0</v>
          </cell>
          <cell r="BA55">
            <v>0</v>
          </cell>
          <cell r="BB55">
            <v>0</v>
          </cell>
          <cell r="BC55">
            <v>0</v>
          </cell>
          <cell r="BD55">
            <v>0</v>
          </cell>
          <cell r="BE55">
            <v>0</v>
          </cell>
          <cell r="BF55">
            <v>0</v>
          </cell>
          <cell r="BG55">
            <v>0</v>
          </cell>
          <cell r="BH55">
            <v>0</v>
          </cell>
          <cell r="BI55">
            <v>0</v>
          </cell>
          <cell r="BJ55">
            <v>0</v>
          </cell>
          <cell r="BK55">
            <v>0</v>
          </cell>
          <cell r="BL55">
            <v>0</v>
          </cell>
          <cell r="BM55">
            <v>0</v>
          </cell>
          <cell r="BN55">
            <v>0</v>
          </cell>
          <cell r="BO55">
            <v>0</v>
          </cell>
          <cell r="BP55">
            <v>0</v>
          </cell>
          <cell r="BQ55">
            <v>0</v>
          </cell>
          <cell r="BR55">
            <v>0</v>
          </cell>
          <cell r="BS55">
            <v>0</v>
          </cell>
          <cell r="BT55">
            <v>0</v>
          </cell>
          <cell r="BU55">
            <v>0</v>
          </cell>
          <cell r="BV55">
            <v>0</v>
          </cell>
          <cell r="BW55">
            <v>0</v>
          </cell>
          <cell r="BX55">
            <v>0</v>
          </cell>
          <cell r="BY55">
            <v>0</v>
          </cell>
          <cell r="BZ55">
            <v>0</v>
          </cell>
          <cell r="CA55">
            <v>0</v>
          </cell>
          <cell r="CB55">
            <v>0</v>
          </cell>
          <cell r="CC55">
            <v>0</v>
          </cell>
          <cell r="CD55">
            <v>0</v>
          </cell>
          <cell r="CE55">
            <v>0</v>
          </cell>
          <cell r="CF55">
            <v>0</v>
          </cell>
          <cell r="CG55">
            <v>0</v>
          </cell>
          <cell r="CH55">
            <v>0</v>
          </cell>
          <cell r="CI55">
            <v>0</v>
          </cell>
          <cell r="CJ55">
            <v>0</v>
          </cell>
          <cell r="CK55">
            <v>0</v>
          </cell>
          <cell r="CL55">
            <v>0</v>
          </cell>
          <cell r="CM55">
            <v>0</v>
          </cell>
          <cell r="CN55">
            <v>0</v>
          </cell>
          <cell r="CO55">
            <v>0</v>
          </cell>
          <cell r="CP55">
            <v>0</v>
          </cell>
          <cell r="CQ55">
            <v>0</v>
          </cell>
          <cell r="CR55">
            <v>0</v>
          </cell>
          <cell r="CS55">
            <v>0</v>
          </cell>
        </row>
        <row r="56">
          <cell r="A56" t="str">
            <v>IT Support</v>
          </cell>
          <cell r="C56" t="str">
            <v>XXXX5</v>
          </cell>
          <cell r="D56" t="str">
            <v>TOTAL SALARY $</v>
          </cell>
          <cell r="E56">
            <v>0</v>
          </cell>
          <cell r="F56">
            <v>0</v>
          </cell>
          <cell r="G56">
            <v>0</v>
          </cell>
          <cell r="H56">
            <v>0</v>
          </cell>
          <cell r="I56">
            <v>0</v>
          </cell>
          <cell r="J56">
            <v>0</v>
          </cell>
          <cell r="K56">
            <v>0</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0</v>
          </cell>
          <cell r="AQ56">
            <v>0</v>
          </cell>
          <cell r="AR56">
            <v>0</v>
          </cell>
          <cell r="AS56">
            <v>0</v>
          </cell>
          <cell r="AT56">
            <v>0</v>
          </cell>
          <cell r="AU56">
            <v>0</v>
          </cell>
          <cell r="AV56">
            <v>0</v>
          </cell>
          <cell r="AW56">
            <v>0</v>
          </cell>
          <cell r="AX56">
            <v>0</v>
          </cell>
          <cell r="AY56">
            <v>0</v>
          </cell>
          <cell r="AZ56">
            <v>0</v>
          </cell>
          <cell r="BA56">
            <v>0</v>
          </cell>
          <cell r="BB56">
            <v>0</v>
          </cell>
          <cell r="BC56">
            <v>0</v>
          </cell>
          <cell r="BD56">
            <v>0</v>
          </cell>
          <cell r="BE56">
            <v>0</v>
          </cell>
          <cell r="BF56">
            <v>0</v>
          </cell>
          <cell r="BG56">
            <v>0</v>
          </cell>
          <cell r="BH56">
            <v>0</v>
          </cell>
          <cell r="BI56">
            <v>0</v>
          </cell>
          <cell r="BJ56">
            <v>0</v>
          </cell>
          <cell r="BK56">
            <v>0</v>
          </cell>
          <cell r="BL56">
            <v>0</v>
          </cell>
          <cell r="BM56">
            <v>0</v>
          </cell>
          <cell r="BN56">
            <v>0</v>
          </cell>
          <cell r="BO56">
            <v>0</v>
          </cell>
          <cell r="BP56">
            <v>0</v>
          </cell>
          <cell r="BQ56">
            <v>0</v>
          </cell>
          <cell r="BR56">
            <v>0</v>
          </cell>
          <cell r="BS56">
            <v>0</v>
          </cell>
          <cell r="BT56">
            <v>0</v>
          </cell>
          <cell r="BU56">
            <v>0</v>
          </cell>
          <cell r="BV56">
            <v>0</v>
          </cell>
          <cell r="BW56">
            <v>0</v>
          </cell>
          <cell r="BX56">
            <v>0</v>
          </cell>
          <cell r="BY56">
            <v>0</v>
          </cell>
          <cell r="BZ56">
            <v>0</v>
          </cell>
          <cell r="CA56">
            <v>0</v>
          </cell>
          <cell r="CB56">
            <v>0</v>
          </cell>
          <cell r="CC56">
            <v>0</v>
          </cell>
          <cell r="CD56">
            <v>0</v>
          </cell>
          <cell r="CE56">
            <v>0</v>
          </cell>
          <cell r="CF56">
            <v>0</v>
          </cell>
          <cell r="CG56">
            <v>0</v>
          </cell>
          <cell r="CH56">
            <v>0</v>
          </cell>
          <cell r="CI56">
            <v>0</v>
          </cell>
          <cell r="CJ56">
            <v>0</v>
          </cell>
          <cell r="CK56">
            <v>0</v>
          </cell>
          <cell r="CL56">
            <v>0</v>
          </cell>
          <cell r="CM56">
            <v>0</v>
          </cell>
          <cell r="CN56">
            <v>0</v>
          </cell>
          <cell r="CO56">
            <v>0</v>
          </cell>
          <cell r="CP56">
            <v>0</v>
          </cell>
          <cell r="CQ56">
            <v>0</v>
          </cell>
          <cell r="CR56">
            <v>0</v>
          </cell>
          <cell r="CS56">
            <v>0</v>
          </cell>
        </row>
        <row r="57">
          <cell r="A57" t="str">
            <v>IT Support</v>
          </cell>
          <cell r="D57" t="str">
            <v>TOTAL FTE</v>
          </cell>
          <cell r="E57">
            <v>0</v>
          </cell>
          <cell r="F57">
            <v>0</v>
          </cell>
          <cell r="G57">
            <v>0</v>
          </cell>
          <cell r="H57">
            <v>0</v>
          </cell>
          <cell r="I57">
            <v>0</v>
          </cell>
          <cell r="J57">
            <v>0</v>
          </cell>
          <cell r="K57">
            <v>0</v>
          </cell>
          <cell r="L57">
            <v>0</v>
          </cell>
          <cell r="M57">
            <v>0</v>
          </cell>
          <cell r="N57">
            <v>0</v>
          </cell>
          <cell r="O57">
            <v>0</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0</v>
          </cell>
          <cell r="AQ57">
            <v>0</v>
          </cell>
          <cell r="AR57">
            <v>0</v>
          </cell>
          <cell r="AS57">
            <v>0</v>
          </cell>
          <cell r="AT57">
            <v>0</v>
          </cell>
          <cell r="AU57">
            <v>0</v>
          </cell>
          <cell r="AV57">
            <v>0</v>
          </cell>
          <cell r="AW57">
            <v>0</v>
          </cell>
          <cell r="AX57">
            <v>0</v>
          </cell>
          <cell r="AY57">
            <v>0</v>
          </cell>
          <cell r="AZ57">
            <v>0</v>
          </cell>
          <cell r="BA57">
            <v>0</v>
          </cell>
          <cell r="BB57">
            <v>0</v>
          </cell>
          <cell r="BC57">
            <v>0</v>
          </cell>
          <cell r="BD57">
            <v>0</v>
          </cell>
          <cell r="BE57">
            <v>0</v>
          </cell>
          <cell r="BF57">
            <v>0</v>
          </cell>
          <cell r="BG57">
            <v>0</v>
          </cell>
          <cell r="BH57">
            <v>0</v>
          </cell>
          <cell r="BI57">
            <v>0</v>
          </cell>
          <cell r="BJ57">
            <v>0</v>
          </cell>
          <cell r="BK57">
            <v>0</v>
          </cell>
          <cell r="BL57">
            <v>0</v>
          </cell>
          <cell r="BM57">
            <v>0</v>
          </cell>
          <cell r="BN57">
            <v>0</v>
          </cell>
          <cell r="BO57">
            <v>0</v>
          </cell>
          <cell r="BP57">
            <v>0</v>
          </cell>
          <cell r="BQ57">
            <v>0</v>
          </cell>
          <cell r="BR57">
            <v>0</v>
          </cell>
          <cell r="BS57">
            <v>0</v>
          </cell>
          <cell r="BT57">
            <v>0</v>
          </cell>
          <cell r="BU57">
            <v>0</v>
          </cell>
          <cell r="BV57">
            <v>0</v>
          </cell>
          <cell r="BW57">
            <v>0</v>
          </cell>
          <cell r="BX57">
            <v>0</v>
          </cell>
          <cell r="BY57">
            <v>0</v>
          </cell>
          <cell r="BZ57">
            <v>0</v>
          </cell>
          <cell r="CA57">
            <v>0</v>
          </cell>
          <cell r="CB57">
            <v>0</v>
          </cell>
          <cell r="CC57">
            <v>0</v>
          </cell>
          <cell r="CD57">
            <v>0</v>
          </cell>
          <cell r="CE57">
            <v>0</v>
          </cell>
          <cell r="CF57">
            <v>0</v>
          </cell>
          <cell r="CG57">
            <v>0</v>
          </cell>
          <cell r="CH57">
            <v>0</v>
          </cell>
          <cell r="CI57">
            <v>0</v>
          </cell>
          <cell r="CJ57">
            <v>0</v>
          </cell>
          <cell r="CK57">
            <v>0</v>
          </cell>
          <cell r="CL57">
            <v>0</v>
          </cell>
          <cell r="CM57">
            <v>0</v>
          </cell>
          <cell r="CN57">
            <v>0</v>
          </cell>
          <cell r="CO57">
            <v>0</v>
          </cell>
          <cell r="CP57">
            <v>0</v>
          </cell>
          <cell r="CQ57">
            <v>0</v>
          </cell>
          <cell r="CR57">
            <v>0</v>
          </cell>
          <cell r="CS57">
            <v>0</v>
          </cell>
        </row>
        <row r="58">
          <cell r="A58" t="str">
            <v>IT Support</v>
          </cell>
          <cell r="D58" t="str">
            <v>TOTAL HOURS</v>
          </cell>
          <cell r="E58">
            <v>0</v>
          </cell>
          <cell r="F58">
            <v>0</v>
          </cell>
          <cell r="G58">
            <v>0</v>
          </cell>
          <cell r="H58">
            <v>0</v>
          </cell>
          <cell r="I58">
            <v>0</v>
          </cell>
          <cell r="J58">
            <v>0</v>
          </cell>
          <cell r="K58">
            <v>0</v>
          </cell>
          <cell r="L58">
            <v>0</v>
          </cell>
          <cell r="M58">
            <v>0</v>
          </cell>
          <cell r="N58">
            <v>0</v>
          </cell>
          <cell r="O58">
            <v>0</v>
          </cell>
          <cell r="P58">
            <v>0</v>
          </cell>
          <cell r="Q58">
            <v>0</v>
          </cell>
          <cell r="R58">
            <v>0</v>
          </cell>
          <cell r="S58">
            <v>0</v>
          </cell>
          <cell r="T58">
            <v>0</v>
          </cell>
          <cell r="U58">
            <v>0</v>
          </cell>
          <cell r="V58">
            <v>0</v>
          </cell>
          <cell r="W58">
            <v>0</v>
          </cell>
          <cell r="X58">
            <v>0</v>
          </cell>
          <cell r="Y58">
            <v>0</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0</v>
          </cell>
          <cell r="AQ58">
            <v>0</v>
          </cell>
          <cell r="AR58">
            <v>0</v>
          </cell>
          <cell r="AS58">
            <v>0</v>
          </cell>
          <cell r="AT58">
            <v>0</v>
          </cell>
          <cell r="AU58">
            <v>0</v>
          </cell>
          <cell r="AV58">
            <v>0</v>
          </cell>
          <cell r="AW58">
            <v>0</v>
          </cell>
          <cell r="AX58">
            <v>0</v>
          </cell>
          <cell r="AY58">
            <v>0</v>
          </cell>
          <cell r="AZ58">
            <v>0</v>
          </cell>
          <cell r="BA58">
            <v>0</v>
          </cell>
          <cell r="BB58">
            <v>0</v>
          </cell>
          <cell r="BC58">
            <v>0</v>
          </cell>
          <cell r="BD58">
            <v>0</v>
          </cell>
          <cell r="BE58">
            <v>0</v>
          </cell>
          <cell r="BF58">
            <v>0</v>
          </cell>
          <cell r="BG58">
            <v>0</v>
          </cell>
          <cell r="BH58">
            <v>0</v>
          </cell>
          <cell r="BI58">
            <v>0</v>
          </cell>
          <cell r="BJ58">
            <v>0</v>
          </cell>
          <cell r="BK58">
            <v>0</v>
          </cell>
          <cell r="BL58">
            <v>0</v>
          </cell>
          <cell r="BM58">
            <v>0</v>
          </cell>
          <cell r="BN58">
            <v>0</v>
          </cell>
          <cell r="BO58">
            <v>0</v>
          </cell>
          <cell r="BP58">
            <v>0</v>
          </cell>
          <cell r="BQ58">
            <v>0</v>
          </cell>
          <cell r="BR58">
            <v>0</v>
          </cell>
          <cell r="BS58">
            <v>0</v>
          </cell>
          <cell r="BT58">
            <v>0</v>
          </cell>
          <cell r="BU58">
            <v>0</v>
          </cell>
          <cell r="BV58">
            <v>0</v>
          </cell>
          <cell r="BW58">
            <v>0</v>
          </cell>
          <cell r="BX58">
            <v>0</v>
          </cell>
          <cell r="BY58">
            <v>0</v>
          </cell>
          <cell r="BZ58">
            <v>0</v>
          </cell>
          <cell r="CA58">
            <v>0</v>
          </cell>
          <cell r="CB58">
            <v>0</v>
          </cell>
          <cell r="CC58">
            <v>0</v>
          </cell>
          <cell r="CD58">
            <v>0</v>
          </cell>
          <cell r="CE58">
            <v>0</v>
          </cell>
          <cell r="CF58">
            <v>0</v>
          </cell>
          <cell r="CG58">
            <v>0</v>
          </cell>
          <cell r="CH58">
            <v>0</v>
          </cell>
          <cell r="CI58">
            <v>0</v>
          </cell>
          <cell r="CJ58">
            <v>0</v>
          </cell>
          <cell r="CK58">
            <v>0</v>
          </cell>
          <cell r="CL58">
            <v>0</v>
          </cell>
          <cell r="CM58">
            <v>0</v>
          </cell>
          <cell r="CN58">
            <v>0</v>
          </cell>
          <cell r="CO58">
            <v>0</v>
          </cell>
          <cell r="CP58">
            <v>0</v>
          </cell>
          <cell r="CQ58">
            <v>0</v>
          </cell>
          <cell r="CR58">
            <v>0</v>
          </cell>
          <cell r="CS58">
            <v>0</v>
          </cell>
        </row>
        <row r="59">
          <cell r="A59" t="str">
            <v>IT Support</v>
          </cell>
          <cell r="C59" t="str">
            <v>Costs+Liens+PLiens = $0</v>
          </cell>
          <cell r="D59" t="str">
            <v>AVG HRLY LBR RATE</v>
          </cell>
          <cell r="E59" t="str">
            <v/>
          </cell>
          <cell r="F59" t="str">
            <v/>
          </cell>
          <cell r="G59" t="str">
            <v/>
          </cell>
          <cell r="H59" t="str">
            <v/>
          </cell>
          <cell r="I59" t="str">
            <v/>
          </cell>
          <cell r="J59" t="str">
            <v/>
          </cell>
          <cell r="K59" t="str">
            <v/>
          </cell>
          <cell r="L59" t="str">
            <v/>
          </cell>
          <cell r="M59" t="str">
            <v/>
          </cell>
          <cell r="N59" t="str">
            <v/>
          </cell>
          <cell r="O59" t="str">
            <v/>
          </cell>
          <cell r="P59" t="str">
            <v/>
          </cell>
          <cell r="Q59" t="str">
            <v/>
          </cell>
          <cell r="R59" t="str">
            <v/>
          </cell>
          <cell r="S59" t="str">
            <v/>
          </cell>
          <cell r="T59" t="str">
            <v/>
          </cell>
          <cell r="U59" t="str">
            <v/>
          </cell>
          <cell r="V59" t="str">
            <v/>
          </cell>
          <cell r="W59" t="str">
            <v/>
          </cell>
          <cell r="X59" t="str">
            <v/>
          </cell>
          <cell r="Y59" t="str">
            <v/>
          </cell>
          <cell r="Z59" t="str">
            <v/>
          </cell>
          <cell r="AA59" t="str">
            <v/>
          </cell>
          <cell r="AB59" t="str">
            <v/>
          </cell>
          <cell r="AC59" t="str">
            <v/>
          </cell>
          <cell r="AD59" t="str">
            <v/>
          </cell>
          <cell r="AE59" t="str">
            <v/>
          </cell>
          <cell r="AF59" t="str">
            <v/>
          </cell>
          <cell r="AG59" t="str">
            <v/>
          </cell>
          <cell r="AH59" t="str">
            <v/>
          </cell>
          <cell r="AI59" t="str">
            <v/>
          </cell>
          <cell r="AJ59" t="str">
            <v/>
          </cell>
          <cell r="AK59" t="str">
            <v/>
          </cell>
          <cell r="AL59" t="str">
            <v/>
          </cell>
          <cell r="AM59" t="str">
            <v/>
          </cell>
          <cell r="AN59" t="str">
            <v/>
          </cell>
          <cell r="AO59" t="str">
            <v/>
          </cell>
          <cell r="AP59" t="str">
            <v/>
          </cell>
          <cell r="AQ59" t="str">
            <v/>
          </cell>
          <cell r="AR59" t="str">
            <v/>
          </cell>
          <cell r="AS59" t="str">
            <v/>
          </cell>
          <cell r="AT59" t="str">
            <v/>
          </cell>
          <cell r="AU59" t="str">
            <v/>
          </cell>
          <cell r="AV59" t="str">
            <v/>
          </cell>
          <cell r="AW59" t="str">
            <v/>
          </cell>
          <cell r="AX59" t="str">
            <v/>
          </cell>
          <cell r="AY59" t="str">
            <v/>
          </cell>
          <cell r="AZ59" t="str">
            <v/>
          </cell>
          <cell r="BA59" t="str">
            <v/>
          </cell>
          <cell r="BB59" t="str">
            <v/>
          </cell>
          <cell r="BC59" t="str">
            <v/>
          </cell>
          <cell r="BD59" t="str">
            <v/>
          </cell>
          <cell r="BE59" t="str">
            <v/>
          </cell>
          <cell r="BF59" t="str">
            <v/>
          </cell>
          <cell r="BG59" t="str">
            <v/>
          </cell>
          <cell r="BH59" t="str">
            <v/>
          </cell>
          <cell r="BI59" t="str">
            <v/>
          </cell>
          <cell r="BJ59" t="str">
            <v/>
          </cell>
          <cell r="BK59" t="str">
            <v/>
          </cell>
          <cell r="BL59" t="str">
            <v/>
          </cell>
          <cell r="BM59" t="str">
            <v/>
          </cell>
          <cell r="BN59" t="str">
            <v/>
          </cell>
          <cell r="BO59" t="str">
            <v/>
          </cell>
          <cell r="BP59" t="str">
            <v/>
          </cell>
          <cell r="BQ59" t="str">
            <v/>
          </cell>
          <cell r="BR59" t="str">
            <v/>
          </cell>
          <cell r="BS59" t="str">
            <v/>
          </cell>
          <cell r="BT59" t="str">
            <v/>
          </cell>
          <cell r="BU59" t="str">
            <v/>
          </cell>
          <cell r="BV59" t="str">
            <v/>
          </cell>
          <cell r="BW59" t="str">
            <v/>
          </cell>
          <cell r="BX59" t="str">
            <v/>
          </cell>
          <cell r="BY59" t="str">
            <v/>
          </cell>
          <cell r="BZ59" t="str">
            <v/>
          </cell>
          <cell r="CA59" t="str">
            <v/>
          </cell>
          <cell r="CB59" t="str">
            <v/>
          </cell>
          <cell r="CC59" t="str">
            <v/>
          </cell>
          <cell r="CD59" t="str">
            <v/>
          </cell>
          <cell r="CE59" t="str">
            <v/>
          </cell>
          <cell r="CF59" t="str">
            <v/>
          </cell>
          <cell r="CG59" t="str">
            <v/>
          </cell>
          <cell r="CH59" t="str">
            <v/>
          </cell>
          <cell r="CI59" t="str">
            <v/>
          </cell>
          <cell r="CJ59" t="str">
            <v/>
          </cell>
          <cell r="CK59" t="str">
            <v/>
          </cell>
          <cell r="CL59" t="str">
            <v/>
          </cell>
          <cell r="CM59" t="str">
            <v/>
          </cell>
          <cell r="CN59" t="str">
            <v/>
          </cell>
          <cell r="CO59" t="str">
            <v/>
          </cell>
          <cell r="CP59" t="str">
            <v/>
          </cell>
          <cell r="CQ59" t="str">
            <v/>
          </cell>
          <cell r="CR59" t="str">
            <v/>
          </cell>
          <cell r="CS59" t="str">
            <v/>
          </cell>
        </row>
        <row r="60">
          <cell r="A60" t="str">
            <v>IT Support</v>
          </cell>
          <cell r="B60" t="str">
            <v>Encumbrances = $0</v>
          </cell>
          <cell r="C60" t="str">
            <v>Costs+Encumbrances = $0</v>
          </cell>
          <cell r="D60" t="str">
            <v>NON-LABOR TOTAL</v>
          </cell>
          <cell r="E60">
            <v>0</v>
          </cell>
          <cell r="F60">
            <v>0</v>
          </cell>
          <cell r="G60">
            <v>0</v>
          </cell>
          <cell r="H60">
            <v>0</v>
          </cell>
          <cell r="I60">
            <v>0</v>
          </cell>
          <cell r="J60">
            <v>0</v>
          </cell>
          <cell r="K60">
            <v>0</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0</v>
          </cell>
          <cell r="AQ60">
            <v>0</v>
          </cell>
          <cell r="AR60">
            <v>0</v>
          </cell>
          <cell r="AS60">
            <v>0</v>
          </cell>
          <cell r="AT60">
            <v>0</v>
          </cell>
          <cell r="AU60">
            <v>0</v>
          </cell>
          <cell r="AV60">
            <v>0</v>
          </cell>
          <cell r="AW60">
            <v>0</v>
          </cell>
          <cell r="AX60">
            <v>0</v>
          </cell>
          <cell r="AY60">
            <v>0</v>
          </cell>
          <cell r="AZ60">
            <v>0</v>
          </cell>
          <cell r="BA60">
            <v>0</v>
          </cell>
          <cell r="BB60">
            <v>0</v>
          </cell>
          <cell r="BC60">
            <v>0</v>
          </cell>
          <cell r="BD60">
            <v>0</v>
          </cell>
          <cell r="BE60">
            <v>0</v>
          </cell>
          <cell r="BF60">
            <v>0</v>
          </cell>
          <cell r="BG60">
            <v>0</v>
          </cell>
          <cell r="BH60">
            <v>0</v>
          </cell>
          <cell r="BI60">
            <v>0</v>
          </cell>
          <cell r="BJ60">
            <v>0</v>
          </cell>
          <cell r="BK60">
            <v>0</v>
          </cell>
          <cell r="BL60">
            <v>0</v>
          </cell>
          <cell r="BM60">
            <v>0</v>
          </cell>
          <cell r="BN60">
            <v>0</v>
          </cell>
          <cell r="BO60">
            <v>0</v>
          </cell>
          <cell r="BP60">
            <v>0</v>
          </cell>
          <cell r="BQ60">
            <v>0</v>
          </cell>
          <cell r="BR60">
            <v>0</v>
          </cell>
          <cell r="BS60">
            <v>0</v>
          </cell>
          <cell r="BT60">
            <v>0</v>
          </cell>
          <cell r="BU60">
            <v>0</v>
          </cell>
          <cell r="BV60">
            <v>0</v>
          </cell>
          <cell r="BW60">
            <v>0</v>
          </cell>
          <cell r="BX60">
            <v>0</v>
          </cell>
          <cell r="BY60">
            <v>0</v>
          </cell>
          <cell r="BZ60">
            <v>0</v>
          </cell>
          <cell r="CA60">
            <v>0</v>
          </cell>
          <cell r="CB60">
            <v>0</v>
          </cell>
          <cell r="CC60">
            <v>0</v>
          </cell>
          <cell r="CD60">
            <v>0</v>
          </cell>
          <cell r="CE60">
            <v>0</v>
          </cell>
          <cell r="CF60">
            <v>0</v>
          </cell>
          <cell r="CG60">
            <v>0</v>
          </cell>
          <cell r="CH60">
            <v>0</v>
          </cell>
          <cell r="CI60">
            <v>0</v>
          </cell>
          <cell r="CJ60">
            <v>0</v>
          </cell>
          <cell r="CK60">
            <v>0</v>
          </cell>
          <cell r="CL60">
            <v>0</v>
          </cell>
          <cell r="CM60">
            <v>0</v>
          </cell>
          <cell r="CN60">
            <v>0</v>
          </cell>
          <cell r="CO60">
            <v>0</v>
          </cell>
          <cell r="CP60">
            <v>0</v>
          </cell>
          <cell r="CQ60">
            <v>0</v>
          </cell>
          <cell r="CR60">
            <v>0</v>
          </cell>
          <cell r="CS60">
            <v>0</v>
          </cell>
        </row>
        <row r="61">
          <cell r="A61" t="str">
            <v>IT Support</v>
          </cell>
          <cell r="D61" t="str">
            <v>NON-LABOR RAW</v>
          </cell>
          <cell r="E61">
            <v>0</v>
          </cell>
          <cell r="F61">
            <v>0</v>
          </cell>
          <cell r="G61">
            <v>0</v>
          </cell>
          <cell r="H61">
            <v>0</v>
          </cell>
          <cell r="I61">
            <v>0</v>
          </cell>
          <cell r="J61">
            <v>0</v>
          </cell>
          <cell r="K61">
            <v>0</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0</v>
          </cell>
          <cell r="AQ61">
            <v>0</v>
          </cell>
          <cell r="AR61">
            <v>0</v>
          </cell>
          <cell r="AS61">
            <v>0</v>
          </cell>
          <cell r="AT61">
            <v>0</v>
          </cell>
          <cell r="AU61">
            <v>0</v>
          </cell>
          <cell r="AV61">
            <v>0</v>
          </cell>
          <cell r="AW61">
            <v>0</v>
          </cell>
          <cell r="AX61">
            <v>0</v>
          </cell>
          <cell r="AY61">
            <v>0</v>
          </cell>
          <cell r="AZ61">
            <v>0</v>
          </cell>
          <cell r="BA61">
            <v>0</v>
          </cell>
          <cell r="BB61">
            <v>0</v>
          </cell>
          <cell r="BC61">
            <v>0</v>
          </cell>
          <cell r="BD61">
            <v>0</v>
          </cell>
          <cell r="BE61">
            <v>0</v>
          </cell>
          <cell r="BF61">
            <v>0</v>
          </cell>
          <cell r="BG61">
            <v>0</v>
          </cell>
          <cell r="BH61">
            <v>0</v>
          </cell>
          <cell r="BI61">
            <v>0</v>
          </cell>
          <cell r="BJ61">
            <v>0</v>
          </cell>
          <cell r="BK61">
            <v>0</v>
          </cell>
          <cell r="BL61">
            <v>0</v>
          </cell>
          <cell r="BM61">
            <v>0</v>
          </cell>
          <cell r="BN61">
            <v>0</v>
          </cell>
          <cell r="BO61">
            <v>0</v>
          </cell>
          <cell r="BP61">
            <v>0</v>
          </cell>
          <cell r="BQ61">
            <v>0</v>
          </cell>
          <cell r="BR61">
            <v>0</v>
          </cell>
          <cell r="BS61">
            <v>0</v>
          </cell>
          <cell r="BT61">
            <v>0</v>
          </cell>
          <cell r="BU61">
            <v>0</v>
          </cell>
          <cell r="BV61">
            <v>0</v>
          </cell>
          <cell r="BW61">
            <v>0</v>
          </cell>
          <cell r="BX61">
            <v>0</v>
          </cell>
          <cell r="BY61">
            <v>0</v>
          </cell>
          <cell r="BZ61">
            <v>0</v>
          </cell>
          <cell r="CA61">
            <v>0</v>
          </cell>
          <cell r="CB61">
            <v>0</v>
          </cell>
          <cell r="CC61">
            <v>0</v>
          </cell>
          <cell r="CD61">
            <v>0</v>
          </cell>
          <cell r="CE61">
            <v>0</v>
          </cell>
          <cell r="CF61">
            <v>0</v>
          </cell>
          <cell r="CG61">
            <v>0</v>
          </cell>
          <cell r="CH61">
            <v>0</v>
          </cell>
          <cell r="CI61">
            <v>0</v>
          </cell>
          <cell r="CJ61">
            <v>0</v>
          </cell>
          <cell r="CK61">
            <v>0</v>
          </cell>
          <cell r="CL61">
            <v>0</v>
          </cell>
          <cell r="CM61">
            <v>0</v>
          </cell>
          <cell r="CN61">
            <v>0</v>
          </cell>
          <cell r="CO61">
            <v>0</v>
          </cell>
          <cell r="CP61">
            <v>0</v>
          </cell>
          <cell r="CQ61">
            <v>0</v>
          </cell>
          <cell r="CR61">
            <v>0</v>
          </cell>
          <cell r="CS61">
            <v>0</v>
          </cell>
        </row>
        <row r="62">
          <cell r="A62" t="str">
            <v>IT Support</v>
          </cell>
          <cell r="D62" t="str">
            <v>TOTAL BURDENED $</v>
          </cell>
          <cell r="E62">
            <v>0</v>
          </cell>
          <cell r="F62">
            <v>0</v>
          </cell>
          <cell r="G62">
            <v>0</v>
          </cell>
          <cell r="H62">
            <v>0</v>
          </cell>
          <cell r="I62">
            <v>0</v>
          </cell>
          <cell r="J62">
            <v>0</v>
          </cell>
          <cell r="K62">
            <v>0</v>
          </cell>
          <cell r="L62">
            <v>0</v>
          </cell>
          <cell r="M62">
            <v>0</v>
          </cell>
          <cell r="N62">
            <v>0</v>
          </cell>
          <cell r="O62">
            <v>0</v>
          </cell>
          <cell r="P62">
            <v>0</v>
          </cell>
          <cell r="Q62">
            <v>0</v>
          </cell>
          <cell r="R62">
            <v>0</v>
          </cell>
          <cell r="S62">
            <v>0</v>
          </cell>
          <cell r="T62">
            <v>0</v>
          </cell>
          <cell r="U62">
            <v>0</v>
          </cell>
          <cell r="V62">
            <v>0</v>
          </cell>
          <cell r="W62">
            <v>0</v>
          </cell>
          <cell r="X62">
            <v>0</v>
          </cell>
          <cell r="Y62">
            <v>0</v>
          </cell>
          <cell r="Z62">
            <v>0</v>
          </cell>
          <cell r="AA62">
            <v>0</v>
          </cell>
          <cell r="AB62">
            <v>0</v>
          </cell>
          <cell r="AC62">
            <v>0</v>
          </cell>
          <cell r="AD62">
            <v>0</v>
          </cell>
          <cell r="AE62">
            <v>0</v>
          </cell>
          <cell r="AF62">
            <v>0</v>
          </cell>
          <cell r="AG62">
            <v>0</v>
          </cell>
          <cell r="AH62">
            <v>0</v>
          </cell>
          <cell r="AI62">
            <v>0</v>
          </cell>
          <cell r="AJ62">
            <v>0</v>
          </cell>
          <cell r="AK62">
            <v>0</v>
          </cell>
          <cell r="AL62">
            <v>0</v>
          </cell>
          <cell r="AM62">
            <v>0</v>
          </cell>
          <cell r="AN62">
            <v>0</v>
          </cell>
          <cell r="AO62">
            <v>0</v>
          </cell>
          <cell r="AP62">
            <v>0</v>
          </cell>
          <cell r="AQ62">
            <v>0</v>
          </cell>
          <cell r="AR62">
            <v>0</v>
          </cell>
          <cell r="AS62">
            <v>0</v>
          </cell>
          <cell r="AT62">
            <v>0</v>
          </cell>
          <cell r="AU62">
            <v>0</v>
          </cell>
          <cell r="AV62">
            <v>0</v>
          </cell>
          <cell r="AW62">
            <v>0</v>
          </cell>
          <cell r="AX62">
            <v>0</v>
          </cell>
          <cell r="AY62">
            <v>0</v>
          </cell>
          <cell r="AZ62">
            <v>0</v>
          </cell>
          <cell r="BA62">
            <v>0</v>
          </cell>
          <cell r="BB62">
            <v>0</v>
          </cell>
          <cell r="BC62">
            <v>0</v>
          </cell>
          <cell r="BD62">
            <v>0</v>
          </cell>
          <cell r="BE62">
            <v>0</v>
          </cell>
          <cell r="BF62">
            <v>0</v>
          </cell>
          <cell r="BG62">
            <v>0</v>
          </cell>
          <cell r="BH62">
            <v>0</v>
          </cell>
          <cell r="BI62">
            <v>0</v>
          </cell>
          <cell r="BJ62">
            <v>0</v>
          </cell>
          <cell r="BK62">
            <v>0</v>
          </cell>
          <cell r="BL62">
            <v>0</v>
          </cell>
          <cell r="BM62">
            <v>0</v>
          </cell>
          <cell r="BN62">
            <v>0</v>
          </cell>
          <cell r="BO62">
            <v>0</v>
          </cell>
          <cell r="BP62">
            <v>0</v>
          </cell>
          <cell r="BQ62">
            <v>0</v>
          </cell>
          <cell r="BR62">
            <v>0</v>
          </cell>
          <cell r="BS62">
            <v>0</v>
          </cell>
          <cell r="BT62">
            <v>0</v>
          </cell>
          <cell r="BU62">
            <v>0</v>
          </cell>
          <cell r="BV62">
            <v>0</v>
          </cell>
          <cell r="BW62">
            <v>0</v>
          </cell>
          <cell r="BX62">
            <v>0</v>
          </cell>
          <cell r="BY62">
            <v>0</v>
          </cell>
          <cell r="BZ62">
            <v>0</v>
          </cell>
          <cell r="CA62">
            <v>0</v>
          </cell>
          <cell r="CB62">
            <v>0</v>
          </cell>
          <cell r="CC62">
            <v>0</v>
          </cell>
          <cell r="CD62">
            <v>0</v>
          </cell>
          <cell r="CE62">
            <v>0</v>
          </cell>
          <cell r="CF62">
            <v>0</v>
          </cell>
          <cell r="CG62">
            <v>0</v>
          </cell>
          <cell r="CH62">
            <v>0</v>
          </cell>
          <cell r="CI62">
            <v>0</v>
          </cell>
          <cell r="CJ62">
            <v>0</v>
          </cell>
          <cell r="CK62">
            <v>0</v>
          </cell>
          <cell r="CL62">
            <v>0</v>
          </cell>
          <cell r="CM62">
            <v>0</v>
          </cell>
          <cell r="CN62">
            <v>0</v>
          </cell>
          <cell r="CO62">
            <v>0</v>
          </cell>
          <cell r="CP62">
            <v>0</v>
          </cell>
          <cell r="CQ62">
            <v>0</v>
          </cell>
          <cell r="CR62">
            <v>0</v>
          </cell>
          <cell r="CS62">
            <v>0</v>
          </cell>
        </row>
        <row r="63">
          <cell r="BY63" t="str">
            <v>Past ETC</v>
          </cell>
          <cell r="BZ63" t="str">
            <v>ETC</v>
          </cell>
          <cell r="CA63" t="str">
            <v>Total Fcst</v>
          </cell>
          <cell r="CB63" t="str">
            <v>Past ETC</v>
          </cell>
          <cell r="CC63" t="str">
            <v>ETC</v>
          </cell>
          <cell r="CD63" t="str">
            <v>Total Fcst</v>
          </cell>
          <cell r="CE63" t="str">
            <v>Past ETC</v>
          </cell>
          <cell r="CF63" t="str">
            <v>ETC</v>
          </cell>
          <cell r="CG63" t="str">
            <v>Total Fcst</v>
          </cell>
          <cell r="CH63" t="str">
            <v>Past ETC</v>
          </cell>
          <cell r="CI63" t="str">
            <v>ETC</v>
          </cell>
          <cell r="CJ63" t="str">
            <v>Total Fcst</v>
          </cell>
          <cell r="CK63" t="str">
            <v>Past ETC</v>
          </cell>
          <cell r="CL63" t="str">
            <v>ETC</v>
          </cell>
          <cell r="CM63" t="str">
            <v>Total Fcst</v>
          </cell>
          <cell r="CN63" t="str">
            <v>Past ETC</v>
          </cell>
          <cell r="CO63" t="str">
            <v>ETC</v>
          </cell>
          <cell r="CP63" t="str">
            <v>Total Fcst</v>
          </cell>
          <cell r="CQ63" t="str">
            <v>Past ETC</v>
          </cell>
          <cell r="CR63" t="str">
            <v>ETC</v>
          </cell>
          <cell r="CS63" t="str">
            <v>Total Fcst</v>
          </cell>
        </row>
        <row r="64">
          <cell r="A64" t="str">
            <v>LABOR</v>
          </cell>
          <cell r="BY64">
            <v>0</v>
          </cell>
          <cell r="BZ64">
            <v>0</v>
          </cell>
          <cell r="CA64">
            <v>0</v>
          </cell>
          <cell r="CB64">
            <v>0</v>
          </cell>
          <cell r="CC64">
            <v>0</v>
          </cell>
          <cell r="CD64">
            <v>0</v>
          </cell>
          <cell r="CE64">
            <v>0</v>
          </cell>
          <cell r="CF64">
            <v>0</v>
          </cell>
          <cell r="CG64">
            <v>0</v>
          </cell>
          <cell r="CH64">
            <v>0</v>
          </cell>
          <cell r="CI64">
            <v>0</v>
          </cell>
          <cell r="CJ64">
            <v>0</v>
          </cell>
          <cell r="CK64">
            <v>0</v>
          </cell>
          <cell r="CL64">
            <v>0</v>
          </cell>
          <cell r="CM64">
            <v>0</v>
          </cell>
          <cell r="CN64">
            <v>0</v>
          </cell>
          <cell r="CO64">
            <v>0</v>
          </cell>
          <cell r="CP64">
            <v>0</v>
          </cell>
          <cell r="CQ64">
            <v>0</v>
          </cell>
          <cell r="CR64">
            <v>0</v>
          </cell>
          <cell r="CS64">
            <v>0</v>
          </cell>
        </row>
        <row r="65">
          <cell r="BY65">
            <v>0</v>
          </cell>
          <cell r="BZ65">
            <v>0</v>
          </cell>
          <cell r="CA65">
            <v>0</v>
          </cell>
          <cell r="CB65">
            <v>0</v>
          </cell>
          <cell r="CC65">
            <v>0</v>
          </cell>
          <cell r="CD65">
            <v>0</v>
          </cell>
          <cell r="CE65">
            <v>0</v>
          </cell>
          <cell r="CF65">
            <v>0</v>
          </cell>
          <cell r="CG65">
            <v>0</v>
          </cell>
          <cell r="CH65">
            <v>0</v>
          </cell>
          <cell r="CI65">
            <v>0</v>
          </cell>
          <cell r="CJ65">
            <v>0</v>
          </cell>
          <cell r="CK65">
            <v>0</v>
          </cell>
          <cell r="CL65">
            <v>0</v>
          </cell>
          <cell r="CM65">
            <v>0</v>
          </cell>
          <cell r="CN65">
            <v>0</v>
          </cell>
          <cell r="CO65">
            <v>0</v>
          </cell>
          <cell r="CP65">
            <v>0</v>
          </cell>
          <cell r="CQ65">
            <v>0</v>
          </cell>
          <cell r="CR65">
            <v>0</v>
          </cell>
          <cell r="CS65">
            <v>0</v>
          </cell>
        </row>
        <row r="66">
          <cell r="BY66" t="str">
            <v/>
          </cell>
        </row>
        <row r="67">
          <cell r="A67" t="str">
            <v>Other SLAC Labor</v>
          </cell>
          <cell r="B67" t="str">
            <v>Other SLAC Labor</v>
          </cell>
          <cell r="C67" t="str">
            <v>EAC = $0</v>
          </cell>
          <cell r="D67" t="str">
            <v>LABOR TOTAL</v>
          </cell>
          <cell r="E67">
            <v>0</v>
          </cell>
          <cell r="F67">
            <v>0</v>
          </cell>
          <cell r="G67">
            <v>0</v>
          </cell>
          <cell r="H67">
            <v>0</v>
          </cell>
          <cell r="I67">
            <v>0</v>
          </cell>
          <cell r="J67">
            <v>0</v>
          </cell>
          <cell r="K67">
            <v>0</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0</v>
          </cell>
          <cell r="AQ67">
            <v>0</v>
          </cell>
          <cell r="AR67">
            <v>0</v>
          </cell>
          <cell r="AS67">
            <v>0</v>
          </cell>
          <cell r="AT67">
            <v>0</v>
          </cell>
          <cell r="AU67">
            <v>0</v>
          </cell>
          <cell r="AV67">
            <v>0</v>
          </cell>
          <cell r="AW67">
            <v>0</v>
          </cell>
          <cell r="AX67">
            <v>0</v>
          </cell>
          <cell r="AY67">
            <v>0</v>
          </cell>
          <cell r="AZ67">
            <v>0</v>
          </cell>
          <cell r="BA67">
            <v>0</v>
          </cell>
          <cell r="BB67">
            <v>0</v>
          </cell>
          <cell r="BC67">
            <v>0</v>
          </cell>
          <cell r="BD67">
            <v>0</v>
          </cell>
          <cell r="BE67">
            <v>0</v>
          </cell>
          <cell r="BF67">
            <v>0</v>
          </cell>
          <cell r="BG67">
            <v>0</v>
          </cell>
          <cell r="BH67">
            <v>0</v>
          </cell>
          <cell r="BI67">
            <v>0</v>
          </cell>
          <cell r="BJ67">
            <v>0</v>
          </cell>
          <cell r="BK67">
            <v>0</v>
          </cell>
          <cell r="BL67">
            <v>0</v>
          </cell>
          <cell r="BM67">
            <v>0</v>
          </cell>
          <cell r="BN67">
            <v>0</v>
          </cell>
          <cell r="BO67">
            <v>0</v>
          </cell>
          <cell r="BP67">
            <v>0</v>
          </cell>
          <cell r="BQ67">
            <v>0</v>
          </cell>
          <cell r="BR67">
            <v>0</v>
          </cell>
          <cell r="BS67">
            <v>0</v>
          </cell>
          <cell r="BT67">
            <v>0</v>
          </cell>
          <cell r="BU67">
            <v>0</v>
          </cell>
          <cell r="BV67">
            <v>0</v>
          </cell>
          <cell r="BW67">
            <v>0</v>
          </cell>
          <cell r="BX67">
            <v>0</v>
          </cell>
          <cell r="BY67">
            <v>0</v>
          </cell>
          <cell r="BZ67">
            <v>0</v>
          </cell>
          <cell r="CA67">
            <v>0</v>
          </cell>
          <cell r="CB67">
            <v>0</v>
          </cell>
          <cell r="CC67">
            <v>0</v>
          </cell>
          <cell r="CD67">
            <v>0</v>
          </cell>
          <cell r="CE67">
            <v>0</v>
          </cell>
          <cell r="CF67">
            <v>0</v>
          </cell>
          <cell r="CG67">
            <v>0</v>
          </cell>
          <cell r="CH67">
            <v>0</v>
          </cell>
          <cell r="CI67">
            <v>0</v>
          </cell>
          <cell r="CJ67">
            <v>0</v>
          </cell>
          <cell r="CK67">
            <v>0</v>
          </cell>
          <cell r="CL67">
            <v>0</v>
          </cell>
          <cell r="CM67">
            <v>0</v>
          </cell>
          <cell r="CN67">
            <v>0</v>
          </cell>
          <cell r="CO67">
            <v>0</v>
          </cell>
          <cell r="CP67">
            <v>0</v>
          </cell>
          <cell r="CQ67">
            <v>0</v>
          </cell>
          <cell r="CR67">
            <v>0</v>
          </cell>
          <cell r="CS67">
            <v>0</v>
          </cell>
        </row>
        <row r="68">
          <cell r="A68" t="str">
            <v>Other SLAC Labor</v>
          </cell>
          <cell r="C68" t="str">
            <v>XXXX6</v>
          </cell>
          <cell r="D68" t="str">
            <v>TOTAL SALARY $</v>
          </cell>
          <cell r="E68">
            <v>0</v>
          </cell>
          <cell r="F68">
            <v>0</v>
          </cell>
          <cell r="G68">
            <v>0</v>
          </cell>
          <cell r="H68">
            <v>0</v>
          </cell>
          <cell r="I68">
            <v>0</v>
          </cell>
          <cell r="J68">
            <v>0</v>
          </cell>
          <cell r="K68">
            <v>0</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0</v>
          </cell>
          <cell r="AQ68">
            <v>0</v>
          </cell>
          <cell r="AR68">
            <v>0</v>
          </cell>
          <cell r="AS68">
            <v>0</v>
          </cell>
          <cell r="AT68">
            <v>0</v>
          </cell>
          <cell r="AU68">
            <v>0</v>
          </cell>
          <cell r="AV68">
            <v>0</v>
          </cell>
          <cell r="AW68">
            <v>0</v>
          </cell>
          <cell r="AX68">
            <v>0</v>
          </cell>
          <cell r="AY68">
            <v>0</v>
          </cell>
          <cell r="AZ68">
            <v>0</v>
          </cell>
          <cell r="BA68">
            <v>0</v>
          </cell>
          <cell r="BB68">
            <v>0</v>
          </cell>
          <cell r="BC68">
            <v>0</v>
          </cell>
          <cell r="BD68">
            <v>0</v>
          </cell>
          <cell r="BE68">
            <v>0</v>
          </cell>
          <cell r="BF68">
            <v>0</v>
          </cell>
          <cell r="BG68">
            <v>0</v>
          </cell>
          <cell r="BH68">
            <v>0</v>
          </cell>
          <cell r="BI68">
            <v>0</v>
          </cell>
          <cell r="BJ68">
            <v>0</v>
          </cell>
          <cell r="BK68">
            <v>0</v>
          </cell>
          <cell r="BL68">
            <v>0</v>
          </cell>
          <cell r="BM68">
            <v>0</v>
          </cell>
          <cell r="BN68">
            <v>0</v>
          </cell>
          <cell r="BO68">
            <v>0</v>
          </cell>
          <cell r="BP68">
            <v>0</v>
          </cell>
          <cell r="BQ68">
            <v>0</v>
          </cell>
          <cell r="BR68">
            <v>0</v>
          </cell>
          <cell r="BS68">
            <v>0</v>
          </cell>
          <cell r="BT68">
            <v>0</v>
          </cell>
          <cell r="BU68">
            <v>0</v>
          </cell>
          <cell r="BV68">
            <v>0</v>
          </cell>
          <cell r="BW68">
            <v>0</v>
          </cell>
          <cell r="BX68">
            <v>0</v>
          </cell>
          <cell r="BY68">
            <v>0</v>
          </cell>
          <cell r="BZ68">
            <v>0</v>
          </cell>
          <cell r="CA68">
            <v>0</v>
          </cell>
          <cell r="CB68">
            <v>0</v>
          </cell>
          <cell r="CC68">
            <v>0</v>
          </cell>
          <cell r="CD68">
            <v>0</v>
          </cell>
          <cell r="CE68">
            <v>0</v>
          </cell>
          <cell r="CF68">
            <v>0</v>
          </cell>
          <cell r="CG68">
            <v>0</v>
          </cell>
          <cell r="CH68">
            <v>0</v>
          </cell>
          <cell r="CI68">
            <v>0</v>
          </cell>
          <cell r="CJ68">
            <v>0</v>
          </cell>
          <cell r="CK68">
            <v>0</v>
          </cell>
          <cell r="CL68">
            <v>0</v>
          </cell>
          <cell r="CM68">
            <v>0</v>
          </cell>
          <cell r="CN68">
            <v>0</v>
          </cell>
          <cell r="CO68">
            <v>0</v>
          </cell>
          <cell r="CP68">
            <v>0</v>
          </cell>
          <cell r="CQ68">
            <v>0</v>
          </cell>
          <cell r="CR68">
            <v>0</v>
          </cell>
          <cell r="CS68">
            <v>0</v>
          </cell>
        </row>
        <row r="69">
          <cell r="A69" t="str">
            <v>Other SLAC Labor</v>
          </cell>
          <cell r="D69" t="str">
            <v>TOTAL FTE</v>
          </cell>
          <cell r="E69">
            <v>0</v>
          </cell>
          <cell r="F69">
            <v>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0</v>
          </cell>
          <cell r="AQ69">
            <v>0</v>
          </cell>
          <cell r="AR69">
            <v>0</v>
          </cell>
          <cell r="AS69">
            <v>0</v>
          </cell>
          <cell r="AT69">
            <v>0</v>
          </cell>
          <cell r="AU69">
            <v>0</v>
          </cell>
          <cell r="AV69">
            <v>0</v>
          </cell>
          <cell r="AW69">
            <v>0</v>
          </cell>
          <cell r="AX69">
            <v>0</v>
          </cell>
          <cell r="AY69">
            <v>0</v>
          </cell>
          <cell r="AZ69">
            <v>0</v>
          </cell>
          <cell r="BA69">
            <v>0</v>
          </cell>
          <cell r="BB69">
            <v>0</v>
          </cell>
          <cell r="BC69">
            <v>0</v>
          </cell>
          <cell r="BD69">
            <v>0</v>
          </cell>
          <cell r="BE69">
            <v>0</v>
          </cell>
          <cell r="BF69">
            <v>0</v>
          </cell>
          <cell r="BG69">
            <v>0</v>
          </cell>
          <cell r="BH69">
            <v>0</v>
          </cell>
          <cell r="BI69">
            <v>0</v>
          </cell>
          <cell r="BJ69">
            <v>0</v>
          </cell>
          <cell r="BK69">
            <v>0</v>
          </cell>
          <cell r="BL69">
            <v>0</v>
          </cell>
          <cell r="BM69">
            <v>0</v>
          </cell>
          <cell r="BN69">
            <v>0</v>
          </cell>
          <cell r="BO69">
            <v>0</v>
          </cell>
          <cell r="BP69">
            <v>0</v>
          </cell>
          <cell r="BQ69">
            <v>0</v>
          </cell>
          <cell r="BR69">
            <v>0</v>
          </cell>
          <cell r="BS69">
            <v>0</v>
          </cell>
          <cell r="BT69">
            <v>0</v>
          </cell>
          <cell r="BU69">
            <v>0</v>
          </cell>
          <cell r="BV69">
            <v>0</v>
          </cell>
          <cell r="BW69">
            <v>0</v>
          </cell>
          <cell r="BX69">
            <v>0</v>
          </cell>
          <cell r="BY69">
            <v>0</v>
          </cell>
          <cell r="BZ69">
            <v>0</v>
          </cell>
          <cell r="CA69">
            <v>0</v>
          </cell>
          <cell r="CB69">
            <v>0</v>
          </cell>
          <cell r="CC69">
            <v>0</v>
          </cell>
          <cell r="CD69">
            <v>0</v>
          </cell>
          <cell r="CE69">
            <v>0</v>
          </cell>
          <cell r="CF69">
            <v>0</v>
          </cell>
          <cell r="CG69">
            <v>0</v>
          </cell>
          <cell r="CH69">
            <v>0</v>
          </cell>
          <cell r="CI69">
            <v>0</v>
          </cell>
          <cell r="CJ69">
            <v>0</v>
          </cell>
          <cell r="CK69">
            <v>0</v>
          </cell>
          <cell r="CL69">
            <v>0</v>
          </cell>
          <cell r="CM69">
            <v>0</v>
          </cell>
          <cell r="CN69">
            <v>0</v>
          </cell>
          <cell r="CO69">
            <v>0</v>
          </cell>
          <cell r="CP69">
            <v>0</v>
          </cell>
          <cell r="CQ69">
            <v>0</v>
          </cell>
          <cell r="CR69">
            <v>0</v>
          </cell>
          <cell r="CS69">
            <v>0</v>
          </cell>
        </row>
        <row r="70">
          <cell r="A70" t="str">
            <v>Other SLAC Labor</v>
          </cell>
          <cell r="D70" t="str">
            <v>TOTAL HOURS</v>
          </cell>
          <cell r="E70">
            <v>0</v>
          </cell>
          <cell r="F70">
            <v>0</v>
          </cell>
          <cell r="G70">
            <v>0</v>
          </cell>
          <cell r="H70">
            <v>0</v>
          </cell>
          <cell r="I70">
            <v>0</v>
          </cell>
          <cell r="J70">
            <v>0</v>
          </cell>
          <cell r="K70">
            <v>0</v>
          </cell>
          <cell r="L70">
            <v>0</v>
          </cell>
          <cell r="M70">
            <v>0</v>
          </cell>
          <cell r="N70">
            <v>0</v>
          </cell>
          <cell r="O70">
            <v>0</v>
          </cell>
          <cell r="P70">
            <v>0</v>
          </cell>
          <cell r="Q70">
            <v>0</v>
          </cell>
          <cell r="R70">
            <v>0</v>
          </cell>
          <cell r="S70">
            <v>0</v>
          </cell>
          <cell r="T70">
            <v>0</v>
          </cell>
          <cell r="U70">
            <v>0</v>
          </cell>
          <cell r="V70">
            <v>0</v>
          </cell>
          <cell r="W70">
            <v>0</v>
          </cell>
          <cell r="X70">
            <v>0</v>
          </cell>
          <cell r="Y70">
            <v>0</v>
          </cell>
          <cell r="Z70">
            <v>0</v>
          </cell>
          <cell r="AA70">
            <v>0</v>
          </cell>
          <cell r="AB70">
            <v>0</v>
          </cell>
          <cell r="AC70">
            <v>0</v>
          </cell>
          <cell r="AD70">
            <v>0</v>
          </cell>
          <cell r="AE70">
            <v>0</v>
          </cell>
          <cell r="AF70">
            <v>0</v>
          </cell>
          <cell r="AG70">
            <v>0</v>
          </cell>
          <cell r="AH70">
            <v>0</v>
          </cell>
          <cell r="AI70">
            <v>0</v>
          </cell>
          <cell r="AJ70">
            <v>0</v>
          </cell>
          <cell r="AK70">
            <v>0</v>
          </cell>
          <cell r="AL70">
            <v>0</v>
          </cell>
          <cell r="AM70">
            <v>0</v>
          </cell>
          <cell r="AN70">
            <v>0</v>
          </cell>
          <cell r="AO70">
            <v>0</v>
          </cell>
          <cell r="AP70">
            <v>0</v>
          </cell>
          <cell r="AQ70">
            <v>0</v>
          </cell>
          <cell r="AR70">
            <v>0</v>
          </cell>
          <cell r="AS70">
            <v>0</v>
          </cell>
          <cell r="AT70">
            <v>0</v>
          </cell>
          <cell r="AU70">
            <v>0</v>
          </cell>
          <cell r="AV70">
            <v>0</v>
          </cell>
          <cell r="AW70">
            <v>0</v>
          </cell>
          <cell r="AX70">
            <v>0</v>
          </cell>
          <cell r="AY70">
            <v>0</v>
          </cell>
          <cell r="AZ70">
            <v>0</v>
          </cell>
          <cell r="BA70">
            <v>0</v>
          </cell>
          <cell r="BB70">
            <v>0</v>
          </cell>
          <cell r="BC70">
            <v>0</v>
          </cell>
          <cell r="BD70">
            <v>0</v>
          </cell>
          <cell r="BE70">
            <v>0</v>
          </cell>
          <cell r="BF70">
            <v>0</v>
          </cell>
          <cell r="BG70">
            <v>0</v>
          </cell>
          <cell r="BH70">
            <v>0</v>
          </cell>
          <cell r="BI70">
            <v>0</v>
          </cell>
          <cell r="BJ70">
            <v>0</v>
          </cell>
          <cell r="BK70">
            <v>0</v>
          </cell>
          <cell r="BL70">
            <v>0</v>
          </cell>
          <cell r="BM70">
            <v>0</v>
          </cell>
          <cell r="BN70">
            <v>0</v>
          </cell>
          <cell r="BO70">
            <v>0</v>
          </cell>
          <cell r="BP70">
            <v>0</v>
          </cell>
          <cell r="BQ70">
            <v>0</v>
          </cell>
          <cell r="BR70">
            <v>0</v>
          </cell>
          <cell r="BS70">
            <v>0</v>
          </cell>
          <cell r="BT70">
            <v>0</v>
          </cell>
          <cell r="BU70">
            <v>0</v>
          </cell>
          <cell r="BV70">
            <v>0</v>
          </cell>
          <cell r="BW70">
            <v>0</v>
          </cell>
          <cell r="BX70">
            <v>0</v>
          </cell>
          <cell r="BY70">
            <v>0</v>
          </cell>
          <cell r="BZ70">
            <v>0</v>
          </cell>
          <cell r="CA70">
            <v>0</v>
          </cell>
          <cell r="CB70">
            <v>0</v>
          </cell>
          <cell r="CC70">
            <v>0</v>
          </cell>
          <cell r="CD70">
            <v>0</v>
          </cell>
          <cell r="CE70">
            <v>0</v>
          </cell>
          <cell r="CF70">
            <v>0</v>
          </cell>
          <cell r="CG70">
            <v>0</v>
          </cell>
          <cell r="CH70">
            <v>0</v>
          </cell>
          <cell r="CI70">
            <v>0</v>
          </cell>
          <cell r="CJ70">
            <v>0</v>
          </cell>
          <cell r="CK70">
            <v>0</v>
          </cell>
          <cell r="CL70">
            <v>0</v>
          </cell>
          <cell r="CM70">
            <v>0</v>
          </cell>
          <cell r="CN70">
            <v>0</v>
          </cell>
          <cell r="CO70">
            <v>0</v>
          </cell>
          <cell r="CP70">
            <v>0</v>
          </cell>
          <cell r="CQ70">
            <v>0</v>
          </cell>
          <cell r="CR70">
            <v>0</v>
          </cell>
          <cell r="CS70">
            <v>0</v>
          </cell>
        </row>
        <row r="71">
          <cell r="A71" t="str">
            <v>Other SLAC Labor</v>
          </cell>
          <cell r="C71" t="str">
            <v>Costs+Liens+PLiens = $0</v>
          </cell>
          <cell r="D71" t="str">
            <v>AVG HRLY LBR RATE</v>
          </cell>
          <cell r="E71" t="str">
            <v/>
          </cell>
          <cell r="F71" t="str">
            <v/>
          </cell>
          <cell r="G71" t="str">
            <v/>
          </cell>
          <cell r="H71" t="str">
            <v/>
          </cell>
          <cell r="I71" t="str">
            <v/>
          </cell>
          <cell r="J71" t="str">
            <v/>
          </cell>
          <cell r="K71" t="str">
            <v/>
          </cell>
          <cell r="L71" t="str">
            <v/>
          </cell>
          <cell r="M71" t="str">
            <v/>
          </cell>
          <cell r="N71" t="str">
            <v/>
          </cell>
          <cell r="O71" t="str">
            <v/>
          </cell>
          <cell r="P71" t="str">
            <v/>
          </cell>
          <cell r="Q71" t="str">
            <v/>
          </cell>
          <cell r="R71" t="str">
            <v/>
          </cell>
          <cell r="S71" t="str">
            <v/>
          </cell>
          <cell r="T71" t="str">
            <v/>
          </cell>
          <cell r="U71" t="str">
            <v/>
          </cell>
          <cell r="V71" t="str">
            <v/>
          </cell>
          <cell r="W71" t="str">
            <v/>
          </cell>
          <cell r="X71" t="str">
            <v/>
          </cell>
          <cell r="Y71" t="str">
            <v/>
          </cell>
          <cell r="Z71" t="str">
            <v/>
          </cell>
          <cell r="AA71" t="str">
            <v/>
          </cell>
          <cell r="AB71" t="str">
            <v/>
          </cell>
          <cell r="AC71" t="str">
            <v/>
          </cell>
          <cell r="AD71" t="str">
            <v/>
          </cell>
          <cell r="AE71" t="str">
            <v/>
          </cell>
          <cell r="AF71" t="str">
            <v/>
          </cell>
          <cell r="AG71" t="str">
            <v/>
          </cell>
          <cell r="AH71" t="str">
            <v/>
          </cell>
          <cell r="AI71" t="str">
            <v/>
          </cell>
          <cell r="AJ71" t="str">
            <v/>
          </cell>
          <cell r="AK71" t="str">
            <v/>
          </cell>
          <cell r="AL71" t="str">
            <v/>
          </cell>
          <cell r="AM71" t="str">
            <v/>
          </cell>
          <cell r="AN71" t="str">
            <v/>
          </cell>
          <cell r="AO71" t="str">
            <v/>
          </cell>
          <cell r="AP71" t="str">
            <v/>
          </cell>
          <cell r="AQ71" t="str">
            <v/>
          </cell>
          <cell r="AR71" t="str">
            <v/>
          </cell>
          <cell r="AS71" t="str">
            <v/>
          </cell>
          <cell r="AT71" t="str">
            <v/>
          </cell>
          <cell r="AU71" t="str">
            <v/>
          </cell>
          <cell r="AV71" t="str">
            <v/>
          </cell>
          <cell r="AW71" t="str">
            <v/>
          </cell>
          <cell r="AX71" t="str">
            <v/>
          </cell>
          <cell r="AY71" t="str">
            <v/>
          </cell>
          <cell r="AZ71" t="str">
            <v/>
          </cell>
          <cell r="BA71" t="str">
            <v/>
          </cell>
          <cell r="BB71" t="str">
            <v/>
          </cell>
          <cell r="BC71" t="str">
            <v/>
          </cell>
          <cell r="BD71" t="str">
            <v/>
          </cell>
          <cell r="BE71" t="str">
            <v/>
          </cell>
          <cell r="BF71" t="str">
            <v/>
          </cell>
          <cell r="BG71" t="str">
            <v/>
          </cell>
          <cell r="BH71" t="str">
            <v/>
          </cell>
          <cell r="BI71" t="str">
            <v/>
          </cell>
          <cell r="BJ71" t="str">
            <v/>
          </cell>
          <cell r="BK71" t="str">
            <v/>
          </cell>
          <cell r="BL71" t="str">
            <v/>
          </cell>
          <cell r="BM71" t="str">
            <v/>
          </cell>
          <cell r="BN71" t="str">
            <v/>
          </cell>
          <cell r="BO71" t="str">
            <v/>
          </cell>
          <cell r="BP71" t="str">
            <v/>
          </cell>
          <cell r="BQ71" t="str">
            <v/>
          </cell>
          <cell r="BR71" t="str">
            <v/>
          </cell>
          <cell r="BS71" t="str">
            <v/>
          </cell>
          <cell r="BT71" t="str">
            <v/>
          </cell>
          <cell r="BU71" t="str">
            <v/>
          </cell>
          <cell r="BV71" t="str">
            <v/>
          </cell>
          <cell r="BW71" t="str">
            <v/>
          </cell>
          <cell r="BX71" t="str">
            <v/>
          </cell>
          <cell r="BY71" t="str">
            <v/>
          </cell>
          <cell r="BZ71" t="str">
            <v/>
          </cell>
          <cell r="CA71" t="str">
            <v/>
          </cell>
          <cell r="CB71" t="str">
            <v/>
          </cell>
          <cell r="CC71" t="str">
            <v/>
          </cell>
          <cell r="CD71" t="str">
            <v/>
          </cell>
          <cell r="CE71" t="str">
            <v/>
          </cell>
          <cell r="CF71" t="str">
            <v/>
          </cell>
          <cell r="CG71" t="str">
            <v/>
          </cell>
          <cell r="CH71" t="str">
            <v/>
          </cell>
          <cell r="CI71" t="str">
            <v/>
          </cell>
          <cell r="CJ71" t="str">
            <v/>
          </cell>
          <cell r="CK71" t="str">
            <v/>
          </cell>
          <cell r="CL71" t="str">
            <v/>
          </cell>
          <cell r="CM71" t="str">
            <v/>
          </cell>
          <cell r="CN71" t="str">
            <v/>
          </cell>
          <cell r="CO71" t="str">
            <v/>
          </cell>
          <cell r="CP71" t="str">
            <v/>
          </cell>
          <cell r="CQ71" t="str">
            <v/>
          </cell>
          <cell r="CR71" t="str">
            <v/>
          </cell>
          <cell r="CS71" t="str">
            <v/>
          </cell>
        </row>
        <row r="72">
          <cell r="A72" t="str">
            <v>Other SLAC Labor</v>
          </cell>
          <cell r="B72" t="str">
            <v>Encumbrances = $0</v>
          </cell>
          <cell r="C72" t="str">
            <v>Costs+Encumbrances = $0</v>
          </cell>
          <cell r="D72" t="str">
            <v>NON-LABOR TOTAL</v>
          </cell>
          <cell r="E72">
            <v>0</v>
          </cell>
          <cell r="F72">
            <v>0</v>
          </cell>
          <cell r="G72">
            <v>0</v>
          </cell>
          <cell r="H72">
            <v>0</v>
          </cell>
          <cell r="I72">
            <v>0</v>
          </cell>
          <cell r="J72">
            <v>0</v>
          </cell>
          <cell r="K72">
            <v>0</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0</v>
          </cell>
          <cell r="AQ72">
            <v>0</v>
          </cell>
          <cell r="AR72">
            <v>0</v>
          </cell>
          <cell r="AS72">
            <v>0</v>
          </cell>
          <cell r="AT72">
            <v>0</v>
          </cell>
          <cell r="AU72">
            <v>0</v>
          </cell>
          <cell r="AV72">
            <v>0</v>
          </cell>
          <cell r="AW72">
            <v>0</v>
          </cell>
          <cell r="AX72">
            <v>0</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cell r="BM72">
            <v>0</v>
          </cell>
          <cell r="BN72">
            <v>0</v>
          </cell>
          <cell r="BO72">
            <v>0</v>
          </cell>
          <cell r="BP72">
            <v>0</v>
          </cell>
          <cell r="BQ72">
            <v>0</v>
          </cell>
          <cell r="BR72">
            <v>0</v>
          </cell>
          <cell r="BS72">
            <v>0</v>
          </cell>
          <cell r="BT72">
            <v>0</v>
          </cell>
          <cell r="BU72">
            <v>0</v>
          </cell>
          <cell r="BV72">
            <v>0</v>
          </cell>
          <cell r="BW72">
            <v>0</v>
          </cell>
          <cell r="BX72">
            <v>0</v>
          </cell>
          <cell r="BY72">
            <v>0</v>
          </cell>
          <cell r="BZ72">
            <v>0</v>
          </cell>
          <cell r="CA72">
            <v>0</v>
          </cell>
          <cell r="CB72">
            <v>0</v>
          </cell>
          <cell r="CC72">
            <v>0</v>
          </cell>
          <cell r="CD72">
            <v>0</v>
          </cell>
          <cell r="CE72">
            <v>0</v>
          </cell>
          <cell r="CF72">
            <v>0</v>
          </cell>
          <cell r="CG72">
            <v>0</v>
          </cell>
          <cell r="CH72">
            <v>0</v>
          </cell>
          <cell r="CI72">
            <v>0</v>
          </cell>
          <cell r="CJ72">
            <v>0</v>
          </cell>
          <cell r="CK72">
            <v>0</v>
          </cell>
          <cell r="CL72">
            <v>0</v>
          </cell>
          <cell r="CM72">
            <v>0</v>
          </cell>
          <cell r="CN72">
            <v>0</v>
          </cell>
          <cell r="CO72">
            <v>0</v>
          </cell>
          <cell r="CP72">
            <v>0</v>
          </cell>
          <cell r="CQ72">
            <v>0</v>
          </cell>
          <cell r="CR72">
            <v>0</v>
          </cell>
          <cell r="CS72">
            <v>0</v>
          </cell>
        </row>
        <row r="73">
          <cell r="A73" t="str">
            <v>Other SLAC Labor</v>
          </cell>
          <cell r="D73" t="str">
            <v>NON-LABOR RAW</v>
          </cell>
          <cell r="E73">
            <v>0</v>
          </cell>
          <cell r="F73">
            <v>0</v>
          </cell>
          <cell r="G73">
            <v>0</v>
          </cell>
          <cell r="H73">
            <v>0</v>
          </cell>
          <cell r="I73">
            <v>0</v>
          </cell>
          <cell r="J73">
            <v>0</v>
          </cell>
          <cell r="K73">
            <v>0</v>
          </cell>
          <cell r="L73">
            <v>0</v>
          </cell>
          <cell r="M73">
            <v>0</v>
          </cell>
          <cell r="N73">
            <v>0</v>
          </cell>
          <cell r="O73">
            <v>0</v>
          </cell>
          <cell r="P73">
            <v>0</v>
          </cell>
          <cell r="Q73">
            <v>0</v>
          </cell>
          <cell r="R73">
            <v>0</v>
          </cell>
          <cell r="S73">
            <v>0</v>
          </cell>
          <cell r="T73">
            <v>0</v>
          </cell>
          <cell r="U73">
            <v>0</v>
          </cell>
          <cell r="V73">
            <v>0</v>
          </cell>
          <cell r="W73">
            <v>0</v>
          </cell>
          <cell r="X73">
            <v>0</v>
          </cell>
          <cell r="Y73">
            <v>0</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0</v>
          </cell>
          <cell r="AQ73">
            <v>0</v>
          </cell>
          <cell r="AR73">
            <v>0</v>
          </cell>
          <cell r="AS73">
            <v>0</v>
          </cell>
          <cell r="AT73">
            <v>0</v>
          </cell>
          <cell r="AU73">
            <v>0</v>
          </cell>
          <cell r="AV73">
            <v>0</v>
          </cell>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cell r="BM73">
            <v>0</v>
          </cell>
          <cell r="BN73">
            <v>0</v>
          </cell>
          <cell r="BO73">
            <v>0</v>
          </cell>
          <cell r="BP73">
            <v>0</v>
          </cell>
          <cell r="BQ73">
            <v>0</v>
          </cell>
          <cell r="BR73">
            <v>0</v>
          </cell>
          <cell r="BS73">
            <v>0</v>
          </cell>
          <cell r="BT73">
            <v>0</v>
          </cell>
          <cell r="BU73">
            <v>0</v>
          </cell>
          <cell r="BV73">
            <v>0</v>
          </cell>
          <cell r="BW73">
            <v>0</v>
          </cell>
          <cell r="BX73">
            <v>0</v>
          </cell>
          <cell r="BY73">
            <v>0</v>
          </cell>
          <cell r="BZ73">
            <v>0</v>
          </cell>
          <cell r="CA73">
            <v>0</v>
          </cell>
          <cell r="CB73">
            <v>0</v>
          </cell>
          <cell r="CC73">
            <v>0</v>
          </cell>
          <cell r="CD73">
            <v>0</v>
          </cell>
          <cell r="CE73">
            <v>0</v>
          </cell>
          <cell r="CF73">
            <v>0</v>
          </cell>
          <cell r="CG73">
            <v>0</v>
          </cell>
          <cell r="CH73">
            <v>0</v>
          </cell>
          <cell r="CI73">
            <v>0</v>
          </cell>
          <cell r="CJ73">
            <v>0</v>
          </cell>
          <cell r="CK73">
            <v>0</v>
          </cell>
          <cell r="CL73">
            <v>0</v>
          </cell>
          <cell r="CM73">
            <v>0</v>
          </cell>
          <cell r="CN73">
            <v>0</v>
          </cell>
          <cell r="CO73">
            <v>0</v>
          </cell>
          <cell r="CP73">
            <v>0</v>
          </cell>
          <cell r="CQ73">
            <v>0</v>
          </cell>
          <cell r="CR73">
            <v>0</v>
          </cell>
          <cell r="CS73">
            <v>0</v>
          </cell>
        </row>
        <row r="74">
          <cell r="A74" t="str">
            <v>Other SLAC Labor</v>
          </cell>
          <cell r="D74" t="str">
            <v>TOTAL BURDENED $</v>
          </cell>
          <cell r="E74">
            <v>0</v>
          </cell>
          <cell r="F74">
            <v>0</v>
          </cell>
          <cell r="G74">
            <v>0</v>
          </cell>
          <cell r="H74">
            <v>0</v>
          </cell>
          <cell r="I74">
            <v>0</v>
          </cell>
          <cell r="J74">
            <v>0</v>
          </cell>
          <cell r="K74">
            <v>0</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0</v>
          </cell>
          <cell r="AQ74">
            <v>0</v>
          </cell>
          <cell r="AR74">
            <v>0</v>
          </cell>
          <cell r="AS74">
            <v>0</v>
          </cell>
          <cell r="AT74">
            <v>0</v>
          </cell>
          <cell r="AU74">
            <v>0</v>
          </cell>
          <cell r="AV74">
            <v>0</v>
          </cell>
          <cell r="AW74">
            <v>0</v>
          </cell>
          <cell r="AX74">
            <v>0</v>
          </cell>
          <cell r="AY74">
            <v>0</v>
          </cell>
          <cell r="AZ74">
            <v>0</v>
          </cell>
          <cell r="BA74">
            <v>0</v>
          </cell>
          <cell r="BB74">
            <v>0</v>
          </cell>
          <cell r="BC74">
            <v>0</v>
          </cell>
          <cell r="BD74">
            <v>0</v>
          </cell>
          <cell r="BE74">
            <v>0</v>
          </cell>
          <cell r="BF74">
            <v>0</v>
          </cell>
          <cell r="BG74">
            <v>0</v>
          </cell>
          <cell r="BH74">
            <v>0</v>
          </cell>
          <cell r="BI74">
            <v>0</v>
          </cell>
          <cell r="BJ74">
            <v>0</v>
          </cell>
          <cell r="BK74">
            <v>0</v>
          </cell>
          <cell r="BL74">
            <v>0</v>
          </cell>
          <cell r="BM74">
            <v>0</v>
          </cell>
          <cell r="BN74">
            <v>0</v>
          </cell>
          <cell r="BO74">
            <v>0</v>
          </cell>
          <cell r="BP74">
            <v>0</v>
          </cell>
          <cell r="BQ74">
            <v>0</v>
          </cell>
          <cell r="BR74">
            <v>0</v>
          </cell>
          <cell r="BS74">
            <v>0</v>
          </cell>
          <cell r="BT74">
            <v>0</v>
          </cell>
          <cell r="BU74">
            <v>0</v>
          </cell>
          <cell r="BV74">
            <v>0</v>
          </cell>
          <cell r="BW74">
            <v>0</v>
          </cell>
          <cell r="BX74">
            <v>0</v>
          </cell>
          <cell r="BY74">
            <v>0</v>
          </cell>
          <cell r="BZ74">
            <v>0</v>
          </cell>
          <cell r="CA74">
            <v>0</v>
          </cell>
          <cell r="CB74">
            <v>0</v>
          </cell>
          <cell r="CC74">
            <v>0</v>
          </cell>
          <cell r="CD74">
            <v>0</v>
          </cell>
          <cell r="CE74">
            <v>0</v>
          </cell>
          <cell r="CF74">
            <v>0</v>
          </cell>
          <cell r="CG74">
            <v>0</v>
          </cell>
          <cell r="CH74">
            <v>0</v>
          </cell>
          <cell r="CI74">
            <v>0</v>
          </cell>
          <cell r="CJ74">
            <v>0</v>
          </cell>
          <cell r="CK74">
            <v>0</v>
          </cell>
          <cell r="CL74">
            <v>0</v>
          </cell>
          <cell r="CM74">
            <v>0</v>
          </cell>
          <cell r="CN74">
            <v>0</v>
          </cell>
          <cell r="CO74">
            <v>0</v>
          </cell>
          <cell r="CP74">
            <v>0</v>
          </cell>
          <cell r="CQ74">
            <v>0</v>
          </cell>
          <cell r="CR74">
            <v>0</v>
          </cell>
          <cell r="CS74">
            <v>0</v>
          </cell>
        </row>
        <row r="75">
          <cell r="BY75" t="str">
            <v>Past ETC</v>
          </cell>
          <cell r="BZ75" t="str">
            <v>ETC</v>
          </cell>
          <cell r="CA75" t="str">
            <v>Total Fcst</v>
          </cell>
          <cell r="CB75" t="str">
            <v>Past ETC</v>
          </cell>
          <cell r="CC75" t="str">
            <v>ETC</v>
          </cell>
          <cell r="CD75" t="str">
            <v>Total Fcst</v>
          </cell>
          <cell r="CE75" t="str">
            <v>Past ETC</v>
          </cell>
          <cell r="CF75" t="str">
            <v>ETC</v>
          </cell>
          <cell r="CG75" t="str">
            <v>Total Fcst</v>
          </cell>
          <cell r="CH75" t="str">
            <v>Past ETC</v>
          </cell>
          <cell r="CI75" t="str">
            <v>ETC</v>
          </cell>
          <cell r="CJ75" t="str">
            <v>Total Fcst</v>
          </cell>
          <cell r="CK75" t="str">
            <v>Past ETC</v>
          </cell>
          <cell r="CL75" t="str">
            <v>ETC</v>
          </cell>
          <cell r="CM75" t="str">
            <v>Total Fcst</v>
          </cell>
          <cell r="CN75" t="str">
            <v>Past ETC</v>
          </cell>
          <cell r="CO75" t="str">
            <v>ETC</v>
          </cell>
          <cell r="CP75" t="str">
            <v>Total Fcst</v>
          </cell>
          <cell r="CQ75" t="str">
            <v>Past ETC</v>
          </cell>
          <cell r="CR75" t="str">
            <v>ETC</v>
          </cell>
          <cell r="CS75" t="str">
            <v>Total Fcst</v>
          </cell>
        </row>
        <row r="76">
          <cell r="A76" t="str">
            <v>LABOR</v>
          </cell>
          <cell r="BY76">
            <v>0</v>
          </cell>
          <cell r="BZ76">
            <v>0</v>
          </cell>
          <cell r="CA76">
            <v>0</v>
          </cell>
          <cell r="CB76">
            <v>0</v>
          </cell>
          <cell r="CC76">
            <v>0</v>
          </cell>
          <cell r="CD76">
            <v>0</v>
          </cell>
          <cell r="CE76">
            <v>0</v>
          </cell>
          <cell r="CF76">
            <v>0</v>
          </cell>
          <cell r="CG76">
            <v>0</v>
          </cell>
          <cell r="CH76">
            <v>0</v>
          </cell>
          <cell r="CI76">
            <v>0</v>
          </cell>
          <cell r="CJ76">
            <v>0</v>
          </cell>
          <cell r="CK76">
            <v>0</v>
          </cell>
          <cell r="CL76">
            <v>0</v>
          </cell>
          <cell r="CM76">
            <v>0</v>
          </cell>
          <cell r="CN76">
            <v>0</v>
          </cell>
          <cell r="CO76">
            <v>0</v>
          </cell>
          <cell r="CP76">
            <v>0</v>
          </cell>
          <cell r="CQ76">
            <v>0</v>
          </cell>
          <cell r="CR76">
            <v>0</v>
          </cell>
          <cell r="CS76">
            <v>0</v>
          </cell>
        </row>
        <row r="77">
          <cell r="BY77">
            <v>0</v>
          </cell>
          <cell r="BZ77">
            <v>0</v>
          </cell>
          <cell r="CA77">
            <v>0</v>
          </cell>
          <cell r="CB77">
            <v>0</v>
          </cell>
          <cell r="CC77">
            <v>0</v>
          </cell>
          <cell r="CD77">
            <v>0</v>
          </cell>
          <cell r="CE77">
            <v>0</v>
          </cell>
          <cell r="CF77">
            <v>0</v>
          </cell>
          <cell r="CG77">
            <v>0</v>
          </cell>
          <cell r="CH77">
            <v>0</v>
          </cell>
          <cell r="CI77">
            <v>0</v>
          </cell>
          <cell r="CJ77">
            <v>0</v>
          </cell>
          <cell r="CK77">
            <v>0</v>
          </cell>
          <cell r="CL77">
            <v>0</v>
          </cell>
          <cell r="CM77">
            <v>0</v>
          </cell>
          <cell r="CN77">
            <v>0</v>
          </cell>
          <cell r="CO77">
            <v>0</v>
          </cell>
          <cell r="CP77">
            <v>0</v>
          </cell>
          <cell r="CQ77">
            <v>0</v>
          </cell>
          <cell r="CR77">
            <v>0</v>
          </cell>
          <cell r="CS77">
            <v>0</v>
          </cell>
        </row>
        <row r="78">
          <cell r="BY78" t="str">
            <v/>
          </cell>
        </row>
        <row r="79">
          <cell r="A79" t="str">
            <v>MISC</v>
          </cell>
          <cell r="B79" t="str">
            <v>MISC</v>
          </cell>
          <cell r="C79" t="str">
            <v>EAC = $0</v>
          </cell>
          <cell r="D79" t="str">
            <v>LABOR TOTAL</v>
          </cell>
          <cell r="E79">
            <v>0</v>
          </cell>
          <cell r="F79">
            <v>0</v>
          </cell>
          <cell r="G79">
            <v>0</v>
          </cell>
          <cell r="H79">
            <v>0</v>
          </cell>
          <cell r="I79">
            <v>0</v>
          </cell>
          <cell r="J79">
            <v>0</v>
          </cell>
          <cell r="K79">
            <v>0</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0</v>
          </cell>
          <cell r="AQ79">
            <v>0</v>
          </cell>
          <cell r="AR79">
            <v>0</v>
          </cell>
          <cell r="AS79">
            <v>0</v>
          </cell>
          <cell r="AT79">
            <v>0</v>
          </cell>
          <cell r="AU79">
            <v>0</v>
          </cell>
          <cell r="AV79">
            <v>0</v>
          </cell>
          <cell r="AW79">
            <v>0</v>
          </cell>
          <cell r="AX79">
            <v>0</v>
          </cell>
          <cell r="AY79">
            <v>0</v>
          </cell>
          <cell r="AZ79">
            <v>0</v>
          </cell>
          <cell r="BA79">
            <v>0</v>
          </cell>
          <cell r="BB79">
            <v>0</v>
          </cell>
          <cell r="BC79">
            <v>0</v>
          </cell>
          <cell r="BD79">
            <v>0</v>
          </cell>
          <cell r="BE79">
            <v>0</v>
          </cell>
          <cell r="BF79">
            <v>0</v>
          </cell>
          <cell r="BG79">
            <v>0</v>
          </cell>
          <cell r="BH79">
            <v>0</v>
          </cell>
          <cell r="BI79">
            <v>0</v>
          </cell>
          <cell r="BJ79">
            <v>0</v>
          </cell>
          <cell r="BK79">
            <v>0</v>
          </cell>
          <cell r="BL79">
            <v>0</v>
          </cell>
          <cell r="BM79">
            <v>0</v>
          </cell>
          <cell r="BN79">
            <v>0</v>
          </cell>
          <cell r="BO79">
            <v>0</v>
          </cell>
          <cell r="BP79">
            <v>0</v>
          </cell>
          <cell r="BQ79">
            <v>0</v>
          </cell>
          <cell r="BR79">
            <v>0</v>
          </cell>
          <cell r="BS79">
            <v>0</v>
          </cell>
          <cell r="BT79">
            <v>0</v>
          </cell>
          <cell r="BU79">
            <v>0</v>
          </cell>
          <cell r="BV79">
            <v>0</v>
          </cell>
          <cell r="BW79">
            <v>0</v>
          </cell>
          <cell r="BX79">
            <v>0</v>
          </cell>
          <cell r="BY79">
            <v>0</v>
          </cell>
          <cell r="BZ79">
            <v>0</v>
          </cell>
          <cell r="CA79">
            <v>0</v>
          </cell>
          <cell r="CB79">
            <v>0</v>
          </cell>
          <cell r="CC79">
            <v>0</v>
          </cell>
          <cell r="CD79">
            <v>0</v>
          </cell>
          <cell r="CE79">
            <v>0</v>
          </cell>
          <cell r="CF79">
            <v>0</v>
          </cell>
          <cell r="CG79">
            <v>0</v>
          </cell>
          <cell r="CH79">
            <v>0</v>
          </cell>
          <cell r="CI79">
            <v>0</v>
          </cell>
          <cell r="CJ79">
            <v>0</v>
          </cell>
          <cell r="CK79">
            <v>0</v>
          </cell>
          <cell r="CL79">
            <v>0</v>
          </cell>
          <cell r="CM79">
            <v>0</v>
          </cell>
          <cell r="CN79">
            <v>0</v>
          </cell>
          <cell r="CO79">
            <v>0</v>
          </cell>
          <cell r="CP79">
            <v>0</v>
          </cell>
          <cell r="CQ79">
            <v>0</v>
          </cell>
          <cell r="CR79">
            <v>0</v>
          </cell>
          <cell r="CS79">
            <v>0</v>
          </cell>
        </row>
        <row r="80">
          <cell r="A80" t="str">
            <v>MISC</v>
          </cell>
          <cell r="C80" t="str">
            <v>XXXX7</v>
          </cell>
          <cell r="D80" t="str">
            <v>TOTAL SALARY $</v>
          </cell>
          <cell r="E80">
            <v>0</v>
          </cell>
          <cell r="F80">
            <v>0</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M80">
            <v>0</v>
          </cell>
          <cell r="AN80">
            <v>0</v>
          </cell>
          <cell r="AO80">
            <v>0</v>
          </cell>
          <cell r="AP80">
            <v>0</v>
          </cell>
          <cell r="AQ80">
            <v>0</v>
          </cell>
          <cell r="AR80">
            <v>0</v>
          </cell>
          <cell r="AS80">
            <v>0</v>
          </cell>
          <cell r="AT80">
            <v>0</v>
          </cell>
          <cell r="AU80">
            <v>0</v>
          </cell>
          <cell r="AV80">
            <v>0</v>
          </cell>
          <cell r="AW80">
            <v>0</v>
          </cell>
          <cell r="AX80">
            <v>0</v>
          </cell>
          <cell r="AY80">
            <v>0</v>
          </cell>
          <cell r="AZ80">
            <v>0</v>
          </cell>
          <cell r="BA80">
            <v>0</v>
          </cell>
          <cell r="BB80">
            <v>0</v>
          </cell>
          <cell r="BC80">
            <v>0</v>
          </cell>
          <cell r="BD80">
            <v>0</v>
          </cell>
          <cell r="BE80">
            <v>0</v>
          </cell>
          <cell r="BF80">
            <v>0</v>
          </cell>
          <cell r="BG80">
            <v>0</v>
          </cell>
          <cell r="BH80">
            <v>0</v>
          </cell>
          <cell r="BI80">
            <v>0</v>
          </cell>
          <cell r="BJ80">
            <v>0</v>
          </cell>
          <cell r="BK80">
            <v>0</v>
          </cell>
          <cell r="BL80">
            <v>0</v>
          </cell>
          <cell r="BM80">
            <v>0</v>
          </cell>
          <cell r="BN80">
            <v>0</v>
          </cell>
          <cell r="BO80">
            <v>0</v>
          </cell>
          <cell r="BP80">
            <v>0</v>
          </cell>
          <cell r="BQ80">
            <v>0</v>
          </cell>
          <cell r="BR80">
            <v>0</v>
          </cell>
          <cell r="BS80">
            <v>0</v>
          </cell>
          <cell r="BT80">
            <v>0</v>
          </cell>
          <cell r="BU80">
            <v>0</v>
          </cell>
          <cell r="BV80">
            <v>0</v>
          </cell>
          <cell r="BW80">
            <v>0</v>
          </cell>
          <cell r="BX80">
            <v>0</v>
          </cell>
          <cell r="BY80">
            <v>0</v>
          </cell>
          <cell r="BZ80">
            <v>0</v>
          </cell>
          <cell r="CA80">
            <v>0</v>
          </cell>
          <cell r="CB80">
            <v>0</v>
          </cell>
          <cell r="CC80">
            <v>0</v>
          </cell>
          <cell r="CD80">
            <v>0</v>
          </cell>
          <cell r="CE80">
            <v>0</v>
          </cell>
          <cell r="CF80">
            <v>0</v>
          </cell>
          <cell r="CG80">
            <v>0</v>
          </cell>
          <cell r="CH80">
            <v>0</v>
          </cell>
          <cell r="CI80">
            <v>0</v>
          </cell>
          <cell r="CJ80">
            <v>0</v>
          </cell>
          <cell r="CK80">
            <v>0</v>
          </cell>
          <cell r="CL80">
            <v>0</v>
          </cell>
          <cell r="CM80">
            <v>0</v>
          </cell>
          <cell r="CN80">
            <v>0</v>
          </cell>
          <cell r="CO80">
            <v>0</v>
          </cell>
          <cell r="CP80">
            <v>0</v>
          </cell>
          <cell r="CQ80">
            <v>0</v>
          </cell>
          <cell r="CR80">
            <v>0</v>
          </cell>
          <cell r="CS80">
            <v>0</v>
          </cell>
        </row>
        <row r="81">
          <cell r="A81" t="str">
            <v>MISC</v>
          </cell>
          <cell r="D81" t="str">
            <v>TOTAL FTE</v>
          </cell>
          <cell r="E81">
            <v>0</v>
          </cell>
          <cell r="F81">
            <v>0</v>
          </cell>
          <cell r="G81">
            <v>0</v>
          </cell>
          <cell r="H81">
            <v>0</v>
          </cell>
          <cell r="I81">
            <v>0</v>
          </cell>
          <cell r="J81">
            <v>0</v>
          </cell>
          <cell r="K81">
            <v>0</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0</v>
          </cell>
          <cell r="AQ81">
            <v>0</v>
          </cell>
          <cell r="AR81">
            <v>0</v>
          </cell>
          <cell r="AS81">
            <v>0</v>
          </cell>
          <cell r="AT81">
            <v>0</v>
          </cell>
          <cell r="AU81">
            <v>0</v>
          </cell>
          <cell r="AV81">
            <v>0</v>
          </cell>
          <cell r="AW81">
            <v>0</v>
          </cell>
          <cell r="AX81">
            <v>0</v>
          </cell>
          <cell r="AY81">
            <v>0</v>
          </cell>
          <cell r="AZ81">
            <v>0</v>
          </cell>
          <cell r="BA81">
            <v>0</v>
          </cell>
          <cell r="BB81">
            <v>0</v>
          </cell>
          <cell r="BC81">
            <v>0</v>
          </cell>
          <cell r="BD81">
            <v>0</v>
          </cell>
          <cell r="BE81">
            <v>0</v>
          </cell>
          <cell r="BF81">
            <v>0</v>
          </cell>
          <cell r="BG81">
            <v>0</v>
          </cell>
          <cell r="BH81">
            <v>0</v>
          </cell>
          <cell r="BI81">
            <v>0</v>
          </cell>
          <cell r="BJ81">
            <v>0</v>
          </cell>
          <cell r="BK81">
            <v>0</v>
          </cell>
          <cell r="BL81">
            <v>0</v>
          </cell>
          <cell r="BM81">
            <v>0</v>
          </cell>
          <cell r="BN81">
            <v>0</v>
          </cell>
          <cell r="BO81">
            <v>0</v>
          </cell>
          <cell r="BP81">
            <v>0</v>
          </cell>
          <cell r="BQ81">
            <v>0</v>
          </cell>
          <cell r="BR81">
            <v>0</v>
          </cell>
          <cell r="BS81">
            <v>0</v>
          </cell>
          <cell r="BT81">
            <v>0</v>
          </cell>
          <cell r="BU81">
            <v>0</v>
          </cell>
          <cell r="BV81">
            <v>0</v>
          </cell>
          <cell r="BW81">
            <v>0</v>
          </cell>
          <cell r="BX81">
            <v>0</v>
          </cell>
          <cell r="BY81">
            <v>0</v>
          </cell>
          <cell r="BZ81">
            <v>0</v>
          </cell>
          <cell r="CA81">
            <v>0</v>
          </cell>
          <cell r="CB81">
            <v>0</v>
          </cell>
          <cell r="CC81">
            <v>0</v>
          </cell>
          <cell r="CD81">
            <v>0</v>
          </cell>
          <cell r="CE81">
            <v>0</v>
          </cell>
          <cell r="CF81">
            <v>0</v>
          </cell>
          <cell r="CG81">
            <v>0</v>
          </cell>
          <cell r="CH81">
            <v>0</v>
          </cell>
          <cell r="CI81">
            <v>0</v>
          </cell>
          <cell r="CJ81">
            <v>0</v>
          </cell>
          <cell r="CK81">
            <v>0</v>
          </cell>
          <cell r="CL81">
            <v>0</v>
          </cell>
          <cell r="CM81">
            <v>0</v>
          </cell>
          <cell r="CN81">
            <v>0</v>
          </cell>
          <cell r="CO81">
            <v>0</v>
          </cell>
          <cell r="CP81">
            <v>0</v>
          </cell>
          <cell r="CQ81">
            <v>0</v>
          </cell>
          <cell r="CR81">
            <v>0</v>
          </cell>
          <cell r="CS81">
            <v>0</v>
          </cell>
        </row>
        <row r="82">
          <cell r="A82" t="str">
            <v>MISC</v>
          </cell>
          <cell r="D82" t="str">
            <v>TOTAL HOURS</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M82">
            <v>0</v>
          </cell>
          <cell r="AN82">
            <v>0</v>
          </cell>
          <cell r="AO82">
            <v>0</v>
          </cell>
          <cell r="AP82">
            <v>0</v>
          </cell>
          <cell r="AQ82">
            <v>0</v>
          </cell>
          <cell r="AR82">
            <v>0</v>
          </cell>
          <cell r="AS82">
            <v>0</v>
          </cell>
          <cell r="AT82">
            <v>0</v>
          </cell>
          <cell r="AU82">
            <v>0</v>
          </cell>
          <cell r="AV82">
            <v>0</v>
          </cell>
          <cell r="AW82">
            <v>0</v>
          </cell>
          <cell r="AX82">
            <v>0</v>
          </cell>
          <cell r="AY82">
            <v>0</v>
          </cell>
          <cell r="AZ82">
            <v>0</v>
          </cell>
          <cell r="BA82">
            <v>0</v>
          </cell>
          <cell r="BB82">
            <v>0</v>
          </cell>
          <cell r="BC82">
            <v>0</v>
          </cell>
          <cell r="BD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cell r="BU82">
            <v>0</v>
          </cell>
          <cell r="BV82">
            <v>0</v>
          </cell>
          <cell r="BW82">
            <v>0</v>
          </cell>
          <cell r="BX82">
            <v>0</v>
          </cell>
          <cell r="BY82">
            <v>0</v>
          </cell>
          <cell r="BZ82">
            <v>0</v>
          </cell>
          <cell r="CA82">
            <v>0</v>
          </cell>
          <cell r="CB82">
            <v>0</v>
          </cell>
          <cell r="CC82">
            <v>0</v>
          </cell>
          <cell r="CD82">
            <v>0</v>
          </cell>
          <cell r="CE82">
            <v>0</v>
          </cell>
          <cell r="CF82">
            <v>0</v>
          </cell>
          <cell r="CG82">
            <v>0</v>
          </cell>
          <cell r="CH82">
            <v>0</v>
          </cell>
          <cell r="CI82">
            <v>0</v>
          </cell>
          <cell r="CJ82">
            <v>0</v>
          </cell>
          <cell r="CK82">
            <v>0</v>
          </cell>
          <cell r="CL82">
            <v>0</v>
          </cell>
          <cell r="CM82">
            <v>0</v>
          </cell>
          <cell r="CN82">
            <v>0</v>
          </cell>
          <cell r="CO82">
            <v>0</v>
          </cell>
          <cell r="CP82">
            <v>0</v>
          </cell>
          <cell r="CQ82">
            <v>0</v>
          </cell>
          <cell r="CR82">
            <v>0</v>
          </cell>
          <cell r="CS82">
            <v>0</v>
          </cell>
        </row>
        <row r="83">
          <cell r="A83" t="str">
            <v>MISC</v>
          </cell>
          <cell r="C83" t="str">
            <v>Costs+Liens+PLiens = $0</v>
          </cell>
          <cell r="D83" t="str">
            <v>AVG HRLY LBR RATE</v>
          </cell>
          <cell r="E83" t="str">
            <v/>
          </cell>
          <cell r="F83" t="str">
            <v/>
          </cell>
          <cell r="G83" t="str">
            <v/>
          </cell>
          <cell r="H83" t="str">
            <v/>
          </cell>
          <cell r="I83" t="str">
            <v/>
          </cell>
          <cell r="J83" t="str">
            <v/>
          </cell>
          <cell r="K83" t="str">
            <v/>
          </cell>
          <cell r="L83" t="str">
            <v/>
          </cell>
          <cell r="M83" t="str">
            <v/>
          </cell>
          <cell r="N83" t="str">
            <v/>
          </cell>
          <cell r="O83" t="str">
            <v/>
          </cell>
          <cell r="P83" t="str">
            <v/>
          </cell>
          <cell r="Q83" t="str">
            <v/>
          </cell>
          <cell r="R83" t="str">
            <v/>
          </cell>
          <cell r="S83" t="str">
            <v/>
          </cell>
          <cell r="T83" t="str">
            <v/>
          </cell>
          <cell r="U83" t="str">
            <v/>
          </cell>
          <cell r="V83" t="str">
            <v/>
          </cell>
          <cell r="W83" t="str">
            <v/>
          </cell>
          <cell r="X83" t="str">
            <v/>
          </cell>
          <cell r="Y83" t="str">
            <v/>
          </cell>
          <cell r="Z83" t="str">
            <v/>
          </cell>
          <cell r="AA83" t="str">
            <v/>
          </cell>
          <cell r="AB83" t="str">
            <v/>
          </cell>
          <cell r="AC83" t="str">
            <v/>
          </cell>
          <cell r="AD83" t="str">
            <v/>
          </cell>
          <cell r="AE83" t="str">
            <v/>
          </cell>
          <cell r="AF83" t="str">
            <v/>
          </cell>
          <cell r="AG83" t="str">
            <v/>
          </cell>
          <cell r="AH83" t="str">
            <v/>
          </cell>
          <cell r="AI83" t="str">
            <v/>
          </cell>
          <cell r="AJ83" t="str">
            <v/>
          </cell>
          <cell r="AK83" t="str">
            <v/>
          </cell>
          <cell r="AL83" t="str">
            <v/>
          </cell>
          <cell r="AM83" t="str">
            <v/>
          </cell>
          <cell r="AN83" t="str">
            <v/>
          </cell>
          <cell r="AO83" t="str">
            <v/>
          </cell>
          <cell r="AP83" t="str">
            <v/>
          </cell>
          <cell r="AQ83" t="str">
            <v/>
          </cell>
          <cell r="AR83" t="str">
            <v/>
          </cell>
          <cell r="AS83" t="str">
            <v/>
          </cell>
          <cell r="AT83" t="str">
            <v/>
          </cell>
          <cell r="AU83" t="str">
            <v/>
          </cell>
          <cell r="AV83" t="str">
            <v/>
          </cell>
          <cell r="AW83" t="str">
            <v/>
          </cell>
          <cell r="AX83" t="str">
            <v/>
          </cell>
          <cell r="AY83" t="str">
            <v/>
          </cell>
          <cell r="AZ83" t="str">
            <v/>
          </cell>
          <cell r="BA83" t="str">
            <v/>
          </cell>
          <cell r="BB83" t="str">
            <v/>
          </cell>
          <cell r="BC83" t="str">
            <v/>
          </cell>
          <cell r="BD83" t="str">
            <v/>
          </cell>
          <cell r="BE83" t="str">
            <v/>
          </cell>
          <cell r="BF83" t="str">
            <v/>
          </cell>
          <cell r="BG83" t="str">
            <v/>
          </cell>
          <cell r="BH83" t="str">
            <v/>
          </cell>
          <cell r="BI83" t="str">
            <v/>
          </cell>
          <cell r="BJ83" t="str">
            <v/>
          </cell>
          <cell r="BK83" t="str">
            <v/>
          </cell>
          <cell r="BL83" t="str">
            <v/>
          </cell>
          <cell r="BM83" t="str">
            <v/>
          </cell>
          <cell r="BN83" t="str">
            <v/>
          </cell>
          <cell r="BO83" t="str">
            <v/>
          </cell>
          <cell r="BP83" t="str">
            <v/>
          </cell>
          <cell r="BQ83" t="str">
            <v/>
          </cell>
          <cell r="BR83" t="str">
            <v/>
          </cell>
          <cell r="BS83" t="str">
            <v/>
          </cell>
          <cell r="BT83" t="str">
            <v/>
          </cell>
          <cell r="BU83" t="str">
            <v/>
          </cell>
          <cell r="BV83" t="str">
            <v/>
          </cell>
          <cell r="BW83" t="str">
            <v/>
          </cell>
          <cell r="BX83" t="str">
            <v/>
          </cell>
          <cell r="BY83" t="str">
            <v/>
          </cell>
          <cell r="BZ83" t="str">
            <v/>
          </cell>
          <cell r="CA83" t="str">
            <v/>
          </cell>
          <cell r="CB83" t="str">
            <v/>
          </cell>
          <cell r="CC83" t="str">
            <v/>
          </cell>
          <cell r="CD83" t="str">
            <v/>
          </cell>
          <cell r="CE83" t="str">
            <v/>
          </cell>
          <cell r="CF83" t="str">
            <v/>
          </cell>
          <cell r="CG83" t="str">
            <v/>
          </cell>
          <cell r="CH83" t="str">
            <v/>
          </cell>
          <cell r="CI83" t="str">
            <v/>
          </cell>
          <cell r="CJ83" t="str">
            <v/>
          </cell>
          <cell r="CK83" t="str">
            <v/>
          </cell>
          <cell r="CL83" t="str">
            <v/>
          </cell>
          <cell r="CM83" t="str">
            <v/>
          </cell>
          <cell r="CN83" t="str">
            <v/>
          </cell>
          <cell r="CO83" t="str">
            <v/>
          </cell>
          <cell r="CP83" t="str">
            <v/>
          </cell>
          <cell r="CQ83" t="str">
            <v/>
          </cell>
          <cell r="CR83" t="str">
            <v/>
          </cell>
          <cell r="CS83" t="str">
            <v/>
          </cell>
        </row>
        <row r="84">
          <cell r="A84" t="str">
            <v>MISC</v>
          </cell>
          <cell r="B84" t="str">
            <v>Encumbrances = $0</v>
          </cell>
          <cell r="C84" t="str">
            <v>Costs+Encumbrances = $0</v>
          </cell>
          <cell r="D84" t="str">
            <v>NON-LABOR TOTAL</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M84">
            <v>0</v>
          </cell>
          <cell r="AN84">
            <v>0</v>
          </cell>
          <cell r="AO84">
            <v>0</v>
          </cell>
          <cell r="AP84">
            <v>0</v>
          </cell>
          <cell r="AQ84">
            <v>0</v>
          </cell>
          <cell r="AR84">
            <v>0</v>
          </cell>
          <cell r="AS84">
            <v>0</v>
          </cell>
          <cell r="AT84">
            <v>0</v>
          </cell>
          <cell r="AU84">
            <v>0</v>
          </cell>
          <cell r="AV84">
            <v>0</v>
          </cell>
          <cell r="AW84">
            <v>0</v>
          </cell>
          <cell r="AX84">
            <v>0</v>
          </cell>
          <cell r="AY84">
            <v>0</v>
          </cell>
          <cell r="AZ84">
            <v>0</v>
          </cell>
          <cell r="BA84">
            <v>0</v>
          </cell>
          <cell r="BB84">
            <v>0</v>
          </cell>
          <cell r="BC84">
            <v>0</v>
          </cell>
          <cell r="BD84">
            <v>0</v>
          </cell>
          <cell r="BE84">
            <v>0</v>
          </cell>
          <cell r="BF84">
            <v>0</v>
          </cell>
          <cell r="BG84">
            <v>0</v>
          </cell>
          <cell r="BH84">
            <v>0</v>
          </cell>
          <cell r="BI84">
            <v>0</v>
          </cell>
          <cell r="BJ84">
            <v>0</v>
          </cell>
          <cell r="BK84">
            <v>0</v>
          </cell>
          <cell r="BL84">
            <v>0</v>
          </cell>
          <cell r="BM84">
            <v>0</v>
          </cell>
          <cell r="BN84">
            <v>0</v>
          </cell>
          <cell r="BO84">
            <v>0</v>
          </cell>
          <cell r="BP84">
            <v>0</v>
          </cell>
          <cell r="BQ84">
            <v>0</v>
          </cell>
          <cell r="BR84">
            <v>0</v>
          </cell>
          <cell r="BS84">
            <v>0</v>
          </cell>
          <cell r="BT84">
            <v>0</v>
          </cell>
          <cell r="BU84">
            <v>0</v>
          </cell>
          <cell r="BV84">
            <v>0</v>
          </cell>
          <cell r="BW84">
            <v>0</v>
          </cell>
          <cell r="BX84">
            <v>0</v>
          </cell>
          <cell r="BY84">
            <v>0</v>
          </cell>
          <cell r="BZ84">
            <v>0</v>
          </cell>
          <cell r="CA84">
            <v>0</v>
          </cell>
          <cell r="CB84">
            <v>0</v>
          </cell>
          <cell r="CC84">
            <v>0</v>
          </cell>
          <cell r="CD84">
            <v>0</v>
          </cell>
          <cell r="CE84">
            <v>0</v>
          </cell>
          <cell r="CF84">
            <v>0</v>
          </cell>
          <cell r="CG84">
            <v>0</v>
          </cell>
          <cell r="CH84">
            <v>0</v>
          </cell>
          <cell r="CI84">
            <v>0</v>
          </cell>
          <cell r="CJ84">
            <v>0</v>
          </cell>
          <cell r="CK84">
            <v>0</v>
          </cell>
          <cell r="CL84">
            <v>0</v>
          </cell>
          <cell r="CM84">
            <v>0</v>
          </cell>
          <cell r="CN84">
            <v>0</v>
          </cell>
          <cell r="CO84">
            <v>0</v>
          </cell>
          <cell r="CP84">
            <v>0</v>
          </cell>
          <cell r="CQ84">
            <v>0</v>
          </cell>
          <cell r="CR84">
            <v>0</v>
          </cell>
          <cell r="CS84">
            <v>0</v>
          </cell>
        </row>
        <row r="85">
          <cell r="A85" t="str">
            <v>MISC</v>
          </cell>
          <cell r="D85" t="str">
            <v>NON-LABOR RAW</v>
          </cell>
          <cell r="E85">
            <v>0</v>
          </cell>
          <cell r="F85">
            <v>0</v>
          </cell>
          <cell r="G85">
            <v>0</v>
          </cell>
          <cell r="H85">
            <v>0</v>
          </cell>
          <cell r="I85">
            <v>0</v>
          </cell>
          <cell r="J85">
            <v>0</v>
          </cell>
          <cell r="K85">
            <v>0</v>
          </cell>
          <cell r="L85">
            <v>0</v>
          </cell>
          <cell r="M85">
            <v>0</v>
          </cell>
          <cell r="N85">
            <v>0</v>
          </cell>
          <cell r="O85">
            <v>0</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0</v>
          </cell>
          <cell r="AQ85">
            <v>0</v>
          </cell>
          <cell r="AR85">
            <v>0</v>
          </cell>
          <cell r="AS85">
            <v>0</v>
          </cell>
          <cell r="AT85">
            <v>0</v>
          </cell>
          <cell r="AU85">
            <v>0</v>
          </cell>
          <cell r="AV85">
            <v>0</v>
          </cell>
          <cell r="AW85">
            <v>0</v>
          </cell>
          <cell r="AX85">
            <v>0</v>
          </cell>
          <cell r="AY85">
            <v>0</v>
          </cell>
          <cell r="AZ85">
            <v>0</v>
          </cell>
          <cell r="BA85">
            <v>0</v>
          </cell>
          <cell r="BB85">
            <v>0</v>
          </cell>
          <cell r="BC85">
            <v>0</v>
          </cell>
          <cell r="BD85">
            <v>0</v>
          </cell>
          <cell r="BE85">
            <v>0</v>
          </cell>
          <cell r="BF85">
            <v>0</v>
          </cell>
          <cell r="BG85">
            <v>0</v>
          </cell>
          <cell r="BH85">
            <v>0</v>
          </cell>
          <cell r="BI85">
            <v>0</v>
          </cell>
          <cell r="BJ85">
            <v>0</v>
          </cell>
          <cell r="BK85">
            <v>0</v>
          </cell>
          <cell r="BL85">
            <v>0</v>
          </cell>
          <cell r="BM85">
            <v>0</v>
          </cell>
          <cell r="BN85">
            <v>0</v>
          </cell>
          <cell r="BO85">
            <v>0</v>
          </cell>
          <cell r="BP85">
            <v>0</v>
          </cell>
          <cell r="BQ85">
            <v>0</v>
          </cell>
          <cell r="BR85">
            <v>0</v>
          </cell>
          <cell r="BS85">
            <v>0</v>
          </cell>
          <cell r="BT85">
            <v>0</v>
          </cell>
          <cell r="BU85">
            <v>0</v>
          </cell>
          <cell r="BV85">
            <v>0</v>
          </cell>
          <cell r="BW85">
            <v>0</v>
          </cell>
          <cell r="BX85">
            <v>0</v>
          </cell>
          <cell r="BY85">
            <v>0</v>
          </cell>
          <cell r="BZ85">
            <v>0</v>
          </cell>
          <cell r="CA85">
            <v>0</v>
          </cell>
          <cell r="CB85">
            <v>0</v>
          </cell>
          <cell r="CC85">
            <v>0</v>
          </cell>
          <cell r="CD85">
            <v>0</v>
          </cell>
          <cell r="CE85">
            <v>0</v>
          </cell>
          <cell r="CF85">
            <v>0</v>
          </cell>
          <cell r="CG85">
            <v>0</v>
          </cell>
          <cell r="CH85">
            <v>0</v>
          </cell>
          <cell r="CI85">
            <v>0</v>
          </cell>
          <cell r="CJ85">
            <v>0</v>
          </cell>
          <cell r="CK85">
            <v>0</v>
          </cell>
          <cell r="CL85">
            <v>0</v>
          </cell>
          <cell r="CM85">
            <v>0</v>
          </cell>
          <cell r="CN85">
            <v>0</v>
          </cell>
          <cell r="CO85">
            <v>0</v>
          </cell>
          <cell r="CP85">
            <v>0</v>
          </cell>
          <cell r="CQ85">
            <v>0</v>
          </cell>
          <cell r="CR85">
            <v>0</v>
          </cell>
          <cell r="CS85">
            <v>0</v>
          </cell>
        </row>
        <row r="86">
          <cell r="A86" t="str">
            <v>MISC</v>
          </cell>
          <cell r="D86" t="str">
            <v>TOTAL BURDENED $</v>
          </cell>
          <cell r="E86">
            <v>0</v>
          </cell>
          <cell r="F86">
            <v>0</v>
          </cell>
          <cell r="G86">
            <v>0</v>
          </cell>
          <cell r="H86">
            <v>0</v>
          </cell>
          <cell r="I86">
            <v>0</v>
          </cell>
          <cell r="J86">
            <v>0</v>
          </cell>
          <cell r="K86">
            <v>0</v>
          </cell>
          <cell r="L86">
            <v>0</v>
          </cell>
          <cell r="M86">
            <v>0</v>
          </cell>
          <cell r="N86">
            <v>0</v>
          </cell>
          <cell r="O86">
            <v>0</v>
          </cell>
          <cell r="P86">
            <v>0</v>
          </cell>
          <cell r="Q86">
            <v>0</v>
          </cell>
          <cell r="R86">
            <v>0</v>
          </cell>
          <cell r="S86">
            <v>0</v>
          </cell>
          <cell r="T86">
            <v>0</v>
          </cell>
          <cell r="U86">
            <v>0</v>
          </cell>
          <cell r="V86">
            <v>0</v>
          </cell>
          <cell r="W86">
            <v>0</v>
          </cell>
          <cell r="X86">
            <v>0</v>
          </cell>
          <cell r="Y86">
            <v>0</v>
          </cell>
          <cell r="Z86">
            <v>0</v>
          </cell>
          <cell r="AA86">
            <v>0</v>
          </cell>
          <cell r="AB86">
            <v>0</v>
          </cell>
          <cell r="AC86">
            <v>0</v>
          </cell>
          <cell r="AD86">
            <v>0</v>
          </cell>
          <cell r="AE86">
            <v>0</v>
          </cell>
          <cell r="AF86">
            <v>0</v>
          </cell>
          <cell r="AG86">
            <v>0</v>
          </cell>
          <cell r="AH86">
            <v>0</v>
          </cell>
          <cell r="AI86">
            <v>0</v>
          </cell>
          <cell r="AJ86">
            <v>0</v>
          </cell>
          <cell r="AK86">
            <v>0</v>
          </cell>
          <cell r="AL86">
            <v>0</v>
          </cell>
          <cell r="AM86">
            <v>0</v>
          </cell>
          <cell r="AN86">
            <v>0</v>
          </cell>
          <cell r="AO86">
            <v>0</v>
          </cell>
          <cell r="AP86">
            <v>0</v>
          </cell>
          <cell r="AQ86">
            <v>0</v>
          </cell>
          <cell r="AR86">
            <v>0</v>
          </cell>
          <cell r="AS86">
            <v>0</v>
          </cell>
          <cell r="AT86">
            <v>0</v>
          </cell>
          <cell r="AU86">
            <v>0</v>
          </cell>
          <cell r="AV86">
            <v>0</v>
          </cell>
          <cell r="AW86">
            <v>0</v>
          </cell>
          <cell r="AX86">
            <v>0</v>
          </cell>
          <cell r="AY86">
            <v>0</v>
          </cell>
          <cell r="AZ86">
            <v>0</v>
          </cell>
          <cell r="BA86">
            <v>0</v>
          </cell>
          <cell r="BB86">
            <v>0</v>
          </cell>
          <cell r="BC86">
            <v>0</v>
          </cell>
          <cell r="BD86">
            <v>0</v>
          </cell>
          <cell r="BE86">
            <v>0</v>
          </cell>
          <cell r="BF86">
            <v>0</v>
          </cell>
          <cell r="BG86">
            <v>0</v>
          </cell>
          <cell r="BH86">
            <v>0</v>
          </cell>
          <cell r="BI86">
            <v>0</v>
          </cell>
          <cell r="BJ86">
            <v>0</v>
          </cell>
          <cell r="BK86">
            <v>0</v>
          </cell>
          <cell r="BL86">
            <v>0</v>
          </cell>
          <cell r="BM86">
            <v>0</v>
          </cell>
          <cell r="BN86">
            <v>0</v>
          </cell>
          <cell r="BO86">
            <v>0</v>
          </cell>
          <cell r="BP86">
            <v>0</v>
          </cell>
          <cell r="BQ86">
            <v>0</v>
          </cell>
          <cell r="BR86">
            <v>0</v>
          </cell>
          <cell r="BS86">
            <v>0</v>
          </cell>
          <cell r="BT86">
            <v>0</v>
          </cell>
          <cell r="BU86">
            <v>0</v>
          </cell>
          <cell r="BV86">
            <v>0</v>
          </cell>
          <cell r="BW86">
            <v>0</v>
          </cell>
          <cell r="BX86">
            <v>0</v>
          </cell>
          <cell r="BY86">
            <v>0</v>
          </cell>
          <cell r="BZ86">
            <v>0</v>
          </cell>
          <cell r="CA86">
            <v>0</v>
          </cell>
          <cell r="CB86">
            <v>0</v>
          </cell>
          <cell r="CC86">
            <v>0</v>
          </cell>
          <cell r="CD86">
            <v>0</v>
          </cell>
          <cell r="CE86">
            <v>0</v>
          </cell>
          <cell r="CF86">
            <v>0</v>
          </cell>
          <cell r="CG86">
            <v>0</v>
          </cell>
          <cell r="CH86">
            <v>0</v>
          </cell>
          <cell r="CI86">
            <v>0</v>
          </cell>
          <cell r="CJ86">
            <v>0</v>
          </cell>
          <cell r="CK86">
            <v>0</v>
          </cell>
          <cell r="CL86">
            <v>0</v>
          </cell>
          <cell r="CM86">
            <v>0</v>
          </cell>
          <cell r="CN86">
            <v>0</v>
          </cell>
          <cell r="CO86">
            <v>0</v>
          </cell>
          <cell r="CP86">
            <v>0</v>
          </cell>
          <cell r="CQ86">
            <v>0</v>
          </cell>
          <cell r="CR86">
            <v>0</v>
          </cell>
          <cell r="CS86">
            <v>0</v>
          </cell>
        </row>
        <row r="87">
          <cell r="BY87" t="str">
            <v>Past ETC</v>
          </cell>
          <cell r="BZ87" t="str">
            <v>ETC</v>
          </cell>
          <cell r="CA87" t="str">
            <v>Total Fcst</v>
          </cell>
          <cell r="CB87" t="str">
            <v>Past ETC</v>
          </cell>
          <cell r="CC87" t="str">
            <v>ETC</v>
          </cell>
          <cell r="CD87" t="str">
            <v>Total Fcst</v>
          </cell>
          <cell r="CE87" t="str">
            <v>Past ETC</v>
          </cell>
          <cell r="CF87" t="str">
            <v>ETC</v>
          </cell>
          <cell r="CG87" t="str">
            <v>Total Fcst</v>
          </cell>
          <cell r="CH87" t="str">
            <v>Past ETC</v>
          </cell>
          <cell r="CI87" t="str">
            <v>ETC</v>
          </cell>
          <cell r="CJ87" t="str">
            <v>Total Fcst</v>
          </cell>
          <cell r="CK87" t="str">
            <v>Past ETC</v>
          </cell>
          <cell r="CL87" t="str">
            <v>ETC</v>
          </cell>
          <cell r="CM87" t="str">
            <v>Total Fcst</v>
          </cell>
          <cell r="CN87" t="str">
            <v>Past ETC</v>
          </cell>
          <cell r="CO87" t="str">
            <v>ETC</v>
          </cell>
          <cell r="CP87" t="str">
            <v>Total Fcst</v>
          </cell>
          <cell r="CQ87" t="str">
            <v>Past ETC</v>
          </cell>
          <cell r="CR87" t="str">
            <v>ETC</v>
          </cell>
          <cell r="CS87" t="str">
            <v>Total Fcst</v>
          </cell>
        </row>
        <row r="88">
          <cell r="A88" t="str">
            <v>LABOR</v>
          </cell>
          <cell r="BY88">
            <v>0</v>
          </cell>
          <cell r="BZ88">
            <v>0</v>
          </cell>
          <cell r="CA88">
            <v>0</v>
          </cell>
          <cell r="CB88">
            <v>0</v>
          </cell>
          <cell r="CC88">
            <v>0</v>
          </cell>
          <cell r="CD88">
            <v>0</v>
          </cell>
          <cell r="CE88">
            <v>0</v>
          </cell>
          <cell r="CF88">
            <v>0</v>
          </cell>
          <cell r="CG88">
            <v>0</v>
          </cell>
          <cell r="CH88">
            <v>0</v>
          </cell>
          <cell r="CI88">
            <v>0</v>
          </cell>
          <cell r="CJ88">
            <v>0</v>
          </cell>
          <cell r="CK88">
            <v>0</v>
          </cell>
          <cell r="CL88">
            <v>0</v>
          </cell>
          <cell r="CM88">
            <v>0</v>
          </cell>
          <cell r="CN88">
            <v>0</v>
          </cell>
          <cell r="CO88">
            <v>0</v>
          </cell>
          <cell r="CP88">
            <v>0</v>
          </cell>
          <cell r="CQ88">
            <v>0</v>
          </cell>
          <cell r="CR88">
            <v>0</v>
          </cell>
          <cell r="CS88">
            <v>0</v>
          </cell>
        </row>
        <row r="89">
          <cell r="BY89">
            <v>0</v>
          </cell>
          <cell r="BZ89">
            <v>0</v>
          </cell>
          <cell r="CA89">
            <v>0</v>
          </cell>
          <cell r="CB89">
            <v>0</v>
          </cell>
          <cell r="CC89">
            <v>0</v>
          </cell>
          <cell r="CD89">
            <v>0</v>
          </cell>
          <cell r="CE89">
            <v>0</v>
          </cell>
          <cell r="CF89">
            <v>0</v>
          </cell>
          <cell r="CG89">
            <v>0</v>
          </cell>
          <cell r="CH89">
            <v>0</v>
          </cell>
          <cell r="CI89">
            <v>0</v>
          </cell>
          <cell r="CJ89">
            <v>0</v>
          </cell>
          <cell r="CK89">
            <v>0</v>
          </cell>
          <cell r="CL89">
            <v>0</v>
          </cell>
          <cell r="CM89">
            <v>0</v>
          </cell>
          <cell r="CN89">
            <v>0</v>
          </cell>
          <cell r="CO89">
            <v>0</v>
          </cell>
          <cell r="CP89">
            <v>0</v>
          </cell>
          <cell r="CQ89">
            <v>0</v>
          </cell>
          <cell r="CR89">
            <v>0</v>
          </cell>
          <cell r="CS89">
            <v>0</v>
          </cell>
        </row>
        <row r="90">
          <cell r="BY90" t="str">
            <v/>
          </cell>
        </row>
      </sheetData>
      <sheetData sheetId="9" refreshError="1"/>
      <sheetData sheetId="10">
        <row r="10">
          <cell r="P10">
            <v>46029</v>
          </cell>
        </row>
        <row r="14">
          <cell r="N14">
            <v>46201</v>
          </cell>
          <cell r="P14">
            <v>46243</v>
          </cell>
        </row>
        <row r="15">
          <cell r="P15">
            <v>46272</v>
          </cell>
        </row>
      </sheetData>
      <sheetData sheetId="11" refreshError="1"/>
      <sheetData sheetId="12" refreshError="1"/>
      <sheetData sheetId="13" refreshError="1"/>
      <sheetData sheetId="14"/>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hyperlink" Target="https://www.megaind.com/products/waveguide-sizes/wr2100-waveguide/" TargetMode="External"/><Relationship Id="rId3" Type="http://schemas.openxmlformats.org/officeDocument/2006/relationships/hyperlink" Target="https://www.megaind.com/products/waveguide-sizes/wr2100-waveguide/" TargetMode="External"/><Relationship Id="rId7" Type="http://schemas.openxmlformats.org/officeDocument/2006/relationships/hyperlink" Target="https://products.spinner-group.com/" TargetMode="External"/><Relationship Id="rId2" Type="http://schemas.openxmlformats.org/officeDocument/2006/relationships/hyperlink" Target="https://ferriteinc.com/high-power-waveguide-terminations/water-cooled-loads/" TargetMode="External"/><Relationship Id="rId1" Type="http://schemas.openxmlformats.org/officeDocument/2006/relationships/hyperlink" Target="https://www.rk-microwave.com/" TargetMode="External"/><Relationship Id="rId6" Type="http://schemas.openxmlformats.org/officeDocument/2006/relationships/hyperlink" Target="https://www.megaind.com/products/waveguide-sizes/wr2100-waveguide/" TargetMode="External"/><Relationship Id="rId5" Type="http://schemas.openxmlformats.org/officeDocument/2006/relationships/hyperlink" Target="https://www.megaind.com/products/waveguide-sizes/wr2100-waveguide/" TargetMode="External"/><Relationship Id="rId10" Type="http://schemas.openxmlformats.org/officeDocument/2006/relationships/hyperlink" Target="https://www.dimtel.com/products/llrf9" TargetMode="External"/><Relationship Id="rId4" Type="http://schemas.openxmlformats.org/officeDocument/2006/relationships/hyperlink" Target="https://www.megaind.com/products/waveguide-sizes/wr2100-waveguide/" TargetMode="External"/><Relationship Id="rId9" Type="http://schemas.openxmlformats.org/officeDocument/2006/relationships/hyperlink" Target="https://www.unistrut.us/"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97"/>
  <sheetViews>
    <sheetView topLeftCell="A3" workbookViewId="0">
      <selection activeCell="E21" sqref="E21"/>
    </sheetView>
  </sheetViews>
  <sheetFormatPr defaultRowHeight="14.5" x14ac:dyDescent="0.35"/>
  <cols>
    <col min="1" max="1" width="35.453125" customWidth="1"/>
    <col min="2" max="2" width="55.81640625" customWidth="1"/>
    <col min="3" max="3" width="67.36328125" customWidth="1"/>
    <col min="4" max="4" width="18" customWidth="1"/>
    <col min="5" max="5" width="45" customWidth="1"/>
    <col min="7" max="7" width="9.81640625" customWidth="1"/>
    <col min="8" max="8" width="43.81640625" customWidth="1"/>
  </cols>
  <sheetData>
    <row r="1" spans="1:8" ht="18.5" x14ac:dyDescent="0.45">
      <c r="A1" s="31" t="s">
        <v>245</v>
      </c>
      <c r="B1" s="29"/>
      <c r="C1" s="29"/>
      <c r="D1" s="29"/>
      <c r="E1" s="29"/>
      <c r="F1" s="29"/>
      <c r="G1" s="29"/>
      <c r="H1" s="29"/>
    </row>
    <row r="2" spans="1:8" x14ac:dyDescent="0.35">
      <c r="A2" s="29"/>
      <c r="B2" s="29"/>
      <c r="C2" s="29"/>
      <c r="D2" s="29"/>
      <c r="E2" s="29"/>
      <c r="F2" s="29"/>
      <c r="G2" s="29"/>
      <c r="H2" s="29"/>
    </row>
    <row r="3" spans="1:8" x14ac:dyDescent="0.35">
      <c r="A3" s="33" t="s">
        <v>1</v>
      </c>
      <c r="B3" s="29"/>
      <c r="C3" s="29"/>
      <c r="D3" s="29"/>
      <c r="E3" s="29"/>
      <c r="F3" s="29"/>
      <c r="G3" s="29"/>
      <c r="H3" s="29"/>
    </row>
    <row r="4" spans="1:8" ht="37" customHeight="1" x14ac:dyDescent="0.35">
      <c r="A4" s="131" t="s">
        <v>246</v>
      </c>
      <c r="B4" s="131"/>
      <c r="C4" s="131"/>
      <c r="D4" s="29"/>
      <c r="E4" s="29"/>
      <c r="F4" s="29"/>
      <c r="G4" s="29"/>
      <c r="H4" s="29"/>
    </row>
    <row r="5" spans="1:8" ht="6.5" customHeight="1" x14ac:dyDescent="0.35">
      <c r="A5" s="29"/>
      <c r="B5" s="29"/>
      <c r="C5" s="29"/>
      <c r="D5" s="29"/>
      <c r="E5" s="29"/>
      <c r="F5" s="29"/>
      <c r="G5" s="29"/>
      <c r="H5" s="29"/>
    </row>
    <row r="6" spans="1:8" ht="20" customHeight="1" x14ac:dyDescent="0.35">
      <c r="A6" s="33" t="s">
        <v>247</v>
      </c>
      <c r="B6" s="29"/>
      <c r="C6" s="29"/>
      <c r="D6" s="29"/>
      <c r="E6" s="29"/>
      <c r="F6" s="29"/>
      <c r="G6" s="29"/>
      <c r="H6" s="29"/>
    </row>
    <row r="7" spans="1:8" ht="18" customHeight="1" x14ac:dyDescent="0.35">
      <c r="A7" s="35" t="s">
        <v>82</v>
      </c>
      <c r="B7" s="35" t="s">
        <v>248</v>
      </c>
      <c r="C7" s="35" t="s">
        <v>249</v>
      </c>
      <c r="D7" s="29"/>
      <c r="E7" s="29"/>
      <c r="F7" s="29"/>
      <c r="G7" s="29"/>
      <c r="H7" s="36"/>
    </row>
    <row r="8" spans="1:8" ht="18" customHeight="1" x14ac:dyDescent="0.35">
      <c r="A8" s="37" t="s">
        <v>250</v>
      </c>
      <c r="B8" s="29" t="s">
        <v>251</v>
      </c>
      <c r="C8" s="34" t="s">
        <v>252</v>
      </c>
      <c r="D8" s="29"/>
      <c r="E8" s="29"/>
      <c r="F8" s="29"/>
      <c r="G8" s="29"/>
      <c r="H8" s="36"/>
    </row>
    <row r="9" spans="1:8" ht="18" customHeight="1" x14ac:dyDescent="0.35">
      <c r="A9" s="37" t="s">
        <v>253</v>
      </c>
      <c r="B9" s="29" t="s">
        <v>254</v>
      </c>
      <c r="C9" s="34" t="s">
        <v>255</v>
      </c>
      <c r="D9" s="29"/>
      <c r="E9" s="29"/>
      <c r="F9" s="29"/>
      <c r="G9" s="29"/>
      <c r="H9" s="29"/>
    </row>
    <row r="10" spans="1:8" ht="18" customHeight="1" x14ac:dyDescent="0.35">
      <c r="A10" s="37" t="s">
        <v>256</v>
      </c>
      <c r="B10" s="29" t="s">
        <v>257</v>
      </c>
      <c r="C10" s="34" t="s">
        <v>258</v>
      </c>
      <c r="D10" s="29"/>
      <c r="E10" s="29"/>
      <c r="F10" s="29"/>
      <c r="G10" s="29"/>
      <c r="H10" s="29"/>
    </row>
    <row r="11" spans="1:8" ht="18" customHeight="1" x14ac:dyDescent="0.35">
      <c r="A11" s="37" t="s">
        <v>259</v>
      </c>
      <c r="B11" s="29" t="s">
        <v>260</v>
      </c>
      <c r="C11" s="34" t="s">
        <v>261</v>
      </c>
      <c r="D11" s="29"/>
      <c r="E11" s="29"/>
      <c r="F11" s="29"/>
      <c r="G11" s="29"/>
      <c r="H11" s="29"/>
    </row>
    <row r="12" spans="1:8" ht="18" customHeight="1" x14ac:dyDescent="0.35">
      <c r="A12" s="37" t="s">
        <v>262</v>
      </c>
      <c r="B12" s="29" t="s">
        <v>263</v>
      </c>
      <c r="C12" s="34" t="s">
        <v>264</v>
      </c>
      <c r="D12" s="29"/>
      <c r="E12" s="29"/>
      <c r="F12" s="29"/>
      <c r="G12" s="29"/>
      <c r="H12" s="29"/>
    </row>
    <row r="13" spans="1:8" ht="18" customHeight="1" x14ac:dyDescent="0.35">
      <c r="A13" s="37" t="s">
        <v>265</v>
      </c>
      <c r="B13" s="29" t="s">
        <v>266</v>
      </c>
      <c r="C13" s="34" t="s">
        <v>267</v>
      </c>
      <c r="D13" s="29"/>
      <c r="E13" s="29"/>
      <c r="F13" s="29"/>
      <c r="G13" s="29"/>
      <c r="H13" s="29"/>
    </row>
    <row r="14" spans="1:8" ht="18" customHeight="1" x14ac:dyDescent="0.35">
      <c r="A14" s="37" t="s">
        <v>268</v>
      </c>
      <c r="B14" s="29" t="s">
        <v>269</v>
      </c>
      <c r="C14" s="34" t="s">
        <v>270</v>
      </c>
      <c r="D14" s="29"/>
      <c r="E14" s="29"/>
      <c r="F14" s="29"/>
      <c r="G14" s="29"/>
      <c r="H14" s="29"/>
    </row>
    <row r="15" spans="1:8" ht="18" customHeight="1" x14ac:dyDescent="0.35">
      <c r="A15" s="37" t="s">
        <v>271</v>
      </c>
      <c r="B15" s="29" t="s">
        <v>272</v>
      </c>
      <c r="C15" s="34" t="s">
        <v>273</v>
      </c>
      <c r="D15" s="29"/>
      <c r="E15" s="29"/>
      <c r="F15" s="29"/>
      <c r="G15" s="29"/>
      <c r="H15" s="29"/>
    </row>
    <row r="16" spans="1:8" ht="18" customHeight="1" x14ac:dyDescent="0.35">
      <c r="A16" s="37" t="s">
        <v>274</v>
      </c>
      <c r="B16" s="29" t="s">
        <v>275</v>
      </c>
      <c r="C16" s="34" t="s">
        <v>276</v>
      </c>
      <c r="D16" s="29"/>
      <c r="E16" s="29"/>
      <c r="F16" s="29"/>
      <c r="G16" s="29"/>
      <c r="H16" s="29"/>
    </row>
    <row r="17" spans="1:8" ht="18" customHeight="1" x14ac:dyDescent="0.35">
      <c r="A17" s="37" t="s">
        <v>277</v>
      </c>
      <c r="B17" s="29" t="s">
        <v>278</v>
      </c>
      <c r="C17" s="34" t="s">
        <v>279</v>
      </c>
      <c r="D17" s="29"/>
      <c r="E17" s="29"/>
      <c r="F17" s="29"/>
      <c r="G17" s="29"/>
      <c r="H17" s="29"/>
    </row>
    <row r="18" spans="1:8" ht="18" customHeight="1" x14ac:dyDescent="0.35">
      <c r="A18" s="29"/>
      <c r="B18" s="29"/>
      <c r="C18" s="29"/>
      <c r="D18" s="29"/>
      <c r="E18" s="29"/>
      <c r="F18" s="29"/>
      <c r="G18" s="29"/>
      <c r="H18" s="29"/>
    </row>
    <row r="19" spans="1:8" ht="18" customHeight="1" x14ac:dyDescent="0.35">
      <c r="A19" s="33" t="s">
        <v>280</v>
      </c>
      <c r="B19" s="29"/>
      <c r="C19" s="29"/>
      <c r="D19" s="29"/>
      <c r="E19" s="29"/>
      <c r="F19" s="29"/>
      <c r="G19" s="29"/>
      <c r="H19" s="29"/>
    </row>
    <row r="20" spans="1:8" ht="18" customHeight="1" x14ac:dyDescent="0.35">
      <c r="A20" s="29" t="s">
        <v>281</v>
      </c>
      <c r="B20" s="34" t="s">
        <v>282</v>
      </c>
      <c r="C20" s="29"/>
      <c r="D20" s="29"/>
      <c r="E20" s="29"/>
      <c r="F20" s="29"/>
      <c r="G20" s="29"/>
      <c r="H20" s="29"/>
    </row>
    <row r="21" spans="1:8" ht="18" customHeight="1" x14ac:dyDescent="0.35">
      <c r="A21" s="29" t="s">
        <v>283</v>
      </c>
      <c r="B21" s="34" t="s">
        <v>284</v>
      </c>
      <c r="C21" s="29"/>
      <c r="D21" s="29"/>
      <c r="E21" s="29"/>
      <c r="F21" s="29"/>
      <c r="G21" s="29"/>
      <c r="H21" s="29"/>
    </row>
    <row r="22" spans="1:8" ht="18" customHeight="1" x14ac:dyDescent="0.35">
      <c r="A22" s="29" t="s">
        <v>285</v>
      </c>
      <c r="B22" s="34" t="s">
        <v>286</v>
      </c>
      <c r="C22" s="29"/>
      <c r="D22" s="29"/>
      <c r="E22" s="29"/>
      <c r="F22" s="29"/>
      <c r="G22" s="29"/>
      <c r="H22" s="29"/>
    </row>
    <row r="23" spans="1:8" ht="18" customHeight="1" x14ac:dyDescent="0.35">
      <c r="A23" s="29" t="s">
        <v>287</v>
      </c>
      <c r="B23" s="34" t="s">
        <v>288</v>
      </c>
      <c r="C23" s="29"/>
      <c r="D23" s="29"/>
      <c r="E23" s="29"/>
      <c r="F23" s="29"/>
      <c r="G23" s="29"/>
      <c r="H23" s="29"/>
    </row>
    <row r="24" spans="1:8" ht="18" customHeight="1" x14ac:dyDescent="0.35">
      <c r="A24" s="29" t="s">
        <v>289</v>
      </c>
      <c r="B24" s="34" t="s">
        <v>290</v>
      </c>
      <c r="C24" s="29"/>
      <c r="D24" s="29"/>
      <c r="E24" s="29"/>
      <c r="F24" s="29"/>
      <c r="G24" s="29"/>
      <c r="H24" s="29"/>
    </row>
    <row r="25" spans="1:8" ht="18" customHeight="1" x14ac:dyDescent="0.35">
      <c r="A25" s="29" t="s">
        <v>291</v>
      </c>
      <c r="B25" s="34" t="s">
        <v>292</v>
      </c>
      <c r="C25" s="29"/>
      <c r="D25" s="29"/>
      <c r="E25" s="29"/>
      <c r="F25" s="29"/>
      <c r="G25" s="29"/>
      <c r="H25" s="29"/>
    </row>
    <row r="26" spans="1:8" ht="18" customHeight="1" x14ac:dyDescent="0.35">
      <c r="A26" s="29" t="s">
        <v>293</v>
      </c>
      <c r="B26" s="34" t="s">
        <v>294</v>
      </c>
      <c r="C26" s="29"/>
      <c r="D26" s="29"/>
      <c r="E26" s="29"/>
      <c r="F26" s="29"/>
      <c r="G26" s="29"/>
      <c r="H26" s="29"/>
    </row>
    <row r="27" spans="1:8" x14ac:dyDescent="0.35">
      <c r="A27" s="29"/>
      <c r="B27" s="29"/>
      <c r="C27" s="29"/>
      <c r="D27" s="29"/>
      <c r="E27" s="29"/>
      <c r="F27" s="29"/>
      <c r="G27" s="29"/>
      <c r="H27" s="29"/>
    </row>
    <row r="28" spans="1:8" x14ac:dyDescent="0.35">
      <c r="A28" s="33" t="s">
        <v>295</v>
      </c>
      <c r="B28" s="29"/>
      <c r="C28" s="29"/>
      <c r="D28" s="29"/>
      <c r="E28" s="29"/>
      <c r="F28" s="29"/>
      <c r="G28" s="29"/>
      <c r="H28" s="29"/>
    </row>
    <row r="29" spans="1:8" x14ac:dyDescent="0.35">
      <c r="A29" s="29" t="s">
        <v>296</v>
      </c>
      <c r="B29" s="29"/>
      <c r="C29" s="29"/>
      <c r="D29" s="29"/>
      <c r="E29" s="29"/>
      <c r="F29" s="29"/>
      <c r="G29" s="29"/>
      <c r="H29" s="29"/>
    </row>
    <row r="30" spans="1:8" x14ac:dyDescent="0.35">
      <c r="A30" s="29" t="s">
        <v>297</v>
      </c>
      <c r="B30" s="29"/>
      <c r="C30" s="29"/>
      <c r="D30" s="29"/>
      <c r="E30" s="29"/>
      <c r="F30" s="29"/>
      <c r="G30" s="29"/>
      <c r="H30" s="29"/>
    </row>
    <row r="31" spans="1:8" x14ac:dyDescent="0.35">
      <c r="A31" s="29" t="s">
        <v>298</v>
      </c>
      <c r="B31" s="29"/>
      <c r="C31" s="29"/>
      <c r="D31" s="29"/>
      <c r="E31" s="29"/>
      <c r="F31" s="29"/>
      <c r="G31" s="29"/>
      <c r="H31" s="29"/>
    </row>
    <row r="32" spans="1:8" x14ac:dyDescent="0.35">
      <c r="A32" s="29" t="s">
        <v>299</v>
      </c>
      <c r="B32" s="29"/>
      <c r="C32" s="29"/>
      <c r="D32" s="29"/>
      <c r="E32" s="29"/>
      <c r="F32" s="29"/>
      <c r="G32" s="29"/>
      <c r="H32" s="29"/>
    </row>
    <row r="33" spans="1:8" x14ac:dyDescent="0.35">
      <c r="A33" s="29" t="s">
        <v>300</v>
      </c>
      <c r="B33" s="29"/>
      <c r="C33" s="29"/>
      <c r="D33" s="29"/>
      <c r="E33" s="29"/>
      <c r="F33" s="29"/>
      <c r="G33" s="29"/>
      <c r="H33" s="29"/>
    </row>
    <row r="34" spans="1:8" x14ac:dyDescent="0.35">
      <c r="A34" s="29" t="s">
        <v>301</v>
      </c>
      <c r="B34" s="29"/>
      <c r="C34" s="29"/>
      <c r="D34" s="29"/>
      <c r="E34" s="29"/>
      <c r="F34" s="29"/>
      <c r="G34" s="29"/>
      <c r="H34" s="29"/>
    </row>
    <row r="35" spans="1:8" x14ac:dyDescent="0.35">
      <c r="A35" s="2" t="s">
        <v>457</v>
      </c>
      <c r="B35" s="29"/>
      <c r="C35" s="29"/>
      <c r="D35" s="29"/>
      <c r="E35" s="29"/>
      <c r="F35" s="29"/>
      <c r="G35" s="29"/>
      <c r="H35" s="29"/>
    </row>
    <row r="36" spans="1:8" x14ac:dyDescent="0.35">
      <c r="A36" s="29"/>
      <c r="B36" s="29"/>
      <c r="C36" s="29"/>
      <c r="D36" s="29"/>
      <c r="E36" s="29"/>
      <c r="F36" s="29"/>
      <c r="G36" s="29"/>
      <c r="H36" s="29"/>
    </row>
    <row r="37" spans="1:8" x14ac:dyDescent="0.35">
      <c r="A37" s="33" t="s">
        <v>302</v>
      </c>
      <c r="B37" s="29"/>
      <c r="C37" s="29"/>
      <c r="D37" s="29"/>
      <c r="E37" s="29"/>
      <c r="F37" s="29"/>
      <c r="G37" s="29"/>
      <c r="H37" s="29"/>
    </row>
    <row r="38" spans="1:8" x14ac:dyDescent="0.35">
      <c r="A38" s="35" t="s">
        <v>303</v>
      </c>
      <c r="B38" s="35" t="s">
        <v>84</v>
      </c>
      <c r="C38" s="35" t="s">
        <v>86</v>
      </c>
      <c r="D38" s="35" t="s">
        <v>87</v>
      </c>
      <c r="E38" s="29"/>
      <c r="F38" s="29"/>
      <c r="G38" s="29"/>
      <c r="H38" s="29"/>
    </row>
    <row r="39" spans="1:8" x14ac:dyDescent="0.35">
      <c r="A39" s="29" t="s">
        <v>304</v>
      </c>
      <c r="B39" s="132">
        <f>'Class 4 Estimate'!C79</f>
        <v>7272.8000000000011</v>
      </c>
      <c r="C39" s="29">
        <f>'Class 4 Estimate'!E79</f>
        <v>4463.5999999999995</v>
      </c>
      <c r="D39" s="132">
        <f>'Class 4 Estimate'!F79</f>
        <v>12929.600000000002</v>
      </c>
      <c r="E39" s="29"/>
      <c r="F39" s="29"/>
      <c r="G39" s="29"/>
      <c r="H39" s="29"/>
    </row>
    <row r="40" spans="1:8" x14ac:dyDescent="0.35">
      <c r="A40" s="29" t="s">
        <v>305</v>
      </c>
      <c r="B40" s="29">
        <f>'Class 4 Estimate'!C80</f>
        <v>6000</v>
      </c>
      <c r="C40" s="29">
        <f>'Class 4 Estimate'!E80</f>
        <v>1392</v>
      </c>
      <c r="D40" s="29">
        <f>'Class 4 Estimate'!F80</f>
        <v>7392</v>
      </c>
      <c r="E40" s="29"/>
      <c r="F40" s="29"/>
      <c r="G40" s="29"/>
      <c r="H40" s="29"/>
    </row>
    <row r="41" spans="1:8" x14ac:dyDescent="0.35">
      <c r="A41" s="29" t="s">
        <v>306</v>
      </c>
      <c r="B41" s="29">
        <f>'Class 4 Estimate'!C81</f>
        <v>60</v>
      </c>
      <c r="C41" s="29">
        <f>'Class 4 Estimate'!E81</f>
        <v>435</v>
      </c>
      <c r="D41" s="29">
        <f>'Class 4 Estimate'!F81</f>
        <v>495</v>
      </c>
      <c r="E41" s="29"/>
      <c r="F41" s="29"/>
      <c r="G41" s="29"/>
      <c r="H41" s="29"/>
    </row>
    <row r="42" spans="1:8" x14ac:dyDescent="0.35">
      <c r="A42" s="29" t="s">
        <v>307</v>
      </c>
      <c r="B42" s="29">
        <f>'Class 4 Estimate'!C82</f>
        <v>50</v>
      </c>
      <c r="C42" s="29">
        <f>'Class 4 Estimate'!E82</f>
        <v>1914</v>
      </c>
      <c r="D42" s="29">
        <f>'Class 4 Estimate'!F82</f>
        <v>1954</v>
      </c>
      <c r="E42" s="29"/>
      <c r="F42" s="29"/>
      <c r="G42" s="29"/>
      <c r="H42" s="29"/>
    </row>
    <row r="43" spans="1:8" x14ac:dyDescent="0.35">
      <c r="A43" s="29"/>
      <c r="B43" s="29"/>
      <c r="C43" s="29"/>
      <c r="D43" s="29"/>
      <c r="E43" s="29"/>
      <c r="F43" s="29"/>
      <c r="G43" s="29"/>
      <c r="H43" s="29"/>
    </row>
    <row r="44" spans="1:8" x14ac:dyDescent="0.35">
      <c r="A44" s="37" t="s">
        <v>308</v>
      </c>
      <c r="B44" s="29"/>
      <c r="C44" s="29"/>
      <c r="D44" s="133">
        <f>'Class 4 Estimate'!F84</f>
        <v>24642.853720000003</v>
      </c>
      <c r="E44" s="29"/>
      <c r="F44" s="29"/>
      <c r="G44" s="29"/>
      <c r="H44" s="29"/>
    </row>
    <row r="45" spans="1:8" x14ac:dyDescent="0.35">
      <c r="A45" s="29" t="s">
        <v>309</v>
      </c>
      <c r="B45" s="29"/>
      <c r="C45" s="29"/>
      <c r="D45" s="132">
        <f>'Class 4 Estimate'!F85</f>
        <v>7392.8561160000008</v>
      </c>
      <c r="E45" s="29"/>
      <c r="F45" s="29"/>
      <c r="G45" s="29"/>
      <c r="H45" s="29"/>
    </row>
    <row r="46" spans="1:8" ht="15.5" x14ac:dyDescent="0.35">
      <c r="A46" s="38" t="s">
        <v>310</v>
      </c>
      <c r="B46" s="29"/>
      <c r="C46" s="29"/>
      <c r="D46" s="134">
        <f>'Class 4 Estimate'!F86</f>
        <v>32035.709836000002</v>
      </c>
      <c r="E46" s="29"/>
      <c r="F46" s="29"/>
      <c r="G46" s="29"/>
      <c r="H46" s="29"/>
    </row>
    <row r="47" spans="1:8" x14ac:dyDescent="0.35">
      <c r="A47" s="29"/>
      <c r="B47" s="29"/>
      <c r="C47" s="29"/>
      <c r="D47" s="29"/>
      <c r="E47" s="29"/>
      <c r="F47" s="29"/>
      <c r="G47" s="29"/>
      <c r="H47" s="29"/>
    </row>
    <row r="48" spans="1:8" x14ac:dyDescent="0.35">
      <c r="A48" s="33" t="s">
        <v>311</v>
      </c>
      <c r="B48" s="29"/>
      <c r="C48" s="29"/>
      <c r="D48" s="29"/>
      <c r="E48" s="29"/>
      <c r="F48" s="29"/>
      <c r="G48" s="29"/>
      <c r="H48" s="29"/>
    </row>
    <row r="49" spans="1:8" ht="34.5" customHeight="1" x14ac:dyDescent="0.35">
      <c r="A49" s="37" t="s">
        <v>312</v>
      </c>
      <c r="B49" s="34" t="s">
        <v>313</v>
      </c>
      <c r="C49" s="29"/>
      <c r="D49" s="29"/>
      <c r="E49" s="29"/>
      <c r="F49" s="29"/>
      <c r="G49" s="29"/>
      <c r="H49" s="29"/>
    </row>
    <row r="50" spans="1:8" ht="32.5" customHeight="1" x14ac:dyDescent="0.35">
      <c r="A50" s="37" t="s">
        <v>314</v>
      </c>
      <c r="B50" s="34" t="s">
        <v>315</v>
      </c>
      <c r="C50" s="29"/>
      <c r="D50" s="29"/>
      <c r="E50" s="29"/>
      <c r="F50" s="29"/>
      <c r="G50" s="29"/>
      <c r="H50" s="29"/>
    </row>
    <row r="51" spans="1:8" ht="30.5" customHeight="1" x14ac:dyDescent="0.35">
      <c r="A51" s="37" t="s">
        <v>316</v>
      </c>
      <c r="B51" s="135" t="s">
        <v>460</v>
      </c>
      <c r="C51" s="29"/>
      <c r="D51" s="29"/>
      <c r="E51" s="29"/>
      <c r="F51" s="29"/>
      <c r="G51" s="29"/>
      <c r="H51" s="29"/>
    </row>
    <row r="52" spans="1:8" ht="29" x14ac:dyDescent="0.35">
      <c r="A52" s="136" t="s">
        <v>458</v>
      </c>
      <c r="B52" s="135" t="s">
        <v>459</v>
      </c>
      <c r="C52" s="29"/>
      <c r="D52" s="29"/>
      <c r="E52" s="29"/>
      <c r="F52" s="29"/>
      <c r="G52" s="29"/>
      <c r="H52" s="29"/>
    </row>
    <row r="53" spans="1:8" ht="24" customHeight="1" x14ac:dyDescent="0.35">
      <c r="A53" s="37" t="s">
        <v>317</v>
      </c>
      <c r="B53" s="34" t="s">
        <v>318</v>
      </c>
      <c r="C53" s="29"/>
      <c r="D53" s="29"/>
      <c r="E53" s="29"/>
      <c r="F53" s="29"/>
      <c r="G53" s="29"/>
      <c r="H53" s="29"/>
    </row>
    <row r="54" spans="1:8" x14ac:dyDescent="0.35">
      <c r="A54" s="29"/>
      <c r="B54" s="29"/>
      <c r="C54" s="29"/>
      <c r="D54" s="29"/>
      <c r="E54" s="29"/>
      <c r="F54" s="29"/>
      <c r="G54" s="29"/>
      <c r="H54" s="29"/>
    </row>
    <row r="55" spans="1:8" x14ac:dyDescent="0.35">
      <c r="A55" s="33"/>
      <c r="B55" s="29"/>
      <c r="C55" s="29"/>
      <c r="D55" s="29"/>
      <c r="E55" s="29"/>
      <c r="F55" s="29"/>
      <c r="G55" s="29"/>
      <c r="H55" s="29"/>
    </row>
    <row r="56" spans="1:8" x14ac:dyDescent="0.35">
      <c r="A56" s="34"/>
      <c r="B56" s="29"/>
      <c r="C56" s="29"/>
      <c r="D56" s="29"/>
      <c r="E56" s="29"/>
      <c r="F56" s="29"/>
      <c r="G56" s="29"/>
      <c r="H56" s="29"/>
    </row>
    <row r="57" spans="1:8" x14ac:dyDescent="0.35">
      <c r="A57" s="34"/>
      <c r="B57" s="29"/>
      <c r="C57" s="29"/>
      <c r="D57" s="29"/>
      <c r="E57" s="29"/>
      <c r="F57" s="29"/>
      <c r="G57" s="29"/>
      <c r="H57" s="29"/>
    </row>
    <row r="58" spans="1:8" x14ac:dyDescent="0.35">
      <c r="A58" s="34"/>
      <c r="B58" s="29"/>
      <c r="C58" s="29"/>
      <c r="D58" s="29"/>
      <c r="E58" s="29"/>
      <c r="F58" s="29"/>
      <c r="G58" s="29"/>
      <c r="H58" s="29"/>
    </row>
    <row r="59" spans="1:8" x14ac:dyDescent="0.35">
      <c r="A59" s="34"/>
      <c r="B59" s="29"/>
      <c r="C59" s="29"/>
      <c r="D59" s="29"/>
      <c r="E59" s="29"/>
      <c r="F59" s="29"/>
      <c r="G59" s="29"/>
      <c r="H59" s="29"/>
    </row>
    <row r="60" spans="1:8" x14ac:dyDescent="0.35">
      <c r="A60" s="34"/>
      <c r="B60" s="29"/>
      <c r="C60" s="29"/>
      <c r="D60" s="29"/>
      <c r="E60" s="29"/>
      <c r="F60" s="29"/>
      <c r="G60" s="29"/>
      <c r="H60" s="29"/>
    </row>
    <row r="61" spans="1:8" x14ac:dyDescent="0.35">
      <c r="A61" s="29"/>
      <c r="B61" s="29"/>
      <c r="C61" s="29"/>
      <c r="D61" s="29"/>
      <c r="E61" s="29"/>
      <c r="F61" s="29"/>
      <c r="G61" s="29"/>
      <c r="H61" s="29"/>
    </row>
    <row r="62" spans="1:8" x14ac:dyDescent="0.35">
      <c r="A62" s="32"/>
      <c r="B62" s="29"/>
      <c r="C62" s="29"/>
      <c r="D62" s="29"/>
      <c r="E62" s="29"/>
      <c r="F62" s="29"/>
      <c r="G62" s="29"/>
      <c r="H62" s="29"/>
    </row>
    <row r="63" spans="1:8" x14ac:dyDescent="0.35">
      <c r="A63" s="29"/>
      <c r="B63" s="29"/>
      <c r="C63" s="29"/>
      <c r="D63" s="29"/>
      <c r="E63" s="29"/>
      <c r="F63" s="29"/>
      <c r="G63" s="29"/>
      <c r="H63" s="29"/>
    </row>
    <row r="64" spans="1:8" x14ac:dyDescent="0.35">
      <c r="A64" s="29"/>
      <c r="B64" s="29"/>
      <c r="C64" s="29"/>
      <c r="D64" s="29"/>
      <c r="E64" s="29"/>
      <c r="F64" s="29"/>
      <c r="G64" s="29"/>
      <c r="H64" s="29"/>
    </row>
    <row r="65" spans="1:8" x14ac:dyDescent="0.35">
      <c r="A65" s="29"/>
      <c r="B65" s="29"/>
      <c r="C65" s="29"/>
      <c r="D65" s="29"/>
      <c r="E65" s="29"/>
      <c r="F65" s="29"/>
      <c r="G65" s="29"/>
      <c r="H65" s="29"/>
    </row>
    <row r="66" spans="1:8" x14ac:dyDescent="0.35">
      <c r="A66" s="29"/>
      <c r="B66" s="29"/>
      <c r="C66" s="29"/>
      <c r="D66" s="29"/>
      <c r="E66" s="29"/>
      <c r="F66" s="29"/>
      <c r="G66" s="29"/>
      <c r="H66" s="29"/>
    </row>
    <row r="67" spans="1:8" x14ac:dyDescent="0.35">
      <c r="A67" s="29"/>
      <c r="B67" s="29"/>
      <c r="C67" s="29"/>
      <c r="D67" s="29"/>
      <c r="E67" s="29"/>
      <c r="F67" s="29"/>
      <c r="G67" s="29"/>
      <c r="H67" s="29"/>
    </row>
    <row r="68" spans="1:8" x14ac:dyDescent="0.35">
      <c r="A68" s="29"/>
      <c r="B68" s="29"/>
      <c r="C68" s="29"/>
      <c r="D68" s="29"/>
      <c r="E68" s="29"/>
      <c r="F68" s="29"/>
      <c r="G68" s="29"/>
      <c r="H68" s="29"/>
    </row>
    <row r="69" spans="1:8" x14ac:dyDescent="0.35">
      <c r="A69" s="29"/>
      <c r="B69" s="29"/>
      <c r="C69" s="29"/>
      <c r="D69" s="29"/>
      <c r="E69" s="29"/>
      <c r="F69" s="29"/>
      <c r="G69" s="29"/>
      <c r="H69" s="29"/>
    </row>
    <row r="70" spans="1:8" x14ac:dyDescent="0.35">
      <c r="A70" s="29"/>
      <c r="B70" s="29"/>
      <c r="C70" s="29"/>
      <c r="D70" s="29"/>
      <c r="E70" s="29"/>
      <c r="F70" s="29"/>
      <c r="G70" s="29"/>
      <c r="H70" s="29"/>
    </row>
    <row r="71" spans="1:8" x14ac:dyDescent="0.35">
      <c r="A71" s="29"/>
      <c r="B71" s="29"/>
      <c r="C71" s="29"/>
      <c r="D71" s="29"/>
      <c r="E71" s="29"/>
      <c r="F71" s="29"/>
      <c r="G71" s="29"/>
      <c r="H71" s="29"/>
    </row>
    <row r="72" spans="1:8" x14ac:dyDescent="0.35">
      <c r="A72" s="29"/>
      <c r="B72" s="29"/>
      <c r="C72" s="29"/>
      <c r="D72" s="29"/>
      <c r="E72" s="29"/>
      <c r="F72" s="29"/>
      <c r="G72" s="29"/>
      <c r="H72" s="29"/>
    </row>
    <row r="73" spans="1:8" x14ac:dyDescent="0.35">
      <c r="A73" s="29"/>
      <c r="B73" s="29"/>
      <c r="C73" s="29"/>
      <c r="D73" s="29"/>
      <c r="E73" s="29"/>
      <c r="F73" s="29"/>
      <c r="G73" s="29"/>
      <c r="H73" s="29"/>
    </row>
    <row r="74" spans="1:8" x14ac:dyDescent="0.35">
      <c r="A74" s="29"/>
      <c r="B74" s="29"/>
      <c r="C74" s="29"/>
      <c r="D74" s="29"/>
      <c r="E74" s="29"/>
      <c r="F74" s="29"/>
      <c r="G74" s="29"/>
      <c r="H74" s="29"/>
    </row>
    <row r="75" spans="1:8" x14ac:dyDescent="0.35">
      <c r="A75" s="29"/>
      <c r="B75" s="29"/>
      <c r="C75" s="29"/>
      <c r="D75" s="29"/>
      <c r="E75" s="29"/>
      <c r="F75" s="29"/>
      <c r="G75" s="29"/>
      <c r="H75" s="29"/>
    </row>
    <row r="76" spans="1:8" x14ac:dyDescent="0.35">
      <c r="A76" s="29"/>
      <c r="B76" s="29"/>
      <c r="C76" s="29"/>
      <c r="D76" s="29"/>
      <c r="E76" s="29"/>
      <c r="F76" s="29"/>
      <c r="G76" s="29"/>
      <c r="H76" s="29"/>
    </row>
    <row r="77" spans="1:8" x14ac:dyDescent="0.35">
      <c r="A77" s="29"/>
      <c r="B77" s="29"/>
      <c r="C77" s="29"/>
      <c r="D77" s="29"/>
      <c r="E77" s="29"/>
      <c r="F77" s="29"/>
      <c r="G77" s="29"/>
      <c r="H77" s="29"/>
    </row>
    <row r="78" spans="1:8" x14ac:dyDescent="0.35">
      <c r="A78" s="29"/>
      <c r="B78" s="29"/>
      <c r="C78" s="29"/>
      <c r="D78" s="29"/>
      <c r="E78" s="29"/>
      <c r="F78" s="29"/>
      <c r="G78" s="29"/>
      <c r="H78" s="29"/>
    </row>
    <row r="79" spans="1:8" x14ac:dyDescent="0.35">
      <c r="A79" s="29"/>
      <c r="B79" s="29"/>
      <c r="C79" s="29"/>
      <c r="D79" s="29"/>
      <c r="E79" s="29"/>
      <c r="F79" s="29"/>
      <c r="G79" s="29"/>
      <c r="H79" s="29"/>
    </row>
    <row r="80" spans="1:8" x14ac:dyDescent="0.35">
      <c r="A80" s="29"/>
      <c r="B80" s="29"/>
      <c r="C80" s="29"/>
      <c r="D80" s="29"/>
      <c r="E80" s="29"/>
      <c r="F80" s="29"/>
      <c r="G80" s="29"/>
      <c r="H80" s="29"/>
    </row>
    <row r="81" spans="1:8" x14ac:dyDescent="0.35">
      <c r="A81" s="29"/>
      <c r="B81" s="29"/>
      <c r="C81" s="29"/>
      <c r="D81" s="29"/>
      <c r="E81" s="29"/>
      <c r="F81" s="29"/>
      <c r="G81" s="29"/>
      <c r="H81" s="29"/>
    </row>
    <row r="82" spans="1:8" x14ac:dyDescent="0.35">
      <c r="A82" s="29"/>
      <c r="B82" s="29"/>
      <c r="C82" s="29"/>
      <c r="D82" s="29"/>
      <c r="E82" s="29"/>
      <c r="F82" s="29"/>
      <c r="G82" s="29"/>
      <c r="H82" s="29"/>
    </row>
    <row r="83" spans="1:8" x14ac:dyDescent="0.35">
      <c r="A83" s="29"/>
      <c r="B83" s="29"/>
      <c r="C83" s="29"/>
      <c r="D83" s="29"/>
      <c r="E83" s="29"/>
      <c r="F83" s="29"/>
      <c r="G83" s="29"/>
      <c r="H83" s="29"/>
    </row>
    <row r="84" spans="1:8" x14ac:dyDescent="0.35">
      <c r="A84" s="29"/>
      <c r="B84" s="29"/>
      <c r="C84" s="29"/>
      <c r="D84" s="29"/>
      <c r="E84" s="29"/>
      <c r="F84" s="29"/>
      <c r="G84" s="29"/>
      <c r="H84" s="29"/>
    </row>
    <row r="85" spans="1:8" x14ac:dyDescent="0.35">
      <c r="A85" s="29"/>
      <c r="B85" s="29"/>
      <c r="C85" s="29"/>
      <c r="D85" s="29"/>
      <c r="E85" s="29"/>
      <c r="F85" s="29"/>
      <c r="G85" s="29"/>
      <c r="H85" s="29"/>
    </row>
    <row r="86" spans="1:8" x14ac:dyDescent="0.35">
      <c r="A86" s="29"/>
      <c r="B86" s="29"/>
      <c r="C86" s="29"/>
      <c r="D86" s="29"/>
      <c r="E86" s="29"/>
      <c r="F86" s="29"/>
      <c r="G86" s="29"/>
      <c r="H86" s="29"/>
    </row>
    <row r="87" spans="1:8" x14ac:dyDescent="0.35">
      <c r="A87" s="29"/>
      <c r="B87" s="29"/>
      <c r="C87" s="29"/>
      <c r="D87" s="29"/>
      <c r="E87" s="29"/>
      <c r="F87" s="29"/>
      <c r="G87" s="29"/>
      <c r="H87" s="29"/>
    </row>
    <row r="88" spans="1:8" x14ac:dyDescent="0.35">
      <c r="A88" s="29"/>
      <c r="B88" s="29"/>
      <c r="C88" s="29"/>
      <c r="D88" s="29"/>
      <c r="E88" s="29"/>
      <c r="F88" s="29"/>
      <c r="G88" s="29"/>
      <c r="H88" s="29"/>
    </row>
    <row r="89" spans="1:8" x14ac:dyDescent="0.35">
      <c r="A89" s="29"/>
      <c r="B89" s="29"/>
      <c r="C89" s="29"/>
      <c r="D89" s="29"/>
      <c r="E89" s="29"/>
      <c r="F89" s="29"/>
      <c r="G89" s="29"/>
      <c r="H89" s="29"/>
    </row>
    <row r="90" spans="1:8" x14ac:dyDescent="0.35">
      <c r="A90" s="29"/>
      <c r="B90" s="29"/>
      <c r="C90" s="29"/>
      <c r="D90" s="29"/>
      <c r="E90" s="29"/>
      <c r="F90" s="29"/>
      <c r="G90" s="29"/>
      <c r="H90" s="29"/>
    </row>
    <row r="91" spans="1:8" x14ac:dyDescent="0.35">
      <c r="A91" s="29"/>
      <c r="B91" s="29"/>
      <c r="C91" s="29"/>
      <c r="D91" s="29"/>
      <c r="E91" s="29"/>
      <c r="F91" s="29"/>
      <c r="G91" s="29"/>
      <c r="H91" s="29"/>
    </row>
    <row r="92" spans="1:8" x14ac:dyDescent="0.35">
      <c r="A92" s="29"/>
      <c r="B92" s="29"/>
      <c r="C92" s="29"/>
      <c r="D92" s="29"/>
      <c r="E92" s="29"/>
      <c r="F92" s="29"/>
      <c r="G92" s="29"/>
      <c r="H92" s="29"/>
    </row>
    <row r="93" spans="1:8" x14ac:dyDescent="0.35">
      <c r="A93" s="29"/>
      <c r="B93" s="29"/>
      <c r="C93" s="29"/>
      <c r="D93" s="29"/>
      <c r="E93" s="29"/>
      <c r="F93" s="29"/>
      <c r="G93" s="29"/>
      <c r="H93" s="29"/>
    </row>
    <row r="94" spans="1:8" x14ac:dyDescent="0.35">
      <c r="A94" s="29"/>
      <c r="B94" s="29"/>
      <c r="C94" s="29"/>
      <c r="D94" s="29"/>
      <c r="E94" s="29"/>
      <c r="F94" s="29"/>
      <c r="G94" s="29"/>
      <c r="H94" s="29"/>
    </row>
    <row r="95" spans="1:8" x14ac:dyDescent="0.35">
      <c r="A95" s="29"/>
      <c r="B95" s="29"/>
      <c r="C95" s="29"/>
      <c r="D95" s="29"/>
      <c r="E95" s="29"/>
      <c r="F95" s="29"/>
      <c r="G95" s="29"/>
      <c r="H95" s="29"/>
    </row>
    <row r="96" spans="1:8" x14ac:dyDescent="0.35">
      <c r="A96" s="29"/>
      <c r="B96" s="29"/>
      <c r="C96" s="29"/>
      <c r="D96" s="29"/>
      <c r="E96" s="29"/>
      <c r="F96" s="29"/>
      <c r="G96" s="29"/>
      <c r="H96" s="29"/>
    </row>
    <row r="97" spans="1:8" x14ac:dyDescent="0.35">
      <c r="A97" s="29"/>
      <c r="B97" s="29"/>
      <c r="C97" s="29"/>
      <c r="D97" s="29"/>
      <c r="E97" s="29"/>
      <c r="F97" s="29"/>
      <c r="G97" s="29"/>
      <c r="H97" s="29"/>
    </row>
  </sheetData>
  <mergeCells count="1">
    <mergeCell ref="A4:C4"/>
  </mergeCells>
  <pageMargins left="0.7" right="0.7" top="0.75" bottom="0.75" header="0.3" footer="0.3"/>
  <pageSetup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0"/>
  <sheetViews>
    <sheetView topLeftCell="A57" workbookViewId="0">
      <selection activeCell="D19" sqref="D19"/>
    </sheetView>
  </sheetViews>
  <sheetFormatPr defaultRowHeight="14.5" x14ac:dyDescent="0.35"/>
  <cols>
    <col min="1" max="1" width="92.26953125" customWidth="1"/>
  </cols>
  <sheetData>
    <row r="1" spans="1:1" ht="18.5" customHeight="1" x14ac:dyDescent="0.45">
      <c r="A1" s="4" t="s">
        <v>0</v>
      </c>
    </row>
    <row r="3" spans="1:1" ht="15.5" customHeight="1" x14ac:dyDescent="0.35">
      <c r="A3" s="13" t="s">
        <v>1</v>
      </c>
    </row>
    <row r="4" spans="1:1" x14ac:dyDescent="0.35">
      <c r="A4" s="16" t="s">
        <v>2</v>
      </c>
    </row>
    <row r="5" spans="1:1" x14ac:dyDescent="0.35">
      <c r="A5" s="2" t="s">
        <v>3</v>
      </c>
    </row>
    <row r="6" spans="1:1" x14ac:dyDescent="0.35">
      <c r="A6" s="16" t="s">
        <v>4</v>
      </c>
    </row>
    <row r="7" spans="1:1" x14ac:dyDescent="0.35">
      <c r="A7" s="2" t="s">
        <v>5</v>
      </c>
    </row>
    <row r="9" spans="1:1" x14ac:dyDescent="0.35">
      <c r="A9" s="16" t="s">
        <v>6</v>
      </c>
    </row>
    <row r="10" spans="1:1" x14ac:dyDescent="0.35">
      <c r="A10" s="23" t="s">
        <v>472</v>
      </c>
    </row>
    <row r="12" spans="1:1" ht="15.5" customHeight="1" x14ac:dyDescent="0.35">
      <c r="A12" s="13" t="s">
        <v>7</v>
      </c>
    </row>
    <row r="13" spans="1:1" x14ac:dyDescent="0.35">
      <c r="A13" s="3" t="s">
        <v>8</v>
      </c>
    </row>
    <row r="14" spans="1:1" x14ac:dyDescent="0.35">
      <c r="A14" s="16" t="s">
        <v>9</v>
      </c>
    </row>
    <row r="15" spans="1:1" x14ac:dyDescent="0.35">
      <c r="A15" s="2" t="s">
        <v>10</v>
      </c>
    </row>
    <row r="16" spans="1:1" x14ac:dyDescent="0.35">
      <c r="A16" s="23" t="s">
        <v>471</v>
      </c>
    </row>
    <row r="17" spans="1:1" x14ac:dyDescent="0.35">
      <c r="A17" s="16" t="s">
        <v>11</v>
      </c>
    </row>
    <row r="18" spans="1:1" x14ac:dyDescent="0.35">
      <c r="A18" s="2" t="s">
        <v>12</v>
      </c>
    </row>
    <row r="19" spans="1:1" x14ac:dyDescent="0.35">
      <c r="A19" s="2" t="s">
        <v>13</v>
      </c>
    </row>
    <row r="20" spans="1:1" x14ac:dyDescent="0.35">
      <c r="A20" t="s">
        <v>14</v>
      </c>
    </row>
    <row r="22" spans="1:1" ht="15.5" customHeight="1" x14ac:dyDescent="0.35">
      <c r="A22" s="13" t="s">
        <v>15</v>
      </c>
    </row>
    <row r="24" spans="1:1" x14ac:dyDescent="0.35">
      <c r="A24" s="26" t="s">
        <v>16</v>
      </c>
    </row>
    <row r="25" spans="1:1" x14ac:dyDescent="0.35">
      <c r="A25" s="16" t="s">
        <v>17</v>
      </c>
    </row>
    <row r="26" spans="1:1" x14ac:dyDescent="0.35">
      <c r="A26" s="16" t="s">
        <v>18</v>
      </c>
    </row>
    <row r="27" spans="1:1" x14ac:dyDescent="0.35">
      <c r="A27" s="16" t="s">
        <v>19</v>
      </c>
    </row>
    <row r="29" spans="1:1" x14ac:dyDescent="0.35">
      <c r="A29" s="17" t="s">
        <v>20</v>
      </c>
    </row>
    <row r="30" spans="1:1" x14ac:dyDescent="0.35">
      <c r="A30" s="16" t="s">
        <v>21</v>
      </c>
    </row>
    <row r="31" spans="1:1" x14ac:dyDescent="0.35">
      <c r="A31" s="16" t="s">
        <v>22</v>
      </c>
    </row>
    <row r="32" spans="1:1" x14ac:dyDescent="0.35">
      <c r="A32" s="16" t="s">
        <v>23</v>
      </c>
    </row>
    <row r="33" spans="1:2" x14ac:dyDescent="0.35">
      <c r="A33" s="16" t="s">
        <v>24</v>
      </c>
    </row>
    <row r="35" spans="1:2" x14ac:dyDescent="0.35">
      <c r="A35" s="17" t="s">
        <v>25</v>
      </c>
    </row>
    <row r="36" spans="1:2" x14ac:dyDescent="0.35">
      <c r="A36" s="2" t="s">
        <v>26</v>
      </c>
    </row>
    <row r="37" spans="1:2" x14ac:dyDescent="0.35">
      <c r="A37" s="16" t="s">
        <v>27</v>
      </c>
    </row>
    <row r="38" spans="1:2" x14ac:dyDescent="0.35">
      <c r="A38" s="2" t="s">
        <v>28</v>
      </c>
    </row>
    <row r="39" spans="1:2" x14ac:dyDescent="0.35">
      <c r="A39" s="2" t="s">
        <v>29</v>
      </c>
      <c r="B39" s="16"/>
    </row>
    <row r="40" spans="1:2" x14ac:dyDescent="0.35">
      <c r="A40" s="2" t="s">
        <v>30</v>
      </c>
    </row>
    <row r="41" spans="1:2" x14ac:dyDescent="0.35">
      <c r="A41" s="2" t="s">
        <v>31</v>
      </c>
    </row>
    <row r="42" spans="1:2" x14ac:dyDescent="0.35">
      <c r="A42" s="2" t="s">
        <v>32</v>
      </c>
      <c r="B42" s="16"/>
    </row>
    <row r="44" spans="1:2" x14ac:dyDescent="0.35">
      <c r="A44" s="17" t="s">
        <v>33</v>
      </c>
    </row>
    <row r="45" spans="1:2" x14ac:dyDescent="0.35">
      <c r="A45" s="16" t="s">
        <v>34</v>
      </c>
    </row>
    <row r="46" spans="1:2" x14ac:dyDescent="0.35">
      <c r="A46" s="16" t="s">
        <v>35</v>
      </c>
    </row>
    <row r="47" spans="1:2" x14ac:dyDescent="0.35">
      <c r="A47" s="16" t="s">
        <v>36</v>
      </c>
    </row>
    <row r="48" spans="1:2" x14ac:dyDescent="0.35">
      <c r="A48" s="16" t="s">
        <v>37</v>
      </c>
    </row>
    <row r="49" spans="1:1" x14ac:dyDescent="0.35">
      <c r="A49" s="16" t="s">
        <v>38</v>
      </c>
    </row>
    <row r="51" spans="1:1" x14ac:dyDescent="0.35">
      <c r="A51" s="17" t="s">
        <v>39</v>
      </c>
    </row>
    <row r="52" spans="1:1" x14ac:dyDescent="0.35">
      <c r="A52" s="16" t="s">
        <v>40</v>
      </c>
    </row>
    <row r="53" spans="1:1" x14ac:dyDescent="0.35">
      <c r="A53" s="16" t="s">
        <v>41</v>
      </c>
    </row>
    <row r="54" spans="1:1" x14ac:dyDescent="0.35">
      <c r="A54" s="16" t="s">
        <v>42</v>
      </c>
    </row>
    <row r="55" spans="1:1" x14ac:dyDescent="0.35">
      <c r="A55" s="16" t="s">
        <v>43</v>
      </c>
    </row>
    <row r="56" spans="1:1" x14ac:dyDescent="0.35">
      <c r="A56" s="16" t="s">
        <v>44</v>
      </c>
    </row>
    <row r="58" spans="1:1" x14ac:dyDescent="0.35">
      <c r="A58" s="17" t="s">
        <v>45</v>
      </c>
    </row>
    <row r="59" spans="1:1" x14ac:dyDescent="0.35">
      <c r="A59" s="16" t="s">
        <v>46</v>
      </c>
    </row>
    <row r="60" spans="1:1" x14ac:dyDescent="0.35">
      <c r="A60" s="16" t="s">
        <v>47</v>
      </c>
    </row>
    <row r="61" spans="1:1" x14ac:dyDescent="0.35">
      <c r="A61" s="2" t="s">
        <v>48</v>
      </c>
    </row>
    <row r="63" spans="1:1" x14ac:dyDescent="0.35">
      <c r="A63" s="1" t="s">
        <v>49</v>
      </c>
    </row>
    <row r="64" spans="1:1" x14ac:dyDescent="0.35">
      <c r="A64" t="s">
        <v>50</v>
      </c>
    </row>
    <row r="65" spans="1:1" x14ac:dyDescent="0.35">
      <c r="A65" t="s">
        <v>51</v>
      </c>
    </row>
    <row r="66" spans="1:1" x14ac:dyDescent="0.35">
      <c r="A66" t="s">
        <v>322</v>
      </c>
    </row>
    <row r="68" spans="1:1" x14ac:dyDescent="0.35">
      <c r="A68" s="20" t="s">
        <v>52</v>
      </c>
    </row>
    <row r="69" spans="1:1" x14ac:dyDescent="0.35">
      <c r="A69" s="16" t="s">
        <v>53</v>
      </c>
    </row>
    <row r="70" spans="1:1" x14ac:dyDescent="0.35">
      <c r="A70" s="2" t="s">
        <v>54</v>
      </c>
    </row>
    <row r="71" spans="1:1" x14ac:dyDescent="0.35">
      <c r="A71" s="16" t="s">
        <v>55</v>
      </c>
    </row>
    <row r="72" spans="1:1" x14ac:dyDescent="0.35">
      <c r="A72" s="16"/>
    </row>
    <row r="73" spans="1:1" x14ac:dyDescent="0.35">
      <c r="A73" s="1" t="s">
        <v>56</v>
      </c>
    </row>
    <row r="74" spans="1:1" x14ac:dyDescent="0.35">
      <c r="A74" t="s">
        <v>57</v>
      </c>
    </row>
    <row r="75" spans="1:1" x14ac:dyDescent="0.35">
      <c r="A75" t="s">
        <v>58</v>
      </c>
    </row>
    <row r="76" spans="1:1" x14ac:dyDescent="0.35">
      <c r="A76" t="s">
        <v>59</v>
      </c>
    </row>
    <row r="77" spans="1:1" x14ac:dyDescent="0.35">
      <c r="A77" t="s">
        <v>60</v>
      </c>
    </row>
    <row r="78" spans="1:1" x14ac:dyDescent="0.35">
      <c r="A78" t="s">
        <v>61</v>
      </c>
    </row>
    <row r="79" spans="1:1" x14ac:dyDescent="0.35">
      <c r="A79" s="16"/>
    </row>
    <row r="80" spans="1:1" x14ac:dyDescent="0.35">
      <c r="A80" s="20" t="s">
        <v>62</v>
      </c>
    </row>
    <row r="81" spans="1:5" x14ac:dyDescent="0.35">
      <c r="A81" s="16" t="s">
        <v>63</v>
      </c>
    </row>
    <row r="82" spans="1:5" x14ac:dyDescent="0.35">
      <c r="A82" s="16" t="s">
        <v>64</v>
      </c>
    </row>
    <row r="83" spans="1:5" x14ac:dyDescent="0.35">
      <c r="A83" s="2" t="s">
        <v>65</v>
      </c>
    </row>
    <row r="84" spans="1:5" x14ac:dyDescent="0.35">
      <c r="A84" s="21"/>
    </row>
    <row r="85" spans="1:5" ht="15.5" customHeight="1" x14ac:dyDescent="0.35">
      <c r="A85" s="22" t="s">
        <v>66</v>
      </c>
    </row>
    <row r="86" spans="1:5" x14ac:dyDescent="0.35">
      <c r="A86" s="16" t="s">
        <v>67</v>
      </c>
      <c r="E86" s="17"/>
    </row>
    <row r="87" spans="1:5" x14ac:dyDescent="0.35">
      <c r="A87" s="16" t="s">
        <v>68</v>
      </c>
      <c r="E87" s="16"/>
    </row>
    <row r="88" spans="1:5" x14ac:dyDescent="0.35">
      <c r="A88" s="16" t="s">
        <v>69</v>
      </c>
      <c r="E88" s="16"/>
    </row>
    <row r="89" spans="1:5" x14ac:dyDescent="0.35">
      <c r="A89" s="2" t="s">
        <v>70</v>
      </c>
      <c r="E89" s="16"/>
    </row>
    <row r="90" spans="1:5" x14ac:dyDescent="0.35">
      <c r="A90" s="16" t="s">
        <v>71</v>
      </c>
      <c r="E90" s="16"/>
    </row>
    <row r="91" spans="1:5" x14ac:dyDescent="0.35">
      <c r="A91" s="16" t="s">
        <v>72</v>
      </c>
    </row>
    <row r="92" spans="1:5" x14ac:dyDescent="0.35">
      <c r="A92" s="2" t="s">
        <v>73</v>
      </c>
    </row>
    <row r="94" spans="1:5" ht="15.5" customHeight="1" x14ac:dyDescent="0.35">
      <c r="A94" s="22" t="s">
        <v>74</v>
      </c>
    </row>
    <row r="95" spans="1:5" x14ac:dyDescent="0.35">
      <c r="A95" s="23" t="s">
        <v>75</v>
      </c>
    </row>
    <row r="96" spans="1:5" x14ac:dyDescent="0.35">
      <c r="A96" s="16" t="s">
        <v>76</v>
      </c>
    </row>
    <row r="97" spans="1:1" x14ac:dyDescent="0.35">
      <c r="A97" s="2" t="s">
        <v>77</v>
      </c>
    </row>
    <row r="98" spans="1:1" x14ac:dyDescent="0.35">
      <c r="A98" s="16" t="s">
        <v>78</v>
      </c>
    </row>
    <row r="99" spans="1:1" x14ac:dyDescent="0.35">
      <c r="A99" s="23" t="s">
        <v>79</v>
      </c>
    </row>
    <row r="100" spans="1:1" x14ac:dyDescent="0.35">
      <c r="A100" s="23" t="s">
        <v>80</v>
      </c>
    </row>
  </sheetData>
  <hyperlinks>
    <hyperlink ref="A24" location="'Class 4 Estimate'!A7" display="3a. SSA RF Source (WBS 1.0)" xr:uid="{00000000-0004-0000-0000-00000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1"/>
  <sheetViews>
    <sheetView tabSelected="1" topLeftCell="A36" workbookViewId="0">
      <selection activeCell="C71" sqref="C71"/>
    </sheetView>
  </sheetViews>
  <sheetFormatPr defaultRowHeight="14.5" x14ac:dyDescent="0.35"/>
  <cols>
    <col min="1" max="1" width="8" customWidth="1"/>
    <col min="2" max="2" width="55" customWidth="1"/>
    <col min="3" max="7" width="12" customWidth="1"/>
    <col min="8" max="8" width="60" customWidth="1"/>
  </cols>
  <sheetData>
    <row r="1" spans="1:13" ht="18.5" customHeight="1" x14ac:dyDescent="0.45">
      <c r="A1" s="127" t="s">
        <v>81</v>
      </c>
      <c r="L1" t="s">
        <v>336</v>
      </c>
      <c r="M1">
        <v>1740</v>
      </c>
    </row>
    <row r="2" spans="1:13" x14ac:dyDescent="0.35">
      <c r="A2" s="5" t="s">
        <v>425</v>
      </c>
      <c r="L2" t="s">
        <v>337</v>
      </c>
      <c r="M2">
        <v>200</v>
      </c>
    </row>
    <row r="4" spans="1:13" x14ac:dyDescent="0.35">
      <c r="A4" s="6" t="s">
        <v>82</v>
      </c>
      <c r="B4" s="6" t="s">
        <v>83</v>
      </c>
      <c r="C4" s="6" t="s">
        <v>84</v>
      </c>
      <c r="D4" s="6" t="s">
        <v>85</v>
      </c>
      <c r="E4" s="6" t="s">
        <v>86</v>
      </c>
      <c r="F4" s="6" t="s">
        <v>87</v>
      </c>
      <c r="G4" s="6" t="s">
        <v>88</v>
      </c>
      <c r="H4" s="6" t="s">
        <v>89</v>
      </c>
    </row>
    <row r="6" spans="1:13" x14ac:dyDescent="0.35">
      <c r="A6" s="7">
        <v>1</v>
      </c>
      <c r="B6" s="25" t="s">
        <v>90</v>
      </c>
      <c r="C6" s="7"/>
      <c r="D6" s="7"/>
      <c r="E6" s="7"/>
      <c r="F6" s="7"/>
      <c r="G6" s="7"/>
      <c r="H6" s="7"/>
    </row>
    <row r="7" spans="1:13" x14ac:dyDescent="0.35">
      <c r="A7" s="8">
        <v>1.1000000000000001</v>
      </c>
      <c r="B7" s="8" t="s">
        <v>91</v>
      </c>
      <c r="C7" s="8">
        <f>'SSA quote from R&amp;K'!C7</f>
        <v>4985.6000000000004</v>
      </c>
      <c r="D7" s="8"/>
      <c r="E7" s="8"/>
      <c r="F7" s="8">
        <f>SUM(E7+C7)</f>
        <v>4985.6000000000004</v>
      </c>
      <c r="G7" s="8" t="s">
        <v>92</v>
      </c>
      <c r="H7" s="24" t="s">
        <v>93</v>
      </c>
    </row>
    <row r="8" spans="1:13" x14ac:dyDescent="0.35">
      <c r="A8" s="8">
        <v>1.2</v>
      </c>
      <c r="B8" s="8" t="s">
        <v>437</v>
      </c>
      <c r="C8" s="8">
        <f>'SSA quote from R&amp;K'!C5</f>
        <v>311.60000000000002</v>
      </c>
      <c r="D8" s="8"/>
      <c r="E8" s="8"/>
      <c r="F8" s="8">
        <f>SUM(E8+C8)</f>
        <v>311.60000000000002</v>
      </c>
      <c r="G8" s="8" t="s">
        <v>92</v>
      </c>
      <c r="H8" s="8" t="s">
        <v>448</v>
      </c>
    </row>
    <row r="9" spans="1:13" x14ac:dyDescent="0.35">
      <c r="A9" s="8">
        <v>1.3</v>
      </c>
      <c r="B9" s="8" t="s">
        <v>335</v>
      </c>
      <c r="C9" s="8"/>
      <c r="D9" s="8">
        <v>0.75</v>
      </c>
      <c r="E9" s="8">
        <f>D9*M1*M2/1000</f>
        <v>261</v>
      </c>
      <c r="F9" s="8">
        <f>SUM(E9+C9)</f>
        <v>261</v>
      </c>
      <c r="G9" s="8" t="s">
        <v>94</v>
      </c>
      <c r="H9" s="8" t="s">
        <v>325</v>
      </c>
    </row>
    <row r="10" spans="1:13" x14ac:dyDescent="0.35">
      <c r="A10" s="9"/>
      <c r="B10" s="9" t="s">
        <v>95</v>
      </c>
      <c r="C10" s="9">
        <f>SUM(C7:C9)</f>
        <v>5297.2000000000007</v>
      </c>
      <c r="D10" s="9">
        <f t="shared" ref="D10:F10" si="0">SUM(D7:D9)</f>
        <v>0.75</v>
      </c>
      <c r="E10" s="9">
        <f t="shared" si="0"/>
        <v>261</v>
      </c>
      <c r="F10" s="9">
        <f t="shared" si="0"/>
        <v>5558.2000000000007</v>
      </c>
      <c r="G10" s="9"/>
      <c r="H10" s="9"/>
    </row>
    <row r="11" spans="1:13" x14ac:dyDescent="0.35">
      <c r="E11" s="8"/>
    </row>
    <row r="12" spans="1:13" x14ac:dyDescent="0.35">
      <c r="A12" s="7">
        <v>2</v>
      </c>
      <c r="B12" s="7" t="s">
        <v>96</v>
      </c>
      <c r="C12" s="7"/>
      <c r="D12" s="7"/>
      <c r="E12" s="8"/>
      <c r="F12" s="7"/>
      <c r="G12" s="7"/>
      <c r="H12" s="7"/>
    </row>
    <row r="13" spans="1:13" x14ac:dyDescent="0.35">
      <c r="A13" s="8">
        <v>2.1</v>
      </c>
      <c r="B13" s="8" t="s">
        <v>97</v>
      </c>
      <c r="C13" s="8">
        <v>160</v>
      </c>
      <c r="D13" s="8"/>
      <c r="E13" s="8"/>
      <c r="F13" s="8">
        <f>SUM(C13+E13)</f>
        <v>160</v>
      </c>
      <c r="G13" s="8" t="s">
        <v>101</v>
      </c>
      <c r="H13" s="8" t="s">
        <v>449</v>
      </c>
    </row>
    <row r="14" spans="1:13" x14ac:dyDescent="0.35">
      <c r="A14" s="8">
        <v>2.2000000000000002</v>
      </c>
      <c r="B14" s="8" t="s">
        <v>98</v>
      </c>
      <c r="C14" s="8">
        <v>300</v>
      </c>
      <c r="D14" s="8"/>
      <c r="E14" s="8"/>
      <c r="F14" s="8">
        <f t="shared" ref="F14:F19" si="1">SUM(C14+E14)</f>
        <v>300</v>
      </c>
      <c r="G14" s="8" t="s">
        <v>101</v>
      </c>
      <c r="H14" s="8" t="s">
        <v>99</v>
      </c>
    </row>
    <row r="15" spans="1:13" x14ac:dyDescent="0.35">
      <c r="A15" s="8">
        <v>2.2999999999999998</v>
      </c>
      <c r="B15" s="8" t="s">
        <v>100</v>
      </c>
      <c r="C15" s="8">
        <v>400</v>
      </c>
      <c r="D15" s="8"/>
      <c r="E15" s="8"/>
      <c r="F15" s="8">
        <f t="shared" si="1"/>
        <v>400</v>
      </c>
      <c r="G15" s="8" t="s">
        <v>101</v>
      </c>
      <c r="H15" s="8" t="s">
        <v>327</v>
      </c>
    </row>
    <row r="16" spans="1:13" x14ac:dyDescent="0.35">
      <c r="A16" s="8">
        <v>2.4</v>
      </c>
      <c r="B16" s="8" t="s">
        <v>102</v>
      </c>
      <c r="C16" s="8">
        <v>80</v>
      </c>
      <c r="D16" s="8"/>
      <c r="E16" s="8"/>
      <c r="F16" s="8">
        <f t="shared" si="1"/>
        <v>80</v>
      </c>
      <c r="G16" s="8" t="s">
        <v>101</v>
      </c>
      <c r="H16" s="8" t="s">
        <v>328</v>
      </c>
    </row>
    <row r="17" spans="1:8" x14ac:dyDescent="0.35">
      <c r="A17" s="8">
        <v>2.5</v>
      </c>
      <c r="B17" s="8" t="s">
        <v>103</v>
      </c>
      <c r="C17" s="8">
        <v>60</v>
      </c>
      <c r="D17" s="8"/>
      <c r="E17" s="8"/>
      <c r="F17" s="8">
        <f>SUM(C17+E17)</f>
        <v>60</v>
      </c>
      <c r="G17" s="8" t="s">
        <v>101</v>
      </c>
      <c r="H17" s="8" t="s">
        <v>326</v>
      </c>
    </row>
    <row r="18" spans="1:8" x14ac:dyDescent="0.35">
      <c r="A18" s="8">
        <v>2.6</v>
      </c>
      <c r="B18" s="8" t="s">
        <v>104</v>
      </c>
      <c r="C18" s="8">
        <v>50</v>
      </c>
      <c r="D18" s="8"/>
      <c r="E18" s="8"/>
      <c r="F18" s="8">
        <f>SUM(C18+E18)</f>
        <v>50</v>
      </c>
      <c r="G18" s="8" t="s">
        <v>101</v>
      </c>
      <c r="H18" s="8" t="s">
        <v>329</v>
      </c>
    </row>
    <row r="19" spans="1:8" x14ac:dyDescent="0.35">
      <c r="A19" s="8">
        <v>2.7</v>
      </c>
      <c r="B19" s="8" t="s">
        <v>331</v>
      </c>
      <c r="C19" s="8"/>
      <c r="D19" s="8">
        <v>0.5</v>
      </c>
      <c r="E19" s="8">
        <f>D19*$M$1*$M$2/1000</f>
        <v>174</v>
      </c>
      <c r="F19" s="8">
        <f t="shared" si="1"/>
        <v>174</v>
      </c>
      <c r="G19" s="8"/>
      <c r="H19" s="8"/>
    </row>
    <row r="20" spans="1:8" x14ac:dyDescent="0.35">
      <c r="A20" s="9"/>
      <c r="B20" s="9" t="s">
        <v>105</v>
      </c>
      <c r="C20" s="9">
        <f>SUM(C13:C19)</f>
        <v>1050</v>
      </c>
      <c r="D20" s="9">
        <f t="shared" ref="D20:F20" si="2">SUM(D13:D19)</f>
        <v>0.5</v>
      </c>
      <c r="E20" s="9">
        <f t="shared" si="2"/>
        <v>174</v>
      </c>
      <c r="F20" s="9">
        <f t="shared" si="2"/>
        <v>1224</v>
      </c>
      <c r="G20" s="9"/>
      <c r="H20" s="9"/>
    </row>
    <row r="21" spans="1:8" x14ac:dyDescent="0.35">
      <c r="E21" s="8"/>
    </row>
    <row r="22" spans="1:8" x14ac:dyDescent="0.35">
      <c r="A22" s="7">
        <v>3</v>
      </c>
      <c r="B22" s="7" t="s">
        <v>106</v>
      </c>
      <c r="C22" s="7"/>
      <c r="D22" s="7"/>
      <c r="E22" s="7"/>
      <c r="F22" s="7"/>
      <c r="G22" s="7"/>
      <c r="H22" s="7"/>
    </row>
    <row r="23" spans="1:8" x14ac:dyDescent="0.35">
      <c r="A23" s="8">
        <v>3.1</v>
      </c>
      <c r="B23" s="8" t="s">
        <v>107</v>
      </c>
      <c r="C23" s="8">
        <v>199</v>
      </c>
      <c r="D23" s="8">
        <v>0.5</v>
      </c>
      <c r="E23" s="8">
        <f t="shared" ref="E23:E46" si="3">D23*$M$1*$M$2/1000</f>
        <v>174</v>
      </c>
      <c r="F23" s="8">
        <f>SUM(C23+E23)</f>
        <v>373</v>
      </c>
      <c r="G23" s="8" t="s">
        <v>94</v>
      </c>
      <c r="H23" s="8" t="s">
        <v>450</v>
      </c>
    </row>
    <row r="24" spans="1:8" x14ac:dyDescent="0.35">
      <c r="A24" s="8">
        <v>3.2</v>
      </c>
      <c r="B24" s="8" t="s">
        <v>108</v>
      </c>
      <c r="C24" s="8">
        <v>30</v>
      </c>
      <c r="D24" s="8">
        <v>1</v>
      </c>
      <c r="E24" s="8">
        <f t="shared" si="3"/>
        <v>348</v>
      </c>
      <c r="F24" s="8">
        <f t="shared" ref="F24:F28" si="4">SUM(C24+E24)</f>
        <v>378</v>
      </c>
      <c r="G24" s="8" t="s">
        <v>94</v>
      </c>
      <c r="H24" s="8" t="s">
        <v>330</v>
      </c>
    </row>
    <row r="25" spans="1:8" x14ac:dyDescent="0.35">
      <c r="A25" s="8">
        <v>3.3</v>
      </c>
      <c r="B25" s="8" t="s">
        <v>109</v>
      </c>
      <c r="C25" s="8">
        <v>37</v>
      </c>
      <c r="D25" s="8">
        <v>0.75</v>
      </c>
      <c r="E25" s="8">
        <f t="shared" si="3"/>
        <v>261</v>
      </c>
      <c r="F25" s="8">
        <f t="shared" si="4"/>
        <v>298</v>
      </c>
      <c r="G25" s="8" t="s">
        <v>94</v>
      </c>
      <c r="H25" s="8" t="s">
        <v>473</v>
      </c>
    </row>
    <row r="26" spans="1:8" x14ac:dyDescent="0.35">
      <c r="A26" s="8">
        <v>3.5</v>
      </c>
      <c r="B26" s="8" t="s">
        <v>332</v>
      </c>
      <c r="C26" s="8">
        <v>10</v>
      </c>
      <c r="D26" s="8">
        <v>0.2</v>
      </c>
      <c r="E26" s="8">
        <f t="shared" si="3"/>
        <v>69.599999999999994</v>
      </c>
      <c r="F26" s="8">
        <f t="shared" si="4"/>
        <v>79.599999999999994</v>
      </c>
      <c r="G26" s="8" t="s">
        <v>94</v>
      </c>
      <c r="H26" s="8" t="s">
        <v>333</v>
      </c>
    </row>
    <row r="27" spans="1:8" x14ac:dyDescent="0.35">
      <c r="A27" s="8">
        <v>3.8</v>
      </c>
      <c r="B27" s="8" t="s">
        <v>110</v>
      </c>
      <c r="C27" s="8">
        <v>15</v>
      </c>
      <c r="D27" s="8">
        <v>0.5</v>
      </c>
      <c r="E27" s="8">
        <f t="shared" si="3"/>
        <v>174</v>
      </c>
      <c r="F27" s="8">
        <f t="shared" si="4"/>
        <v>189</v>
      </c>
      <c r="G27" s="8" t="s">
        <v>94</v>
      </c>
      <c r="H27" s="8" t="s">
        <v>334</v>
      </c>
    </row>
    <row r="28" spans="1:8" x14ac:dyDescent="0.35">
      <c r="A28" s="8">
        <v>3.9</v>
      </c>
      <c r="B28" s="8" t="s">
        <v>111</v>
      </c>
      <c r="C28" s="8">
        <v>8</v>
      </c>
      <c r="D28" s="8">
        <v>0.5</v>
      </c>
      <c r="E28" s="8">
        <f t="shared" si="3"/>
        <v>174</v>
      </c>
      <c r="F28" s="8">
        <f t="shared" si="4"/>
        <v>182</v>
      </c>
      <c r="G28" s="8" t="s">
        <v>94</v>
      </c>
      <c r="H28" s="8" t="s">
        <v>334</v>
      </c>
    </row>
    <row r="29" spans="1:8" x14ac:dyDescent="0.35">
      <c r="A29" s="8">
        <v>3.1</v>
      </c>
      <c r="B29" s="8" t="s">
        <v>112</v>
      </c>
      <c r="C29" s="8">
        <v>30</v>
      </c>
      <c r="D29" s="8">
        <v>0.25</v>
      </c>
      <c r="E29" s="8">
        <f t="shared" si="3"/>
        <v>87</v>
      </c>
      <c r="F29" s="8">
        <f>SUM(C29+E29)</f>
        <v>117</v>
      </c>
      <c r="G29" s="8" t="s">
        <v>101</v>
      </c>
      <c r="H29" s="8" t="s">
        <v>451</v>
      </c>
    </row>
    <row r="30" spans="1:8" x14ac:dyDescent="0.35">
      <c r="A30" s="9"/>
      <c r="B30" s="9" t="s">
        <v>113</v>
      </c>
      <c r="C30" s="9">
        <f>SUM(C23:C29)</f>
        <v>329</v>
      </c>
      <c r="D30" s="9">
        <f>SUM(D23:D29)</f>
        <v>3.7</v>
      </c>
      <c r="E30" s="9">
        <f>SUM(E23:E29)</f>
        <v>1287.5999999999999</v>
      </c>
      <c r="F30" s="9">
        <f>SUM(F23:F29)</f>
        <v>1616.6</v>
      </c>
      <c r="G30" s="9"/>
      <c r="H30" s="9"/>
    </row>
    <row r="32" spans="1:8" x14ac:dyDescent="0.35">
      <c r="A32" s="7">
        <v>4</v>
      </c>
      <c r="B32" s="7" t="s">
        <v>114</v>
      </c>
      <c r="C32" s="7"/>
      <c r="D32" s="7"/>
      <c r="E32" s="7"/>
      <c r="F32" s="7"/>
      <c r="G32" s="7"/>
      <c r="H32" s="7"/>
    </row>
    <row r="33" spans="1:8" x14ac:dyDescent="0.35">
      <c r="A33" s="8">
        <v>4.0999999999999996</v>
      </c>
      <c r="B33" s="8" t="s">
        <v>115</v>
      </c>
      <c r="C33" s="8"/>
      <c r="D33" s="8">
        <v>0.5</v>
      </c>
      <c r="E33" s="8">
        <f t="shared" si="3"/>
        <v>174</v>
      </c>
      <c r="F33" s="8">
        <f>SUM(C33+E33)</f>
        <v>174</v>
      </c>
      <c r="G33" s="8" t="s">
        <v>94</v>
      </c>
      <c r="H33" s="8" t="s">
        <v>452</v>
      </c>
    </row>
    <row r="34" spans="1:8" x14ac:dyDescent="0.35">
      <c r="A34" s="8">
        <v>4.2</v>
      </c>
      <c r="B34" s="8" t="s">
        <v>116</v>
      </c>
      <c r="C34" s="8"/>
      <c r="D34" s="8">
        <v>1</v>
      </c>
      <c r="E34" s="8">
        <f>D34*$M$1*$M$2/1000</f>
        <v>348</v>
      </c>
      <c r="F34" s="8">
        <f t="shared" ref="F34:F38" si="5">SUM(C34+E34)</f>
        <v>348</v>
      </c>
      <c r="G34" s="8" t="s">
        <v>94</v>
      </c>
      <c r="H34" s="8" t="s">
        <v>117</v>
      </c>
    </row>
    <row r="35" spans="1:8" x14ac:dyDescent="0.35">
      <c r="A35" s="8">
        <v>4.3</v>
      </c>
      <c r="B35" s="8" t="s">
        <v>118</v>
      </c>
      <c r="C35" s="8"/>
      <c r="D35" s="8">
        <v>0.25</v>
      </c>
      <c r="E35" s="8">
        <f t="shared" si="3"/>
        <v>87</v>
      </c>
      <c r="F35" s="8">
        <f t="shared" si="5"/>
        <v>87</v>
      </c>
      <c r="G35" s="8" t="s">
        <v>94</v>
      </c>
      <c r="H35" s="8" t="s">
        <v>119</v>
      </c>
    </row>
    <row r="36" spans="1:8" x14ac:dyDescent="0.35">
      <c r="A36" s="8">
        <v>4.4000000000000004</v>
      </c>
      <c r="B36" s="8" t="s">
        <v>120</v>
      </c>
      <c r="C36" s="8"/>
      <c r="D36" s="8">
        <v>0.25</v>
      </c>
      <c r="E36" s="8">
        <f t="shared" si="3"/>
        <v>87</v>
      </c>
      <c r="F36" s="8">
        <f t="shared" si="5"/>
        <v>87</v>
      </c>
      <c r="G36" s="8" t="s">
        <v>94</v>
      </c>
      <c r="H36" s="8" t="s">
        <v>121</v>
      </c>
    </row>
    <row r="37" spans="1:8" x14ac:dyDescent="0.35">
      <c r="A37" s="8">
        <v>4.5</v>
      </c>
      <c r="B37" s="8" t="s">
        <v>122</v>
      </c>
      <c r="C37" s="8"/>
      <c r="D37" s="8">
        <v>0.25</v>
      </c>
      <c r="E37" s="8">
        <f t="shared" si="3"/>
        <v>87</v>
      </c>
      <c r="F37" s="8">
        <f t="shared" si="5"/>
        <v>87</v>
      </c>
      <c r="G37" s="8" t="s">
        <v>94</v>
      </c>
      <c r="H37" s="8" t="s">
        <v>123</v>
      </c>
    </row>
    <row r="38" spans="1:8" x14ac:dyDescent="0.35">
      <c r="A38" s="8">
        <v>4.5999999999999996</v>
      </c>
      <c r="B38" s="8" t="s">
        <v>338</v>
      </c>
      <c r="C38" s="8">
        <v>50</v>
      </c>
      <c r="D38" s="8">
        <v>0.1</v>
      </c>
      <c r="E38" s="8">
        <f t="shared" si="3"/>
        <v>34.799999999999997</v>
      </c>
      <c r="F38" s="8">
        <f t="shared" si="5"/>
        <v>84.8</v>
      </c>
      <c r="G38" s="8" t="s">
        <v>94</v>
      </c>
      <c r="H38" s="8" t="s">
        <v>339</v>
      </c>
    </row>
    <row r="39" spans="1:8" x14ac:dyDescent="0.35">
      <c r="A39" s="9"/>
      <c r="B39" s="9" t="s">
        <v>124</v>
      </c>
      <c r="C39" s="9">
        <f>SUM(C33:C38)</f>
        <v>50</v>
      </c>
      <c r="D39" s="9">
        <f>SUM(D33:D38)</f>
        <v>2.35</v>
      </c>
      <c r="E39" s="9">
        <f>SUM(E33:E38)</f>
        <v>817.8</v>
      </c>
      <c r="F39" s="9">
        <f>SUM(F33:F37)</f>
        <v>783</v>
      </c>
      <c r="G39" s="9"/>
      <c r="H39" s="9"/>
    </row>
    <row r="41" spans="1:8" x14ac:dyDescent="0.35">
      <c r="A41" s="7">
        <v>5</v>
      </c>
      <c r="B41" s="7" t="s">
        <v>125</v>
      </c>
      <c r="C41" s="7"/>
      <c r="D41" s="7"/>
      <c r="E41" s="7"/>
      <c r="F41" s="7"/>
      <c r="G41" s="7"/>
      <c r="H41" s="7"/>
    </row>
    <row r="42" spans="1:8" x14ac:dyDescent="0.35">
      <c r="A42" s="8">
        <v>5.0999999999999996</v>
      </c>
      <c r="B42" s="8" t="s">
        <v>126</v>
      </c>
      <c r="C42" s="8">
        <v>50</v>
      </c>
      <c r="D42" s="41">
        <f>4*160*4/M1</f>
        <v>1.4712643678160919</v>
      </c>
      <c r="E42" s="8">
        <f t="shared" si="3"/>
        <v>512</v>
      </c>
      <c r="F42" s="8">
        <f>SUM(C42,E42)</f>
        <v>562</v>
      </c>
      <c r="G42" s="8" t="s">
        <v>94</v>
      </c>
      <c r="H42" s="8" t="s">
        <v>453</v>
      </c>
    </row>
    <row r="43" spans="1:8" x14ac:dyDescent="0.35">
      <c r="A43" s="8">
        <v>5.2</v>
      </c>
      <c r="B43" s="8" t="s">
        <v>127</v>
      </c>
      <c r="C43" s="8">
        <v>30</v>
      </c>
      <c r="D43" s="8">
        <v>0.75</v>
      </c>
      <c r="E43" s="8">
        <f t="shared" si="3"/>
        <v>261</v>
      </c>
      <c r="F43" s="8">
        <f t="shared" ref="F43:F46" si="6">SUM(C43,E43)</f>
        <v>291</v>
      </c>
      <c r="G43" s="8" t="s">
        <v>94</v>
      </c>
      <c r="H43" s="8" t="s">
        <v>340</v>
      </c>
    </row>
    <row r="44" spans="1:8" x14ac:dyDescent="0.35">
      <c r="A44" s="8">
        <v>5.3</v>
      </c>
      <c r="B44" s="8" t="s">
        <v>128</v>
      </c>
      <c r="C44" s="8">
        <v>20</v>
      </c>
      <c r="D44" s="41">
        <f>320/M1</f>
        <v>0.18390804597701149</v>
      </c>
      <c r="E44" s="8">
        <f t="shared" si="3"/>
        <v>64</v>
      </c>
      <c r="F44" s="8">
        <f t="shared" si="6"/>
        <v>84</v>
      </c>
      <c r="G44" s="8" t="s">
        <v>94</v>
      </c>
      <c r="H44" s="8" t="s">
        <v>454</v>
      </c>
    </row>
    <row r="45" spans="1:8" x14ac:dyDescent="0.35">
      <c r="A45" s="8">
        <v>5.4</v>
      </c>
      <c r="B45" s="8" t="s">
        <v>129</v>
      </c>
      <c r="C45" s="8"/>
      <c r="D45" s="8">
        <v>0.25</v>
      </c>
      <c r="E45" s="8">
        <f t="shared" si="3"/>
        <v>87</v>
      </c>
      <c r="F45" s="8">
        <f t="shared" si="6"/>
        <v>87</v>
      </c>
      <c r="G45" s="8" t="s">
        <v>94</v>
      </c>
      <c r="H45" s="8" t="s">
        <v>341</v>
      </c>
    </row>
    <row r="46" spans="1:8" x14ac:dyDescent="0.35">
      <c r="A46" s="8">
        <v>5.5</v>
      </c>
      <c r="B46" s="8" t="s">
        <v>130</v>
      </c>
      <c r="C46" s="8"/>
      <c r="D46" s="41">
        <f>16*160/M1</f>
        <v>1.4712643678160919</v>
      </c>
      <c r="E46" s="8">
        <f t="shared" si="3"/>
        <v>512</v>
      </c>
      <c r="F46" s="8">
        <f t="shared" si="6"/>
        <v>512</v>
      </c>
      <c r="G46" s="8" t="s">
        <v>94</v>
      </c>
      <c r="H46" s="8" t="s">
        <v>466</v>
      </c>
    </row>
    <row r="47" spans="1:8" x14ac:dyDescent="0.35">
      <c r="A47" s="9"/>
      <c r="B47" s="9" t="s">
        <v>131</v>
      </c>
      <c r="C47" s="42">
        <f>SUM(C42:C46)</f>
        <v>100</v>
      </c>
      <c r="D47" s="43">
        <f>SUM(D42:D46)</f>
        <v>4.1264367816091951</v>
      </c>
      <c r="E47" s="9">
        <f>SUM(E42:E46)</f>
        <v>1436</v>
      </c>
      <c r="F47" s="9">
        <f>SUM(F42:F46)</f>
        <v>1536</v>
      </c>
      <c r="G47" s="9"/>
      <c r="H47" s="9"/>
    </row>
    <row r="49" spans="1:8" x14ac:dyDescent="0.35">
      <c r="A49" s="7">
        <v>6</v>
      </c>
      <c r="B49" s="7" t="s">
        <v>132</v>
      </c>
      <c r="C49" s="7"/>
      <c r="D49" s="7"/>
      <c r="E49" s="7"/>
      <c r="F49" s="7"/>
      <c r="G49" s="7"/>
      <c r="H49" s="7"/>
    </row>
    <row r="50" spans="1:8" x14ac:dyDescent="0.35">
      <c r="A50" s="8">
        <v>6.1</v>
      </c>
      <c r="B50" s="8" t="s">
        <v>429</v>
      </c>
      <c r="C50" s="8">
        <v>10</v>
      </c>
      <c r="D50" s="8">
        <v>0.25</v>
      </c>
      <c r="E50" s="8">
        <f>D50*$M$1*$M$2/1000</f>
        <v>87</v>
      </c>
      <c r="F50" s="8">
        <f>SUM(C50,E50)</f>
        <v>97</v>
      </c>
      <c r="G50" s="8" t="s">
        <v>101</v>
      </c>
      <c r="H50" s="8" t="s">
        <v>430</v>
      </c>
    </row>
    <row r="51" spans="1:8" x14ac:dyDescent="0.35">
      <c r="A51" s="8">
        <v>6.2</v>
      </c>
      <c r="B51" s="8" t="s">
        <v>133</v>
      </c>
      <c r="C51" s="8">
        <v>10</v>
      </c>
      <c r="D51" s="8">
        <v>0.2</v>
      </c>
      <c r="E51" s="8">
        <f t="shared" ref="E51:E52" si="7">D51*$M$1*$M$2/1000</f>
        <v>69.599999999999994</v>
      </c>
      <c r="F51" s="8">
        <f t="shared" ref="F51:F52" si="8">SUM(C51,E51)</f>
        <v>79.599999999999994</v>
      </c>
      <c r="G51" s="8" t="s">
        <v>101</v>
      </c>
      <c r="H51" s="8" t="s">
        <v>342</v>
      </c>
    </row>
    <row r="52" spans="1:8" x14ac:dyDescent="0.35">
      <c r="A52" s="8">
        <v>6.3</v>
      </c>
      <c r="B52" s="8" t="s">
        <v>134</v>
      </c>
      <c r="C52" s="8">
        <v>10</v>
      </c>
      <c r="D52" s="8">
        <v>0.2</v>
      </c>
      <c r="E52" s="8">
        <f t="shared" si="7"/>
        <v>69.599999999999994</v>
      </c>
      <c r="F52" s="8">
        <f t="shared" si="8"/>
        <v>79.599999999999994</v>
      </c>
      <c r="G52" s="8" t="s">
        <v>101</v>
      </c>
      <c r="H52" s="8" t="s">
        <v>135</v>
      </c>
    </row>
    <row r="53" spans="1:8" x14ac:dyDescent="0.35">
      <c r="A53" s="9"/>
      <c r="B53" s="9" t="s">
        <v>136</v>
      </c>
      <c r="C53" s="9">
        <f>SUM(C50:C52)</f>
        <v>30</v>
      </c>
      <c r="D53" s="9">
        <f>SUM(D50:D52)</f>
        <v>0.65</v>
      </c>
      <c r="E53" s="9">
        <f>SUM(E50:E52)</f>
        <v>226.2</v>
      </c>
      <c r="F53" s="9">
        <f>SUM(F50:F52)</f>
        <v>256.2</v>
      </c>
      <c r="G53" s="9"/>
      <c r="H53" s="9"/>
    </row>
    <row r="55" spans="1:8" x14ac:dyDescent="0.35">
      <c r="A55" s="39">
        <v>7</v>
      </c>
      <c r="B55" s="39" t="s">
        <v>137</v>
      </c>
      <c r="C55" s="7"/>
      <c r="D55" s="7"/>
      <c r="E55" s="7"/>
      <c r="F55" s="7"/>
      <c r="G55" s="7"/>
      <c r="H55" s="7"/>
    </row>
    <row r="56" spans="1:8" x14ac:dyDescent="0.35">
      <c r="A56" s="8">
        <v>7.1</v>
      </c>
      <c r="B56" s="8" t="s">
        <v>323</v>
      </c>
      <c r="C56" s="8">
        <f>'SSA quote from R&amp;K'!C5</f>
        <v>311.60000000000002</v>
      </c>
      <c r="D56" s="8"/>
      <c r="E56" s="8"/>
      <c r="F56" s="8">
        <f>SUM(E56+C56)</f>
        <v>311.60000000000002</v>
      </c>
      <c r="G56" s="8" t="s">
        <v>92</v>
      </c>
      <c r="H56" s="8" t="s">
        <v>324</v>
      </c>
    </row>
    <row r="57" spans="1:8" x14ac:dyDescent="0.35">
      <c r="A57" s="8">
        <v>7.2</v>
      </c>
      <c r="B57" s="8" t="s">
        <v>138</v>
      </c>
      <c r="C57" s="8">
        <v>100</v>
      </c>
      <c r="D57" s="8">
        <v>0.5</v>
      </c>
      <c r="E57" s="8">
        <f>D57*$M$1*$M$2/1000</f>
        <v>174</v>
      </c>
      <c r="F57" s="8">
        <f t="shared" ref="F57:F58" si="9">SUM(E57+C57)</f>
        <v>274</v>
      </c>
      <c r="G57" s="8" t="s">
        <v>94</v>
      </c>
      <c r="H57" s="8" t="s">
        <v>343</v>
      </c>
    </row>
    <row r="58" spans="1:8" x14ac:dyDescent="0.35">
      <c r="A58" s="8">
        <v>7.3</v>
      </c>
      <c r="B58" s="8" t="s">
        <v>139</v>
      </c>
      <c r="C58" s="8">
        <v>5</v>
      </c>
      <c r="D58" s="8">
        <v>0.25</v>
      </c>
      <c r="E58" s="8">
        <f>D58*$M$1*$M$2/1000</f>
        <v>87</v>
      </c>
      <c r="F58" s="8">
        <f t="shared" si="9"/>
        <v>92</v>
      </c>
      <c r="G58" s="8" t="s">
        <v>94</v>
      </c>
      <c r="H58" s="8" t="s">
        <v>455</v>
      </c>
    </row>
    <row r="59" spans="1:8" x14ac:dyDescent="0.35">
      <c r="A59" s="8">
        <v>7.4</v>
      </c>
      <c r="B59" t="s">
        <v>140</v>
      </c>
      <c r="E59" s="8"/>
      <c r="F59">
        <v>1278</v>
      </c>
      <c r="G59" t="s">
        <v>94</v>
      </c>
      <c r="H59" s="44" t="s">
        <v>344</v>
      </c>
    </row>
    <row r="60" spans="1:8" x14ac:dyDescent="0.35">
      <c r="A60" s="9"/>
      <c r="B60" s="40" t="s">
        <v>141</v>
      </c>
      <c r="C60" s="9">
        <f t="shared" ref="C60:D60" si="10">SUM(C56:C59)</f>
        <v>416.6</v>
      </c>
      <c r="D60" s="9">
        <f t="shared" si="10"/>
        <v>0.75</v>
      </c>
      <c r="E60" s="9">
        <f>SUM(E56:E59)</f>
        <v>261</v>
      </c>
      <c r="F60" s="9">
        <f>SUM(F56:F59)</f>
        <v>1955.6</v>
      </c>
      <c r="G60" s="9"/>
      <c r="H60" s="9"/>
    </row>
    <row r="62" spans="1:8" x14ac:dyDescent="0.35">
      <c r="A62" s="7">
        <v>8</v>
      </c>
      <c r="B62" s="7" t="s">
        <v>142</v>
      </c>
      <c r="C62" s="7"/>
      <c r="D62" s="7"/>
      <c r="E62" s="7"/>
      <c r="F62" s="7"/>
      <c r="G62" s="7"/>
      <c r="H62" s="7"/>
    </row>
    <row r="63" spans="1:8" x14ac:dyDescent="0.35">
      <c r="A63" s="10">
        <v>8.1</v>
      </c>
      <c r="B63" s="10" t="s">
        <v>143</v>
      </c>
      <c r="C63" s="10">
        <v>2000</v>
      </c>
      <c r="D63" s="10">
        <v>1</v>
      </c>
      <c r="E63" s="8">
        <f>D63*$M$1*$M$2/1000</f>
        <v>348</v>
      </c>
      <c r="F63" s="10">
        <f>SUM(C63+E63)</f>
        <v>2348</v>
      </c>
      <c r="G63" s="10" t="s">
        <v>101</v>
      </c>
      <c r="H63" s="10" t="s">
        <v>426</v>
      </c>
    </row>
    <row r="64" spans="1:8" x14ac:dyDescent="0.35">
      <c r="A64" s="10">
        <v>8.1999999999999993</v>
      </c>
      <c r="B64" s="10" t="s">
        <v>144</v>
      </c>
      <c r="C64" s="10">
        <v>2000</v>
      </c>
      <c r="D64" s="10">
        <v>1</v>
      </c>
      <c r="E64" s="8">
        <f t="shared" ref="E64:E65" si="11">D64*$M$1*$M$2/1000</f>
        <v>348</v>
      </c>
      <c r="F64" s="10">
        <f t="shared" ref="F64:F65" si="12">SUM(C64+E64)</f>
        <v>2348</v>
      </c>
      <c r="G64" s="10" t="s">
        <v>101</v>
      </c>
      <c r="H64" s="10" t="s">
        <v>427</v>
      </c>
    </row>
    <row r="65" spans="1:8" x14ac:dyDescent="0.35">
      <c r="A65" s="10">
        <v>8.3000000000000007</v>
      </c>
      <c r="B65" s="10" t="s">
        <v>145</v>
      </c>
      <c r="C65" s="10">
        <v>2000</v>
      </c>
      <c r="D65" s="10">
        <v>2</v>
      </c>
      <c r="E65" s="8">
        <f t="shared" si="11"/>
        <v>696</v>
      </c>
      <c r="F65" s="10">
        <f t="shared" si="12"/>
        <v>2696</v>
      </c>
      <c r="G65" s="10" t="s">
        <v>101</v>
      </c>
      <c r="H65" s="10" t="s">
        <v>428</v>
      </c>
    </row>
    <row r="66" spans="1:8" x14ac:dyDescent="0.35">
      <c r="A66" s="9"/>
      <c r="B66" s="9" t="s">
        <v>146</v>
      </c>
      <c r="C66" s="9">
        <f t="shared" ref="C66:D66" si="13">SUM(C62:C65)</f>
        <v>6000</v>
      </c>
      <c r="D66" s="9">
        <f t="shared" si="13"/>
        <v>4</v>
      </c>
      <c r="E66" s="9">
        <f>SUM(E62:E65)</f>
        <v>1392</v>
      </c>
      <c r="F66" s="9">
        <f>SUM(F62:F65)</f>
        <v>7392</v>
      </c>
      <c r="G66" s="9"/>
      <c r="H66" s="9"/>
    </row>
    <row r="68" spans="1:8" x14ac:dyDescent="0.35">
      <c r="A68" s="122">
        <v>9</v>
      </c>
      <c r="B68" s="122" t="s">
        <v>147</v>
      </c>
      <c r="C68" s="123"/>
      <c r="D68" s="123"/>
      <c r="E68" s="123"/>
      <c r="F68" s="123"/>
      <c r="G68" s="123"/>
      <c r="H68" s="123"/>
    </row>
    <row r="69" spans="1:8" x14ac:dyDescent="0.35">
      <c r="A69" s="8">
        <v>9.1</v>
      </c>
      <c r="B69" s="8" t="s">
        <v>148</v>
      </c>
      <c r="C69" s="8">
        <v>20</v>
      </c>
      <c r="D69" s="8">
        <v>0.25</v>
      </c>
      <c r="E69" s="8">
        <f>D69*$M$1*$M$2/1000</f>
        <v>87</v>
      </c>
      <c r="F69" s="8">
        <f>SUM(C69,E69)</f>
        <v>107</v>
      </c>
      <c r="G69" s="8"/>
      <c r="H69" s="8" t="s">
        <v>431</v>
      </c>
    </row>
    <row r="70" spans="1:8" x14ac:dyDescent="0.35">
      <c r="A70" s="8">
        <v>9.1999999999999993</v>
      </c>
      <c r="B70" s="8" t="s">
        <v>149</v>
      </c>
      <c r="C70" s="8">
        <v>40</v>
      </c>
      <c r="D70" s="8">
        <v>1</v>
      </c>
      <c r="E70" s="8">
        <f>D70*$M$1*$M$2/1000</f>
        <v>348</v>
      </c>
      <c r="F70" s="8">
        <f>SUM(C70,E70)</f>
        <v>388</v>
      </c>
      <c r="G70" s="8"/>
      <c r="H70" s="8" t="s">
        <v>432</v>
      </c>
    </row>
    <row r="71" spans="1:8" x14ac:dyDescent="0.35">
      <c r="A71" s="9"/>
      <c r="B71" s="9" t="s">
        <v>150</v>
      </c>
      <c r="C71" s="9">
        <f>SUM(C68:C70)</f>
        <v>60</v>
      </c>
      <c r="D71" s="9"/>
      <c r="E71" s="9">
        <f>SUM(E68:E70)</f>
        <v>435</v>
      </c>
      <c r="F71" s="9">
        <f>SUM(F68:F70)</f>
        <v>495</v>
      </c>
      <c r="G71" s="9"/>
      <c r="H71" s="9"/>
    </row>
    <row r="73" spans="1:8" x14ac:dyDescent="0.35">
      <c r="A73" s="7">
        <v>10</v>
      </c>
      <c r="B73" s="7" t="s">
        <v>151</v>
      </c>
      <c r="C73" s="7"/>
      <c r="D73" s="7"/>
      <c r="E73" s="7"/>
      <c r="F73" s="7"/>
      <c r="G73" s="7"/>
      <c r="H73" s="7"/>
    </row>
    <row r="74" spans="1:8" x14ac:dyDescent="0.35">
      <c r="A74" s="8">
        <v>10.1</v>
      </c>
      <c r="B74" s="8" t="s">
        <v>152</v>
      </c>
      <c r="C74" s="8">
        <v>50</v>
      </c>
      <c r="D74" s="8">
        <v>2.5</v>
      </c>
      <c r="E74" s="8">
        <f t="shared" ref="E74:E76" si="14">D74*$M$1*$M$2/1000</f>
        <v>870</v>
      </c>
      <c r="F74" s="8">
        <v>890</v>
      </c>
      <c r="G74" s="8"/>
      <c r="H74" s="8" t="s">
        <v>433</v>
      </c>
    </row>
    <row r="75" spans="1:8" x14ac:dyDescent="0.35">
      <c r="A75" s="8">
        <v>10.199999999999999</v>
      </c>
      <c r="B75" s="8" t="s">
        <v>153</v>
      </c>
      <c r="C75" s="8"/>
      <c r="D75" s="8">
        <v>0.5</v>
      </c>
      <c r="E75" s="8">
        <f t="shared" si="14"/>
        <v>174</v>
      </c>
      <c r="F75" s="8">
        <v>184</v>
      </c>
      <c r="G75" s="8"/>
      <c r="H75" s="8" t="s">
        <v>456</v>
      </c>
    </row>
    <row r="76" spans="1:8" x14ac:dyDescent="0.35">
      <c r="A76" s="8">
        <v>10.3</v>
      </c>
      <c r="B76" s="8" t="s">
        <v>154</v>
      </c>
      <c r="C76" s="8"/>
      <c r="D76" s="8">
        <v>2.5</v>
      </c>
      <c r="E76" s="8">
        <f t="shared" si="14"/>
        <v>870</v>
      </c>
      <c r="F76" s="8">
        <v>880</v>
      </c>
      <c r="G76" s="8"/>
      <c r="H76" s="8" t="s">
        <v>155</v>
      </c>
    </row>
    <row r="77" spans="1:8" ht="15.5" customHeight="1" x14ac:dyDescent="0.35">
      <c r="A77" s="9"/>
      <c r="B77" s="9" t="s">
        <v>156</v>
      </c>
      <c r="C77" s="9">
        <f>SUM(C73:C75)</f>
        <v>50</v>
      </c>
      <c r="D77" s="9">
        <f>SUM(D73:D76)</f>
        <v>5.5</v>
      </c>
      <c r="E77" s="9">
        <f>SUM(E73:E76)</f>
        <v>1914</v>
      </c>
      <c r="F77" s="9">
        <f>SUM(F73:F76)</f>
        <v>1954</v>
      </c>
      <c r="G77" s="9"/>
      <c r="H77" s="9"/>
    </row>
    <row r="79" spans="1:8" x14ac:dyDescent="0.35">
      <c r="A79" s="11"/>
      <c r="B79" s="124" t="s">
        <v>434</v>
      </c>
      <c r="C79" s="125">
        <f>C10+C20+C30+C39+C47+C53+C60</f>
        <v>7272.8000000000011</v>
      </c>
      <c r="D79" s="125">
        <f t="shared" ref="D79:F79" si="15">D10+D20+D30+D39+D47+D53+D60</f>
        <v>12.826436781609196</v>
      </c>
      <c r="E79" s="125">
        <f t="shared" si="15"/>
        <v>4463.5999999999995</v>
      </c>
      <c r="F79" s="125">
        <f t="shared" si="15"/>
        <v>12929.600000000002</v>
      </c>
      <c r="G79" s="11"/>
      <c r="H79" s="11"/>
    </row>
    <row r="80" spans="1:8" ht="15.5" customHeight="1" x14ac:dyDescent="0.35">
      <c r="A80" s="12"/>
      <c r="B80" s="19" t="s">
        <v>157</v>
      </c>
      <c r="C80" s="12">
        <f>C66</f>
        <v>6000</v>
      </c>
      <c r="D80" s="12">
        <f t="shared" ref="D80:F80" si="16">D66</f>
        <v>4</v>
      </c>
      <c r="E80" s="12">
        <f t="shared" si="16"/>
        <v>1392</v>
      </c>
      <c r="F80" s="12">
        <f t="shared" si="16"/>
        <v>7392</v>
      </c>
      <c r="G80" s="12"/>
      <c r="H80" s="12"/>
    </row>
    <row r="81" spans="1:8" x14ac:dyDescent="0.35">
      <c r="B81" t="s">
        <v>158</v>
      </c>
      <c r="C81">
        <f>C71</f>
        <v>60</v>
      </c>
      <c r="E81">
        <f t="shared" ref="E81:F81" si="17">E71</f>
        <v>435</v>
      </c>
      <c r="F81">
        <f t="shared" si="17"/>
        <v>495</v>
      </c>
    </row>
    <row r="82" spans="1:8" ht="15.5" customHeight="1" x14ac:dyDescent="0.35">
      <c r="A82" s="11"/>
      <c r="B82" s="28" t="s">
        <v>159</v>
      </c>
      <c r="C82" s="11">
        <f>C77</f>
        <v>50</v>
      </c>
      <c r="D82" s="11">
        <f t="shared" ref="D82:F82" si="18">D77</f>
        <v>5.5</v>
      </c>
      <c r="E82" s="11">
        <f t="shared" si="18"/>
        <v>1914</v>
      </c>
      <c r="F82" s="11">
        <f t="shared" si="18"/>
        <v>1954</v>
      </c>
      <c r="G82" s="11"/>
      <c r="H82" s="11"/>
    </row>
    <row r="83" spans="1:8" ht="15.5" x14ac:dyDescent="0.35">
      <c r="A83" s="12"/>
      <c r="B83" s="128" t="s">
        <v>435</v>
      </c>
      <c r="C83" s="129">
        <f>SUM(C79:C82)*0.1399</f>
        <v>1872.2537200000002</v>
      </c>
      <c r="D83" s="12"/>
      <c r="E83" s="12"/>
      <c r="F83" s="125">
        <f>C83</f>
        <v>1872.2537200000002</v>
      </c>
      <c r="G83" s="12"/>
      <c r="H83" s="128" t="s">
        <v>436</v>
      </c>
    </row>
    <row r="84" spans="1:8" x14ac:dyDescent="0.35">
      <c r="B84" s="27" t="s">
        <v>160</v>
      </c>
      <c r="C84" s="126">
        <f>C79+C80+C81+C82+C83</f>
        <v>15255.053720000002</v>
      </c>
      <c r="D84" s="126">
        <f t="shared" ref="D84:E84" si="19">D79+D80+D81+D82</f>
        <v>22.326436781609196</v>
      </c>
      <c r="E84" s="126">
        <f t="shared" si="19"/>
        <v>8204.5999999999985</v>
      </c>
      <c r="F84" s="126">
        <f>F79+F80+F81+F82+F83</f>
        <v>24642.853720000003</v>
      </c>
    </row>
    <row r="85" spans="1:8" ht="15.5" x14ac:dyDescent="0.35">
      <c r="A85" s="13"/>
      <c r="B85" s="23" t="s">
        <v>161</v>
      </c>
      <c r="F85" s="130">
        <f>F84*0.3</f>
        <v>7392.8561160000008</v>
      </c>
      <c r="H85" t="s">
        <v>470</v>
      </c>
    </row>
    <row r="86" spans="1:8" ht="15.5" x14ac:dyDescent="0.35">
      <c r="B86" s="30" t="s">
        <v>162</v>
      </c>
      <c r="F86" s="130">
        <f>F84+F85</f>
        <v>32035.709836000002</v>
      </c>
    </row>
    <row r="87" spans="1:8" ht="15.5" x14ac:dyDescent="0.35">
      <c r="B87" s="30"/>
      <c r="F87" s="130"/>
    </row>
    <row r="88" spans="1:8" x14ac:dyDescent="0.35">
      <c r="A88" s="17" t="s">
        <v>163</v>
      </c>
    </row>
    <row r="89" spans="1:8" x14ac:dyDescent="0.35">
      <c r="A89" t="s">
        <v>164</v>
      </c>
      <c r="B89" t="s">
        <v>165</v>
      </c>
    </row>
    <row r="90" spans="1:8" ht="15.5" customHeight="1" x14ac:dyDescent="0.35">
      <c r="A90" t="s">
        <v>166</v>
      </c>
      <c r="B90" t="s">
        <v>167</v>
      </c>
    </row>
    <row r="91" spans="1:8" x14ac:dyDescent="0.35">
      <c r="A91" t="s">
        <v>168</v>
      </c>
      <c r="B91" t="s">
        <v>462</v>
      </c>
    </row>
    <row r="92" spans="1:8" x14ac:dyDescent="0.35">
      <c r="A92" t="s">
        <v>169</v>
      </c>
      <c r="B92" t="s">
        <v>170</v>
      </c>
    </row>
    <row r="93" spans="1:8" ht="15.5" x14ac:dyDescent="0.35">
      <c r="A93" s="137" t="s">
        <v>171</v>
      </c>
      <c r="B93" t="s">
        <v>463</v>
      </c>
    </row>
    <row r="94" spans="1:8" x14ac:dyDescent="0.35">
      <c r="A94" t="s">
        <v>172</v>
      </c>
      <c r="B94" t="s">
        <v>464</v>
      </c>
    </row>
    <row r="95" spans="1:8" x14ac:dyDescent="0.35">
      <c r="A95" t="s">
        <v>173</v>
      </c>
      <c r="B95" t="s">
        <v>465</v>
      </c>
    </row>
    <row r="96" spans="1:8" x14ac:dyDescent="0.35">
      <c r="A96" t="s">
        <v>174</v>
      </c>
      <c r="B96" t="s">
        <v>175</v>
      </c>
    </row>
    <row r="97" spans="1:2" x14ac:dyDescent="0.35">
      <c r="A97" s="17" t="s">
        <v>176</v>
      </c>
    </row>
    <row r="98" spans="1:2" x14ac:dyDescent="0.35">
      <c r="A98" t="s">
        <v>177</v>
      </c>
      <c r="B98" t="s">
        <v>467</v>
      </c>
    </row>
    <row r="99" spans="1:2" x14ac:dyDescent="0.35">
      <c r="A99" t="s">
        <v>178</v>
      </c>
      <c r="B99" t="s">
        <v>469</v>
      </c>
    </row>
    <row r="100" spans="1:2" x14ac:dyDescent="0.35">
      <c r="A100" t="s">
        <v>179</v>
      </c>
      <c r="B100" t="s">
        <v>468</v>
      </c>
    </row>
    <row r="101" spans="1:2" x14ac:dyDescent="0.35">
      <c r="A101" t="s">
        <v>180</v>
      </c>
      <c r="B101" t="s">
        <v>181</v>
      </c>
    </row>
  </sheetData>
  <hyperlinks>
    <hyperlink ref="H7" location="'SSA quote from R&amp;K'!A1" display="R&amp;K quote July 2025: $311,600/unit x 16. 476.3 MHz CW." xr:uid="{00000000-0004-0000-0100-00000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7"/>
  <sheetViews>
    <sheetView workbookViewId="0">
      <selection activeCell="E25" sqref="E25"/>
    </sheetView>
  </sheetViews>
  <sheetFormatPr defaultRowHeight="14.5" x14ac:dyDescent="0.35"/>
  <cols>
    <col min="1" max="1" width="44.1796875" customWidth="1"/>
    <col min="2" max="2" width="25" customWidth="1"/>
    <col min="3" max="3" width="66.08984375" customWidth="1"/>
    <col min="4" max="4" width="32.08984375" customWidth="1"/>
    <col min="5" max="5" width="15" customWidth="1"/>
    <col min="6" max="6" width="31.36328125" customWidth="1"/>
    <col min="7" max="7" width="45" customWidth="1"/>
  </cols>
  <sheetData>
    <row r="1" spans="1:7" ht="18.5" customHeight="1" x14ac:dyDescent="0.45">
      <c r="A1" s="4" t="s">
        <v>182</v>
      </c>
    </row>
    <row r="2" spans="1:7" x14ac:dyDescent="0.35">
      <c r="A2" s="5" t="s">
        <v>183</v>
      </c>
    </row>
    <row r="4" spans="1:7" x14ac:dyDescent="0.35">
      <c r="A4" s="6" t="s">
        <v>184</v>
      </c>
      <c r="B4" s="6" t="s">
        <v>185</v>
      </c>
      <c r="C4" s="6" t="s">
        <v>186</v>
      </c>
      <c r="D4" s="6" t="s">
        <v>187</v>
      </c>
      <c r="E4" s="6" t="s">
        <v>188</v>
      </c>
      <c r="F4" s="6" t="s">
        <v>189</v>
      </c>
      <c r="G4" s="6" t="s">
        <v>190</v>
      </c>
    </row>
    <row r="6" spans="1:7" x14ac:dyDescent="0.35">
      <c r="A6" s="7" t="s">
        <v>191</v>
      </c>
      <c r="B6" s="14"/>
      <c r="C6" s="14"/>
      <c r="D6" s="14"/>
      <c r="E6" s="14"/>
      <c r="F6" s="14"/>
      <c r="G6" s="14"/>
    </row>
    <row r="7" spans="1:7" x14ac:dyDescent="0.35">
      <c r="A7" s="8" t="s">
        <v>192</v>
      </c>
      <c r="B7" s="8" t="s">
        <v>193</v>
      </c>
      <c r="C7" s="15" t="s">
        <v>194</v>
      </c>
      <c r="D7" s="8" t="s">
        <v>195</v>
      </c>
      <c r="E7" s="8" t="s">
        <v>196</v>
      </c>
      <c r="F7" s="8" t="s">
        <v>197</v>
      </c>
      <c r="G7" s="8" t="s">
        <v>198</v>
      </c>
    </row>
    <row r="8" spans="1:7" x14ac:dyDescent="0.35">
      <c r="A8" s="8" t="s">
        <v>199</v>
      </c>
      <c r="B8" s="8" t="s">
        <v>200</v>
      </c>
      <c r="C8" s="26" t="s">
        <v>201</v>
      </c>
      <c r="D8" s="8" t="s">
        <v>202</v>
      </c>
      <c r="E8" s="8" t="s">
        <v>203</v>
      </c>
      <c r="F8" s="8"/>
      <c r="G8" s="8" t="s">
        <v>204</v>
      </c>
    </row>
    <row r="10" spans="1:7" x14ac:dyDescent="0.35">
      <c r="A10" s="7" t="s">
        <v>205</v>
      </c>
      <c r="B10" s="14"/>
      <c r="C10" s="14"/>
      <c r="D10" s="14"/>
      <c r="E10" s="14"/>
      <c r="F10" s="14"/>
      <c r="G10" s="14"/>
    </row>
    <row r="11" spans="1:7" x14ac:dyDescent="0.35">
      <c r="A11" s="8" t="s">
        <v>206</v>
      </c>
      <c r="B11" s="8" t="s">
        <v>207</v>
      </c>
      <c r="C11" s="15" t="s">
        <v>208</v>
      </c>
      <c r="D11" s="8" t="s">
        <v>209</v>
      </c>
      <c r="E11" s="8" t="s">
        <v>210</v>
      </c>
      <c r="F11" s="8"/>
      <c r="G11" s="8" t="s">
        <v>211</v>
      </c>
    </row>
    <row r="12" spans="1:7" x14ac:dyDescent="0.35">
      <c r="A12" s="8" t="s">
        <v>212</v>
      </c>
      <c r="B12" s="8" t="s">
        <v>207</v>
      </c>
      <c r="C12" s="15" t="s">
        <v>208</v>
      </c>
      <c r="D12" s="8" t="s">
        <v>213</v>
      </c>
      <c r="E12" s="8" t="s">
        <v>214</v>
      </c>
      <c r="F12" s="8"/>
      <c r="G12" s="8" t="s">
        <v>215</v>
      </c>
    </row>
    <row r="13" spans="1:7" x14ac:dyDescent="0.35">
      <c r="A13" s="8" t="s">
        <v>216</v>
      </c>
      <c r="B13" s="8" t="s">
        <v>200</v>
      </c>
      <c r="C13" s="15" t="s">
        <v>217</v>
      </c>
      <c r="D13" s="8" t="s">
        <v>218</v>
      </c>
      <c r="E13" s="8" t="s">
        <v>219</v>
      </c>
      <c r="F13" s="8"/>
      <c r="G13" s="8"/>
    </row>
    <row r="14" spans="1:7" x14ac:dyDescent="0.35">
      <c r="A14" s="8" t="s">
        <v>220</v>
      </c>
      <c r="B14" s="8" t="s">
        <v>221</v>
      </c>
      <c r="C14" s="15" t="s">
        <v>201</v>
      </c>
      <c r="D14" s="8" t="s">
        <v>222</v>
      </c>
      <c r="E14" s="8" t="s">
        <v>203</v>
      </c>
      <c r="F14" s="8"/>
      <c r="G14" s="8"/>
    </row>
    <row r="15" spans="1:7" x14ac:dyDescent="0.35">
      <c r="A15" s="8" t="s">
        <v>223</v>
      </c>
      <c r="B15" s="8" t="s">
        <v>207</v>
      </c>
      <c r="C15" s="15" t="s">
        <v>224</v>
      </c>
      <c r="D15" s="8" t="s">
        <v>225</v>
      </c>
      <c r="E15" s="8" t="s">
        <v>226</v>
      </c>
      <c r="F15" s="8"/>
      <c r="G15" s="8"/>
    </row>
    <row r="16" spans="1:7" x14ac:dyDescent="0.35">
      <c r="A16" s="8" t="s">
        <v>227</v>
      </c>
      <c r="B16" s="8" t="s">
        <v>228</v>
      </c>
      <c r="C16" s="15" t="s">
        <v>208</v>
      </c>
      <c r="D16" s="8" t="s">
        <v>229</v>
      </c>
      <c r="E16" s="8" t="s">
        <v>439</v>
      </c>
      <c r="F16" s="8"/>
      <c r="G16" s="8" t="s">
        <v>438</v>
      </c>
    </row>
    <row r="17" spans="1:7" x14ac:dyDescent="0.35">
      <c r="A17" s="8" t="s">
        <v>230</v>
      </c>
      <c r="B17" s="8" t="s">
        <v>231</v>
      </c>
      <c r="C17" s="15" t="s">
        <v>232</v>
      </c>
      <c r="D17" s="8" t="s">
        <v>233</v>
      </c>
      <c r="E17" s="8" t="s">
        <v>440</v>
      </c>
      <c r="F17" s="8"/>
      <c r="G17" s="8" t="s">
        <v>234</v>
      </c>
    </row>
    <row r="19" spans="1:7" x14ac:dyDescent="0.35">
      <c r="A19" s="7" t="s">
        <v>235</v>
      </c>
      <c r="B19" s="14"/>
      <c r="C19" s="14"/>
      <c r="D19" s="14"/>
      <c r="E19" s="14"/>
      <c r="F19" s="14"/>
      <c r="G19" s="14"/>
    </row>
    <row r="20" spans="1:7" x14ac:dyDescent="0.35">
      <c r="A20" s="8" t="s">
        <v>236</v>
      </c>
      <c r="B20" s="8" t="s">
        <v>237</v>
      </c>
      <c r="C20" s="15" t="s">
        <v>238</v>
      </c>
      <c r="D20" s="8" t="s">
        <v>239</v>
      </c>
      <c r="E20" s="8" t="s">
        <v>240</v>
      </c>
      <c r="F20" s="8" t="s">
        <v>241</v>
      </c>
      <c r="G20" s="8" t="s">
        <v>441</v>
      </c>
    </row>
    <row r="21" spans="1:7" x14ac:dyDescent="0.35">
      <c r="A21" s="8" t="s">
        <v>445</v>
      </c>
      <c r="B21" s="8" t="s">
        <v>242</v>
      </c>
      <c r="C21" s="8"/>
      <c r="D21" s="8" t="s">
        <v>243</v>
      </c>
      <c r="E21" s="8" t="s">
        <v>446</v>
      </c>
      <c r="F21" s="8" t="s">
        <v>442</v>
      </c>
      <c r="G21" s="8" t="s">
        <v>447</v>
      </c>
    </row>
    <row r="23" spans="1:7" x14ac:dyDescent="0.35">
      <c r="A23" s="7" t="s">
        <v>244</v>
      </c>
      <c r="B23" s="14"/>
      <c r="C23" s="14"/>
      <c r="D23" s="14"/>
      <c r="E23" s="14"/>
      <c r="F23" s="14"/>
      <c r="G23" s="14"/>
    </row>
    <row r="24" spans="1:7" x14ac:dyDescent="0.35">
      <c r="A24" s="8" t="s">
        <v>444</v>
      </c>
      <c r="B24" s="8"/>
      <c r="C24" s="15"/>
      <c r="D24" s="8"/>
      <c r="E24" s="8" t="s">
        <v>461</v>
      </c>
      <c r="F24" s="8"/>
      <c r="G24" s="8" t="s">
        <v>443</v>
      </c>
    </row>
    <row r="25" spans="1:7" x14ac:dyDescent="0.35">
      <c r="A25" s="8"/>
      <c r="B25" s="8"/>
      <c r="C25" s="8"/>
      <c r="D25" s="8"/>
      <c r="E25" s="8"/>
      <c r="F25" s="8"/>
      <c r="G25" s="8"/>
    </row>
    <row r="26" spans="1:7" x14ac:dyDescent="0.35">
      <c r="A26" s="8"/>
      <c r="B26" s="8"/>
      <c r="C26" s="8"/>
      <c r="D26" s="8"/>
      <c r="E26" s="8"/>
      <c r="F26" s="8"/>
      <c r="G26" s="8"/>
    </row>
    <row r="27" spans="1:7" x14ac:dyDescent="0.35">
      <c r="A27" s="8"/>
      <c r="B27" s="8"/>
      <c r="C27" s="15"/>
      <c r="D27" s="8"/>
      <c r="E27" s="8"/>
      <c r="F27" s="8"/>
      <c r="G27" s="8"/>
    </row>
    <row r="28" spans="1:7" x14ac:dyDescent="0.35">
      <c r="A28" s="8"/>
      <c r="B28" s="8"/>
      <c r="C28" s="15"/>
      <c r="D28" s="8"/>
      <c r="E28" s="8"/>
      <c r="F28" s="8"/>
      <c r="G28" s="8"/>
    </row>
    <row r="30" spans="1:7" x14ac:dyDescent="0.35">
      <c r="A30" s="17"/>
    </row>
    <row r="31" spans="1:7" x14ac:dyDescent="0.35">
      <c r="A31" s="18"/>
    </row>
    <row r="32" spans="1:7" x14ac:dyDescent="0.35">
      <c r="A32" s="18"/>
    </row>
    <row r="33" spans="1:1" x14ac:dyDescent="0.35">
      <c r="A33" s="18"/>
    </row>
    <row r="34" spans="1:1" x14ac:dyDescent="0.35">
      <c r="A34" s="18"/>
    </row>
    <row r="35" spans="1:1" x14ac:dyDescent="0.35">
      <c r="A35" s="18"/>
    </row>
    <row r="36" spans="1:1" x14ac:dyDescent="0.35">
      <c r="A36" s="18"/>
    </row>
    <row r="37" spans="1:1" x14ac:dyDescent="0.35">
      <c r="A37" s="18"/>
    </row>
  </sheetData>
  <hyperlinks>
    <hyperlink ref="C7" r:id="rId1" xr:uid="{00000000-0004-0000-0200-000000000000}"/>
    <hyperlink ref="C8" r:id="rId2" xr:uid="{00000000-0004-0000-0200-000001000000}"/>
    <hyperlink ref="C11" r:id="rId3" xr:uid="{00000000-0004-0000-0200-000002000000}"/>
    <hyperlink ref="C12" r:id="rId4" xr:uid="{00000000-0004-0000-0200-000004000000}"/>
    <hyperlink ref="C13" r:id="rId5" xr:uid="{00000000-0004-0000-0200-000005000000}"/>
    <hyperlink ref="C14" r:id="rId6" xr:uid="{00000000-0004-0000-0200-000006000000}"/>
    <hyperlink ref="C15" r:id="rId7" xr:uid="{00000000-0004-0000-0200-000008000000}"/>
    <hyperlink ref="C16" r:id="rId8" xr:uid="{00000000-0004-0000-0200-000009000000}"/>
    <hyperlink ref="C17" r:id="rId9" xr:uid="{00000000-0004-0000-0200-00000A000000}"/>
    <hyperlink ref="C20" r:id="rId10" xr:uid="{00000000-0004-0000-0200-00000B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4:C7"/>
  <sheetViews>
    <sheetView zoomScale="85" zoomScaleNormal="85" workbookViewId="0">
      <selection activeCell="Q11" sqref="Q11"/>
    </sheetView>
  </sheetViews>
  <sheetFormatPr defaultRowHeight="14.5" x14ac:dyDescent="0.35"/>
  <cols>
    <col min="2" max="2" width="13.54296875" customWidth="1"/>
  </cols>
  <sheetData>
    <row r="4" spans="2:3" x14ac:dyDescent="0.35">
      <c r="C4" t="s">
        <v>319</v>
      </c>
    </row>
    <row r="5" spans="2:3" x14ac:dyDescent="0.35">
      <c r="B5" t="s">
        <v>320</v>
      </c>
      <c r="C5">
        <f>311600/1000</f>
        <v>311.60000000000002</v>
      </c>
    </row>
    <row r="7" spans="2:3" x14ac:dyDescent="0.35">
      <c r="B7" t="s">
        <v>321</v>
      </c>
      <c r="C7">
        <f>16*C5</f>
        <v>4985.6000000000004</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AE529-524E-4C5A-86AC-754C47EC9A04}">
  <dimension ref="A1:U74"/>
  <sheetViews>
    <sheetView topLeftCell="A18" workbookViewId="0">
      <selection activeCell="E81" sqref="E81"/>
    </sheetView>
  </sheetViews>
  <sheetFormatPr defaultRowHeight="14.5" x14ac:dyDescent="0.35"/>
  <cols>
    <col min="1" max="1" width="49.26953125" bestFit="1" customWidth="1"/>
    <col min="2" max="4" width="39.81640625" customWidth="1"/>
    <col min="5" max="5" width="22" customWidth="1"/>
    <col min="6" max="6" width="18.1796875" bestFit="1" customWidth="1"/>
    <col min="7" max="7" width="14.26953125" bestFit="1" customWidth="1"/>
    <col min="13" max="13" width="16" hidden="1" customWidth="1"/>
    <col min="14" max="14" width="12.7265625" hidden="1" customWidth="1"/>
    <col min="15" max="15" width="40.81640625" hidden="1" customWidth="1"/>
    <col min="16" max="21" width="0" hidden="1" customWidth="1"/>
  </cols>
  <sheetData>
    <row r="1" spans="1:21" ht="15.5" x14ac:dyDescent="0.35">
      <c r="A1" s="45" t="s">
        <v>345</v>
      </c>
      <c r="B1" s="46" t="s">
        <v>346</v>
      </c>
      <c r="C1" s="45" t="s">
        <v>347</v>
      </c>
      <c r="D1" s="47" t="s">
        <v>348</v>
      </c>
      <c r="M1" s="78" t="s">
        <v>383</v>
      </c>
      <c r="N1" s="78"/>
      <c r="O1" s="78"/>
      <c r="P1" s="78"/>
      <c r="Q1" s="78"/>
      <c r="R1" s="78"/>
      <c r="S1" s="78"/>
      <c r="T1" s="78"/>
      <c r="U1" s="78"/>
    </row>
    <row r="2" spans="1:21" ht="15.5" x14ac:dyDescent="0.35">
      <c r="A2" s="48" t="s">
        <v>349</v>
      </c>
      <c r="B2" s="49" t="s">
        <v>350</v>
      </c>
      <c r="C2" s="48" t="s">
        <v>351</v>
      </c>
      <c r="D2" s="50" t="str">
        <f>VLOOKUP(D1,M3:N7,2,FALSE)</f>
        <v>Low: -50% to -40%, High: +30% to +100%</v>
      </c>
      <c r="M2" s="79" t="s">
        <v>384</v>
      </c>
      <c r="N2" s="79" t="s">
        <v>385</v>
      </c>
      <c r="O2" s="79"/>
      <c r="P2" s="79" t="s">
        <v>386</v>
      </c>
      <c r="Q2" s="79" t="s">
        <v>387</v>
      </c>
      <c r="T2" t="s">
        <v>386</v>
      </c>
      <c r="U2" t="s">
        <v>387</v>
      </c>
    </row>
    <row r="3" spans="1:21" ht="15.5" x14ac:dyDescent="0.35">
      <c r="A3" s="48" t="s">
        <v>352</v>
      </c>
      <c r="B3" s="51">
        <f>('[1]DATA INPUT'!N14+'[1]DATA INPUT'!P14)/2</f>
        <v>46222</v>
      </c>
      <c r="C3" s="48" t="s">
        <v>353</v>
      </c>
      <c r="D3" s="52">
        <v>45986</v>
      </c>
      <c r="M3" s="79" t="s">
        <v>388</v>
      </c>
      <c r="N3" s="80" t="s">
        <v>389</v>
      </c>
      <c r="O3" s="81" t="str">
        <f>M3&amp;" Estimate - Accuracy Range: "&amp;N3</f>
        <v>Class 1 Estimate - Accuracy Range: Low: -2% to -5%, High: +3% to +15%</v>
      </c>
      <c r="P3" s="81">
        <v>0.9</v>
      </c>
      <c r="Q3" s="81">
        <v>1.1499999999999999</v>
      </c>
      <c r="T3" s="82">
        <v>-0.5</v>
      </c>
      <c r="U3" s="82">
        <v>1</v>
      </c>
    </row>
    <row r="4" spans="1:21" ht="15.5" x14ac:dyDescent="0.35">
      <c r="A4" s="48" t="s">
        <v>354</v>
      </c>
      <c r="B4" s="53">
        <f>'[1]DATA INPUT'!P15-'[1]DATA INPUT'!P10</f>
        <v>243</v>
      </c>
      <c r="C4" s="48" t="s">
        <v>355</v>
      </c>
      <c r="D4" s="54" t="str">
        <f>TEXT(D3,"mm/dd/yyyy")&amp;" - "&amp;TEXT(D3+180,"mm/dd/yyyy")</f>
        <v>11/25/2025 - 05/24/2026</v>
      </c>
      <c r="E4" s="83"/>
      <c r="M4" s="79" t="s">
        <v>390</v>
      </c>
      <c r="N4" s="80" t="s">
        <v>391</v>
      </c>
      <c r="O4" s="81" t="str">
        <f>M4&amp;" Estimate - Accuracy Range: "&amp;N4</f>
        <v>Class 2 (DBB Solicitation) Estimate - Accuracy Range: Low: -5% to -15%, High: +5% to +30%</v>
      </c>
      <c r="P4" s="81">
        <v>0.85</v>
      </c>
      <c r="Q4" s="81">
        <v>1.2</v>
      </c>
      <c r="T4" s="82">
        <v>-0.3</v>
      </c>
      <c r="U4" s="82">
        <v>0.5</v>
      </c>
    </row>
    <row r="5" spans="1:21" ht="16" thickBot="1" x14ac:dyDescent="0.4">
      <c r="A5" s="55" t="s">
        <v>356</v>
      </c>
      <c r="B5" s="56" t="s">
        <v>357</v>
      </c>
      <c r="C5" s="55" t="s">
        <v>358</v>
      </c>
      <c r="D5" s="57" t="s">
        <v>359</v>
      </c>
      <c r="M5" s="79" t="s">
        <v>392</v>
      </c>
      <c r="N5" s="80" t="s">
        <v>393</v>
      </c>
      <c r="O5" s="81" t="str">
        <f>M5&amp;" Estimate - Accuracy Range: "&amp;N5</f>
        <v>Class 3 (DB Solicitation) Estimate - Accuracy Range: Low: -20% to -10%, High: +10% to +40%</v>
      </c>
      <c r="P5" s="81">
        <v>0.8</v>
      </c>
      <c r="Q5" s="81">
        <v>1.25</v>
      </c>
      <c r="T5" s="82">
        <v>-0.2</v>
      </c>
      <c r="U5" s="82">
        <v>0.4</v>
      </c>
    </row>
    <row r="6" spans="1:21" ht="15" thickBot="1" x14ac:dyDescent="0.4">
      <c r="M6" s="79" t="s">
        <v>394</v>
      </c>
      <c r="N6" s="80" t="s">
        <v>395</v>
      </c>
      <c r="O6" s="81" t="str">
        <f>M6&amp;" Estimate - Accuracy Range: "&amp;N6</f>
        <v>Class 4 (Planning) Estimate - Accuracy Range: Low: -30% to -15%, High: +20% to +50%</v>
      </c>
      <c r="P6" s="81">
        <v>0.7</v>
      </c>
      <c r="Q6" s="81">
        <v>1.5</v>
      </c>
      <c r="T6" s="82">
        <v>-0.15</v>
      </c>
      <c r="U6" s="82">
        <v>0.3</v>
      </c>
    </row>
    <row r="7" spans="1:21" s="84" customFormat="1" ht="18.5" x14ac:dyDescent="0.45">
      <c r="A7" s="58" t="s">
        <v>360</v>
      </c>
      <c r="B7" s="59" t="s">
        <v>190</v>
      </c>
      <c r="C7" s="59" t="s">
        <v>361</v>
      </c>
      <c r="D7" s="60" t="s">
        <v>362</v>
      </c>
      <c r="E7"/>
      <c r="F7"/>
      <c r="G7"/>
      <c r="H7"/>
      <c r="M7" s="79" t="s">
        <v>348</v>
      </c>
      <c r="N7" s="80" t="s">
        <v>396</v>
      </c>
      <c r="O7" s="81" t="str">
        <f>M7&amp;" Estimate - Accuracy Range: "&amp;N7</f>
        <v>Class 5 (ROM) Estimate - Accuracy Range: Low: -50% to -40%, High: +30% to +100%</v>
      </c>
      <c r="P7" s="81">
        <v>0.6</v>
      </c>
      <c r="Q7" s="81">
        <v>1.8</v>
      </c>
      <c r="T7" s="82">
        <v>-0.1</v>
      </c>
      <c r="U7" s="82">
        <v>0.2</v>
      </c>
    </row>
    <row r="8" spans="1:21" x14ac:dyDescent="0.35">
      <c r="A8" s="61" t="s">
        <v>363</v>
      </c>
      <c r="B8" s="8"/>
      <c r="C8" s="62">
        <f>IFERROR(D8/$D$62,"")</f>
        <v>9.7027427308410949E-2</v>
      </c>
      <c r="D8" s="63">
        <f>'[1]AE Design Estimate'!D5</f>
        <v>107829.0531</v>
      </c>
      <c r="T8" s="82">
        <v>-0.05</v>
      </c>
      <c r="U8" s="82">
        <v>0.1</v>
      </c>
    </row>
    <row r="9" spans="1:21" x14ac:dyDescent="0.35">
      <c r="A9" s="61" t="s">
        <v>364</v>
      </c>
      <c r="B9" s="8"/>
      <c r="C9" s="62">
        <f>IFERROR(D9/$D$62,"")</f>
        <v>0</v>
      </c>
      <c r="D9" s="63"/>
      <c r="T9" s="82">
        <v>-0.02</v>
      </c>
      <c r="U9" s="82">
        <v>0.05</v>
      </c>
    </row>
    <row r="10" spans="1:21" x14ac:dyDescent="0.35">
      <c r="A10" s="64"/>
      <c r="C10" s="65" t="s">
        <v>365</v>
      </c>
      <c r="D10" s="66">
        <f>SUM(D8:D9)</f>
        <v>107829.0531</v>
      </c>
      <c r="T10" s="82"/>
      <c r="U10" s="82">
        <v>0.03</v>
      </c>
    </row>
    <row r="11" spans="1:21" ht="15" thickBot="1" x14ac:dyDescent="0.4">
      <c r="A11" s="67" t="s">
        <v>366</v>
      </c>
      <c r="B11" s="68">
        <v>2.2499999999999999E-2</v>
      </c>
      <c r="C11" s="69" t="s">
        <v>367</v>
      </c>
      <c r="D11" s="70">
        <f>D10*B11</f>
        <v>2426.1536947499999</v>
      </c>
      <c r="T11" s="82"/>
      <c r="U11" s="82"/>
    </row>
    <row r="12" spans="1:21" ht="16" thickBot="1" x14ac:dyDescent="0.4">
      <c r="A12" s="71"/>
      <c r="C12" s="72" t="s">
        <v>368</v>
      </c>
      <c r="D12" s="73">
        <f>SUM(D10:D11)</f>
        <v>110255.20679475</v>
      </c>
      <c r="T12" s="82"/>
      <c r="U12" s="82"/>
    </row>
    <row r="13" spans="1:21" ht="15" thickBot="1" x14ac:dyDescent="0.4">
      <c r="D13" s="74"/>
      <c r="T13" s="82"/>
      <c r="U13" s="82"/>
    </row>
    <row r="14" spans="1:21" ht="15.5" x14ac:dyDescent="0.35">
      <c r="A14" s="58" t="s">
        <v>369</v>
      </c>
      <c r="B14" s="59" t="s">
        <v>190</v>
      </c>
      <c r="C14" s="59" t="s">
        <v>361</v>
      </c>
      <c r="D14" s="60" t="s">
        <v>362</v>
      </c>
      <c r="T14" s="82"/>
      <c r="U14" s="82"/>
    </row>
    <row r="15" spans="1:21" x14ac:dyDescent="0.35">
      <c r="A15" s="61" t="s">
        <v>370</v>
      </c>
      <c r="B15" s="8"/>
      <c r="C15" s="62">
        <f>IFERROR(D15/$D$62,"")</f>
        <v>0.64684951538940638</v>
      </c>
      <c r="D15" s="63">
        <f>'[1]Construction Summary'!E47</f>
        <v>718860.35400000005</v>
      </c>
      <c r="T15" s="82"/>
      <c r="U15" s="82"/>
    </row>
    <row r="16" spans="1:21" x14ac:dyDescent="0.35">
      <c r="A16" s="61" t="s">
        <v>371</v>
      </c>
      <c r="B16" s="8"/>
      <c r="C16" s="62">
        <f>IFERROR(D16/$D$62,"")</f>
        <v>0</v>
      </c>
      <c r="D16" s="63"/>
    </row>
    <row r="17" spans="1:7" x14ac:dyDescent="0.35">
      <c r="A17" s="61"/>
      <c r="B17" s="8"/>
      <c r="C17" s="62">
        <f>IFERROR(D17/$D$62,"")</f>
        <v>0</v>
      </c>
      <c r="D17" s="63"/>
    </row>
    <row r="18" spans="1:7" x14ac:dyDescent="0.35">
      <c r="A18" s="61"/>
      <c r="B18" s="8"/>
      <c r="C18" s="62">
        <f>IFERROR(D18/$D$62,"")</f>
        <v>0</v>
      </c>
      <c r="D18" s="63"/>
    </row>
    <row r="19" spans="1:7" x14ac:dyDescent="0.35">
      <c r="A19" s="64"/>
      <c r="C19" s="65" t="s">
        <v>365</v>
      </c>
      <c r="D19" s="66">
        <f>SUM(D15:D18)</f>
        <v>718860.35400000005</v>
      </c>
    </row>
    <row r="20" spans="1:7" ht="15" thickBot="1" x14ac:dyDescent="0.4">
      <c r="A20" s="67" t="s">
        <v>372</v>
      </c>
      <c r="B20" s="68">
        <v>3.3700000000000001E-2</v>
      </c>
      <c r="C20" s="69" t="s">
        <v>373</v>
      </c>
      <c r="D20" s="70">
        <f>D19*B20</f>
        <v>24225.593929800001</v>
      </c>
    </row>
    <row r="21" spans="1:7" ht="16" thickBot="1" x14ac:dyDescent="0.4">
      <c r="A21" s="71"/>
      <c r="C21" s="72" t="s">
        <v>374</v>
      </c>
      <c r="D21" s="73">
        <f>SUM(D19:D20)</f>
        <v>743085.94792980002</v>
      </c>
      <c r="F21" s="85">
        <f>SUM(D21*0.7)</f>
        <v>520160.16355085996</v>
      </c>
      <c r="G21" s="85">
        <f>SUM(D21*1.5)</f>
        <v>1114628.9218947</v>
      </c>
    </row>
    <row r="22" spans="1:7" ht="15" thickBot="1" x14ac:dyDescent="0.4">
      <c r="A22" s="71"/>
      <c r="D22" s="74"/>
    </row>
    <row r="23" spans="1:7" ht="15.5" x14ac:dyDescent="0.35">
      <c r="A23" s="58" t="s">
        <v>375</v>
      </c>
      <c r="B23" s="59" t="s">
        <v>190</v>
      </c>
      <c r="C23" s="59" t="s">
        <v>361</v>
      </c>
      <c r="D23" s="60" t="s">
        <v>362</v>
      </c>
    </row>
    <row r="24" spans="1:7" x14ac:dyDescent="0.35">
      <c r="A24" s="61"/>
      <c r="B24" s="8"/>
      <c r="C24" s="62">
        <f>IFERROR(D24/$D$62,"")</f>
        <v>0</v>
      </c>
      <c r="D24" s="75"/>
    </row>
    <row r="25" spans="1:7" x14ac:dyDescent="0.35">
      <c r="A25" s="61"/>
      <c r="B25" s="8"/>
      <c r="C25" s="62">
        <f>IFERROR(D25/$D$62,"")</f>
        <v>0</v>
      </c>
      <c r="D25" s="75"/>
    </row>
    <row r="26" spans="1:7" x14ac:dyDescent="0.35">
      <c r="A26" s="61"/>
      <c r="B26" s="8"/>
      <c r="C26" s="62">
        <f>IFERROR(D26/$D$62,"")</f>
        <v>0</v>
      </c>
      <c r="D26" s="75"/>
    </row>
    <row r="27" spans="1:7" x14ac:dyDescent="0.35">
      <c r="A27" s="61"/>
      <c r="B27" s="8"/>
      <c r="C27" s="62">
        <f>IFERROR(D27/$D$62,"")</f>
        <v>0</v>
      </c>
      <c r="D27" s="75"/>
    </row>
    <row r="28" spans="1:7" x14ac:dyDescent="0.35">
      <c r="A28" s="64"/>
      <c r="C28" s="65" t="s">
        <v>365</v>
      </c>
      <c r="D28" s="66">
        <f>SUM(D24:D27)</f>
        <v>0</v>
      </c>
    </row>
    <row r="29" spans="1:7" ht="15" thickBot="1" x14ac:dyDescent="0.4">
      <c r="A29" s="67" t="s">
        <v>376</v>
      </c>
      <c r="B29" s="68">
        <v>0</v>
      </c>
      <c r="C29" s="69" t="s">
        <v>377</v>
      </c>
      <c r="D29" s="70">
        <f>D28*B29</f>
        <v>0</v>
      </c>
    </row>
    <row r="30" spans="1:7" ht="16" thickBot="1" x14ac:dyDescent="0.4">
      <c r="A30" s="71"/>
      <c r="C30" s="76" t="s">
        <v>378</v>
      </c>
      <c r="D30" s="77">
        <f>SUM(D28:D29)</f>
        <v>0</v>
      </c>
    </row>
    <row r="31" spans="1:7" ht="15" thickBot="1" x14ac:dyDescent="0.4">
      <c r="D31" s="74"/>
    </row>
    <row r="32" spans="1:7" ht="15.5" x14ac:dyDescent="0.35">
      <c r="A32" s="58" t="s">
        <v>379</v>
      </c>
      <c r="B32" s="59" t="s">
        <v>190</v>
      </c>
      <c r="C32" s="59" t="s">
        <v>361</v>
      </c>
      <c r="D32" s="60" t="s">
        <v>362</v>
      </c>
    </row>
    <row r="33" spans="1:6" x14ac:dyDescent="0.35">
      <c r="A33" s="61"/>
      <c r="B33" s="8"/>
      <c r="C33" s="62">
        <f>IFERROR(D33/$D$62,"")</f>
        <v>0</v>
      </c>
      <c r="D33" s="75"/>
    </row>
    <row r="34" spans="1:6" x14ac:dyDescent="0.35">
      <c r="A34" s="61"/>
      <c r="B34" s="8"/>
      <c r="C34" s="62">
        <f>IFERROR(D34/$D$62,"")</f>
        <v>0</v>
      </c>
      <c r="D34" s="75"/>
    </row>
    <row r="35" spans="1:6" x14ac:dyDescent="0.35">
      <c r="A35" s="61"/>
      <c r="B35" s="8"/>
      <c r="C35" s="62">
        <f>IFERROR(D35/$D$62,"")</f>
        <v>0</v>
      </c>
      <c r="D35" s="75"/>
    </row>
    <row r="36" spans="1:6" x14ac:dyDescent="0.35">
      <c r="A36" s="61"/>
      <c r="B36" s="8"/>
      <c r="C36" s="62">
        <f>IFERROR(D36/$D$62,"")</f>
        <v>0</v>
      </c>
      <c r="D36" s="75"/>
      <c r="E36" s="86" t="s">
        <v>397</v>
      </c>
      <c r="F36" s="87"/>
    </row>
    <row r="37" spans="1:6" x14ac:dyDescent="0.35">
      <c r="A37" s="64"/>
      <c r="C37" s="65" t="s">
        <v>365</v>
      </c>
      <c r="D37" s="66">
        <f>SUM(D33:D36)</f>
        <v>0</v>
      </c>
    </row>
    <row r="38" spans="1:6" ht="15" thickBot="1" x14ac:dyDescent="0.4">
      <c r="A38" s="67" t="s">
        <v>380</v>
      </c>
      <c r="B38" s="68"/>
      <c r="C38" s="69" t="s">
        <v>381</v>
      </c>
      <c r="D38" s="70">
        <f>D37*B38</f>
        <v>0</v>
      </c>
    </row>
    <row r="39" spans="1:6" ht="16" thickBot="1" x14ac:dyDescent="0.4">
      <c r="A39" s="71"/>
      <c r="C39" s="72" t="s">
        <v>382</v>
      </c>
      <c r="D39" s="73">
        <f>SUM(D37:D38)</f>
        <v>0</v>
      </c>
      <c r="F39" s="88"/>
    </row>
    <row r="40" spans="1:6" x14ac:dyDescent="0.35">
      <c r="D40" s="74"/>
    </row>
    <row r="41" spans="1:6" ht="15.5" hidden="1" x14ac:dyDescent="0.35">
      <c r="A41" s="58" t="s">
        <v>398</v>
      </c>
      <c r="B41" s="59" t="s">
        <v>190</v>
      </c>
      <c r="C41" s="59" t="s">
        <v>361</v>
      </c>
      <c r="D41" s="60" t="s">
        <v>362</v>
      </c>
    </row>
    <row r="42" spans="1:6" hidden="1" x14ac:dyDescent="0.35">
      <c r="A42" s="61" t="s">
        <v>399</v>
      </c>
      <c r="B42" s="8"/>
      <c r="C42" s="62" t="str">
        <f t="shared" ref="C42:C48" si="0">IFERROR(D42/$D$62,"")</f>
        <v/>
      </c>
      <c r="D42" s="63" t="e">
        <f>SUMIF('[1]SLAC Labor Estimate'!$A$11:$CS$1995,$A42,'[1]SLAC Labor Estimate'!$CS$11:$CS$1995)</f>
        <v>#VALUE!</v>
      </c>
    </row>
    <row r="43" spans="1:6" hidden="1" x14ac:dyDescent="0.35">
      <c r="A43" s="61" t="s">
        <v>400</v>
      </c>
      <c r="B43" s="8"/>
      <c r="C43" s="62" t="str">
        <f t="shared" si="0"/>
        <v/>
      </c>
      <c r="D43" s="63" t="e">
        <f>SUMIF('[1]SLAC Labor Estimate'!$A$11:$CS$1995,$A43,'[1]SLAC Labor Estimate'!$CS$11:$CS$1995)</f>
        <v>#VALUE!</v>
      </c>
    </row>
    <row r="44" spans="1:6" hidden="1" x14ac:dyDescent="0.35">
      <c r="A44" s="61" t="s">
        <v>401</v>
      </c>
      <c r="B44" s="8"/>
      <c r="C44" s="62" t="str">
        <f t="shared" si="0"/>
        <v/>
      </c>
      <c r="D44" s="63" t="e">
        <f>SUMIF('[1]SLAC Labor Estimate'!$A$11:$CS$1995,$A44,'[1]SLAC Labor Estimate'!$CS$11:$CS$1995)</f>
        <v>#VALUE!</v>
      </c>
    </row>
    <row r="45" spans="1:6" hidden="1" x14ac:dyDescent="0.35">
      <c r="A45" s="61" t="s">
        <v>402</v>
      </c>
      <c r="B45" s="8"/>
      <c r="C45" s="62" t="str">
        <f t="shared" si="0"/>
        <v/>
      </c>
      <c r="D45" s="63" t="e">
        <f>SUMIF('[1]SLAC Labor Estimate'!$A$11:$CS$1995,$A45,'[1]SLAC Labor Estimate'!$CS$11:$CS$1995)</f>
        <v>#VALUE!</v>
      </c>
    </row>
    <row r="46" spans="1:6" hidden="1" x14ac:dyDescent="0.35">
      <c r="A46" s="61" t="s">
        <v>403</v>
      </c>
      <c r="B46" s="8"/>
      <c r="C46" s="62" t="str">
        <f t="shared" si="0"/>
        <v/>
      </c>
      <c r="D46" s="63" t="e">
        <f>SUMIF('[1]SLAC Labor Estimate'!$A$11:$CS$1995,$A46,'[1]SLAC Labor Estimate'!$CS$11:$CS$1995)</f>
        <v>#VALUE!</v>
      </c>
    </row>
    <row r="47" spans="1:6" hidden="1" x14ac:dyDescent="0.35">
      <c r="A47" s="61" t="s">
        <v>404</v>
      </c>
      <c r="B47" s="89"/>
      <c r="C47" s="62" t="str">
        <f t="shared" si="0"/>
        <v/>
      </c>
      <c r="D47" s="63" t="e">
        <f>SUMIF('[1]SLAC Labor Estimate'!$A$11:$CS$1995,$A47,'[1]SLAC Labor Estimate'!$CS$11:$CS$1995)</f>
        <v>#VALUE!</v>
      </c>
    </row>
    <row r="48" spans="1:6" hidden="1" x14ac:dyDescent="0.35">
      <c r="A48" s="90" t="s">
        <v>405</v>
      </c>
      <c r="B48" s="89"/>
      <c r="C48" s="62" t="str">
        <f t="shared" si="0"/>
        <v/>
      </c>
      <c r="D48" s="63" t="e">
        <f>SUMIF('[1]SLAC Labor Estimate'!$A$11:$CS$1995,$A48,'[1]SLAC Labor Estimate'!$CS$11:$CS$1995)</f>
        <v>#VALUE!</v>
      </c>
    </row>
    <row r="49" spans="1:5" ht="15" hidden="1" thickBot="1" x14ac:dyDescent="0.4">
      <c r="A49" s="91"/>
      <c r="B49" s="92"/>
      <c r="C49" s="93"/>
      <c r="D49" s="94"/>
    </row>
    <row r="50" spans="1:5" ht="16" hidden="1" thickBot="1" x14ac:dyDescent="0.4">
      <c r="A50" s="71"/>
      <c r="C50" s="72" t="s">
        <v>406</v>
      </c>
      <c r="D50" s="73">
        <v>0</v>
      </c>
    </row>
    <row r="51" spans="1:5" x14ac:dyDescent="0.35">
      <c r="D51" s="74"/>
    </row>
    <row r="52" spans="1:5" ht="15" thickBot="1" x14ac:dyDescent="0.4">
      <c r="D52" s="74"/>
    </row>
    <row r="53" spans="1:5" ht="15.5" x14ac:dyDescent="0.35">
      <c r="A53" s="58" t="s">
        <v>407</v>
      </c>
      <c r="B53" s="59" t="s">
        <v>190</v>
      </c>
      <c r="C53" s="59" t="s">
        <v>361</v>
      </c>
      <c r="D53" s="95"/>
    </row>
    <row r="54" spans="1:5" ht="15" thickBot="1" x14ac:dyDescent="0.4">
      <c r="A54" s="67" t="s">
        <v>408</v>
      </c>
      <c r="B54" s="68">
        <v>0.2</v>
      </c>
      <c r="C54" s="93">
        <f t="shared" ref="C54" si="1">IFERROR(D54/$D$62,"")</f>
        <v>0.15357177769617589</v>
      </c>
      <c r="D54" s="94">
        <f>IFERROR(B54*(D12+D21),"")</f>
        <v>170668.23094491</v>
      </c>
    </row>
    <row r="55" spans="1:5" ht="16" thickBot="1" x14ac:dyDescent="0.4">
      <c r="C55" s="72" t="s">
        <v>406</v>
      </c>
      <c r="D55" s="73">
        <f>D54</f>
        <v>170668.23094491</v>
      </c>
    </row>
    <row r="56" spans="1:5" x14ac:dyDescent="0.35">
      <c r="D56" s="74"/>
    </row>
    <row r="57" spans="1:5" ht="15" thickBot="1" x14ac:dyDescent="0.4">
      <c r="D57" s="74"/>
    </row>
    <row r="58" spans="1:5" ht="15.5" x14ac:dyDescent="0.35">
      <c r="A58" s="58" t="s">
        <v>409</v>
      </c>
      <c r="B58" s="59" t="s">
        <v>410</v>
      </c>
      <c r="C58" s="59" t="s">
        <v>361</v>
      </c>
      <c r="D58" s="95">
        <v>0</v>
      </c>
    </row>
    <row r="59" spans="1:5" ht="15" thickBot="1" x14ac:dyDescent="0.4">
      <c r="A59" s="91" t="s">
        <v>411</v>
      </c>
      <c r="B59" s="96">
        <f>INDEX([1]!QryTbl_Multipliers[#Data],MATCH('[1]DATA INPUT'!H6&amp;YEAR(D3),[1]!QryTbl_Multipliers[WRAP_RATE],0),MATCH(INDEX([1]!QryTbl_ExpTypeGE[GE],MATCH("Construction Contract",[1]!QryTbl_ExpTypeGE[Exp Type],0)),[1]!QryTbl_Multipliers[#Headers],0))-1</f>
        <v>0.14365240175000005</v>
      </c>
      <c r="C59" s="93">
        <f>IFERROR(D59/$D$62,"")</f>
        <v>7.8569333822944509E-2</v>
      </c>
      <c r="D59" s="94">
        <f>(((COUNTIF(D8:D9,"&gt;=500000")+COUNTIF(D15:D18,"&gt;=500000")+COUNTIF(D24:D27,"&gt;=500000")+COUNTIF(D33:D36,"&gt;=500000"))*500000)+(SUMIF(D8:D9,"&lt;500000")+SUMIF(D15:D18,"&lt;500000")+SUMIF(D24:D27,"&lt;500000")+SUMIF(D33:D36,"&lt;500000")))*B59</f>
        <v>87316.103331243314</v>
      </c>
      <c r="E59" s="97"/>
    </row>
    <row r="60" spans="1:5" ht="16" thickBot="1" x14ac:dyDescent="0.4">
      <c r="A60" s="71"/>
      <c r="C60" s="72" t="s">
        <v>412</v>
      </c>
      <c r="D60" s="73">
        <f>D59</f>
        <v>87316.103331243314</v>
      </c>
    </row>
    <row r="61" spans="1:5" ht="15" thickBot="1" x14ac:dyDescent="0.4">
      <c r="D61" s="74"/>
    </row>
    <row r="62" spans="1:5" ht="16" thickBot="1" x14ac:dyDescent="0.4">
      <c r="C62" s="98" t="s">
        <v>413</v>
      </c>
      <c r="D62" s="99">
        <f>D60+D50+D39+D30+D21+D12+D55</f>
        <v>1111325.4890007034</v>
      </c>
    </row>
    <row r="63" spans="1:5" ht="16" thickBot="1" x14ac:dyDescent="0.4">
      <c r="B63" s="100" t="s">
        <v>414</v>
      </c>
      <c r="C63" s="101"/>
      <c r="D63" s="74"/>
    </row>
    <row r="64" spans="1:5" ht="16" thickBot="1" x14ac:dyDescent="0.4">
      <c r="A64" s="102" t="s">
        <v>415</v>
      </c>
      <c r="B64" s="103">
        <v>0.15</v>
      </c>
      <c r="C64" s="98" t="s">
        <v>416</v>
      </c>
      <c r="D64" s="99">
        <f>D62*B64</f>
        <v>166698.82335010552</v>
      </c>
    </row>
    <row r="65" spans="1:4" x14ac:dyDescent="0.35">
      <c r="B65" s="104"/>
      <c r="C65" s="101"/>
      <c r="D65" s="105"/>
    </row>
    <row r="66" spans="1:4" x14ac:dyDescent="0.35">
      <c r="A66" s="102" t="s">
        <v>417</v>
      </c>
      <c r="B66" s="103">
        <v>-0.3</v>
      </c>
      <c r="C66" s="102" t="s">
        <v>418</v>
      </c>
      <c r="D66" s="106">
        <f>D68*(1+B66)</f>
        <v>894617.01864556619</v>
      </c>
    </row>
    <row r="67" spans="1:4" ht="15" thickBot="1" x14ac:dyDescent="0.4">
      <c r="A67" s="102" t="s">
        <v>419</v>
      </c>
      <c r="B67" s="103">
        <v>0.5</v>
      </c>
      <c r="C67" s="102" t="s">
        <v>387</v>
      </c>
      <c r="D67" s="106">
        <f>D68*(1+B67)</f>
        <v>1917036.4685262134</v>
      </c>
    </row>
    <row r="68" spans="1:4" ht="19" thickBot="1" x14ac:dyDescent="0.5">
      <c r="B68" s="107"/>
      <c r="C68" s="108" t="s">
        <v>420</v>
      </c>
      <c r="D68" s="109">
        <f>D64+D62</f>
        <v>1278024.3123508089</v>
      </c>
    </row>
    <row r="69" spans="1:4" ht="19" thickBot="1" x14ac:dyDescent="0.5">
      <c r="B69" s="107"/>
      <c r="C69" s="110"/>
      <c r="D69" s="111"/>
    </row>
    <row r="70" spans="1:4" ht="15.5" x14ac:dyDescent="0.35">
      <c r="A70" s="112" t="s">
        <v>421</v>
      </c>
      <c r="B70" s="113"/>
      <c r="C70" s="113"/>
      <c r="D70" s="114"/>
    </row>
    <row r="71" spans="1:4" ht="258.64999999999998" customHeight="1" thickBot="1" x14ac:dyDescent="0.4">
      <c r="A71" s="115" t="s">
        <v>422</v>
      </c>
      <c r="B71" s="116"/>
      <c r="C71" s="116"/>
      <c r="D71" s="117"/>
    </row>
    <row r="72" spans="1:4" ht="15" thickBot="1" x14ac:dyDescent="0.4"/>
    <row r="73" spans="1:4" x14ac:dyDescent="0.35">
      <c r="B73" s="118" t="s">
        <v>423</v>
      </c>
      <c r="C73" s="119" t="s">
        <v>424</v>
      </c>
    </row>
    <row r="74" spans="1:4" ht="15" thickBot="1" x14ac:dyDescent="0.4">
      <c r="B74" s="120"/>
      <c r="C74" s="121"/>
    </row>
  </sheetData>
  <mergeCells count="5">
    <mergeCell ref="M1:U1"/>
    <mergeCell ref="E36:F36"/>
    <mergeCell ref="A71:D71"/>
    <mergeCell ref="B73:B74"/>
    <mergeCell ref="C73:C74"/>
  </mergeCells>
  <dataValidations count="5">
    <dataValidation type="list" allowBlank="1" showInputMessage="1" showErrorMessage="1" sqref="D1" xr:uid="{B37D6874-0945-4A93-82A1-D02C7B4F0DEA}">
      <formula1>$M$3:$M$7</formula1>
    </dataValidation>
    <dataValidation type="list" allowBlank="1" showInputMessage="1" showErrorMessage="1" sqref="D5" xr:uid="{0A5D8345-FF59-41F1-912F-867094041038}">
      <formula1>"Design-Build,Design-Bid-Build,Self Perform"</formula1>
    </dataValidation>
    <dataValidation type="list" allowBlank="1" showInputMessage="1" showErrorMessage="1" sqref="C73:C74" xr:uid="{6B36DF06-FA3C-4902-A6F2-9B956E18F56F}">
      <formula1>"Draft, Final"</formula1>
    </dataValidation>
    <dataValidation type="list" allowBlank="1" showInputMessage="1" showErrorMessage="1" sqref="B66" xr:uid="{4793F41B-3292-406F-A39C-8B7B71891FA9}">
      <formula1>$T$3:$T$9</formula1>
    </dataValidation>
    <dataValidation type="list" allowBlank="1" showInputMessage="1" showErrorMessage="1" sqref="B67" xr:uid="{A6CFE955-1960-4C99-A0D2-0BAA3424537E}">
      <formula1>$U$3:$U$10</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 Summary</vt:lpstr>
      <vt:lpstr>Project Scope</vt:lpstr>
      <vt:lpstr>Class 4 Estimate</vt:lpstr>
      <vt:lpstr>Reference Pricing</vt:lpstr>
      <vt:lpstr>SSA quote from R&amp;K</vt:lpstr>
      <vt:lpstr>SSA Test Lab 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Wang, Faya</dc:creator>
  <cp:lastModifiedBy>Wang, Faya</cp:lastModifiedBy>
  <dcterms:created xsi:type="dcterms:W3CDTF">2015-06-05T18:17:20Z</dcterms:created>
  <dcterms:modified xsi:type="dcterms:W3CDTF">2026-03-25T21:18:41Z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0x010100162E8B9B8F494F4F9FA5AC6115F8BAFC</vt:lpwstr>
  </property>
  <property fmtid="{D5CDD505-2E9C-101B-9397-08002B2CF9AE}" pid="3" name="MediaServiceImageTags">
    <vt:lpwstr/>
  </property>
</Properties>
</file>