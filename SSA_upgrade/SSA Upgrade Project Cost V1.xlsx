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xmlns:r="http://schemas.openxmlformats.org/officeDocument/2006/relationships" name="Project Scope" sheetId="1" state="visible" r:id="rId1"/>
    <sheet xmlns:r="http://schemas.openxmlformats.org/officeDocument/2006/relationships" name="Class 4 Estimate" sheetId="2" state="visible" r:id="rId2"/>
    <sheet xmlns:r="http://schemas.openxmlformats.org/officeDocument/2006/relationships" name="Reference Pricing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SSA quote from R&amp;K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sz val="10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sz val="10"/>
    </font>
    <font>
      <name val="Calibri"/>
      <i val="1"/>
      <color rgb="FF666666"/>
      <sz val="10"/>
    </font>
    <font>
      <name val="Calibri"/>
      <b val="1"/>
      <sz val="12"/>
    </font>
    <font>
      <name val="Calibri"/>
      <b val="1"/>
      <i val="1"/>
      <color rgb="FFCC0000"/>
      <sz val="10"/>
    </font>
    <font>
      <name val="Calibri"/>
      <color rgb="FF0563C1"/>
      <sz val="10"/>
      <u val="single"/>
    </font>
    <font>
      <name val="Calibri"/>
      <sz val="11"/>
    </font>
    <font>
      <name val="Calibri"/>
      <i val="1"/>
      <sz val="11"/>
    </font>
    <font>
      <name val="Calibri"/>
      <i val="1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sz val="11"/>
    </font>
    <font>
      <b val="1"/>
    </font>
    <font/>
    <font>
      <b val="1"/>
      <sz val="12"/>
    </font>
    <font>
      <b val="1"/>
      <sz val="14"/>
    </font>
    <font>
      <i val="1"/>
      <sz val="9"/>
    </font>
    <font>
      <b val="1"/>
      <sz val="11"/>
    </font>
    <font>
      <b val="1"/>
      <sz val="10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2F3"/>
        <bgColor rgb="FFD9E2F3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E6B8B7"/>
        <bgColor rgb="FFE6B8B7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6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left" indent="2"/>
    </xf>
    <xf numFmtId="0" fontId="0" fillId="0" borderId="1" applyAlignment="1" pivotButton="0" quotePrefix="0" xfId="0">
      <alignment vertical="center" wrapText="1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2" applyAlignment="1" pivotButton="0" quotePrefix="0" xfId="0">
      <alignment horizontal="center" wrapText="1"/>
    </xf>
    <xf numFmtId="0" fontId="7" fillId="3" borderId="2" pivotButton="0" quotePrefix="0" xfId="0"/>
    <xf numFmtId="0" fontId="0" fillId="0" borderId="2" pivotButton="0" quotePrefix="0" xfId="0"/>
    <xf numFmtId="0" fontId="8" fillId="4" borderId="2" pivotButton="0" quotePrefix="0" xfId="0"/>
    <xf numFmtId="0" fontId="9" fillId="0" borderId="2" pivotButton="0" quotePrefix="0" xfId="0"/>
    <xf numFmtId="0" fontId="7" fillId="5" borderId="2" pivotButton="0" quotePrefix="0" xfId="0"/>
    <xf numFmtId="0" fontId="10" fillId="6" borderId="2" pivotButton="0" quotePrefix="0" xfId="0"/>
    <xf numFmtId="0" fontId="10" fillId="0" borderId="0" pivotButton="0" quotePrefix="0" xfId="0"/>
    <xf numFmtId="0" fontId="11" fillId="0" borderId="0" pivotButton="0" quotePrefix="0" xfId="0"/>
    <xf numFmtId="0" fontId="0" fillId="3" borderId="2" pivotButton="0" quotePrefix="0" xfId="0"/>
    <xf numFmtId="0" fontId="12" fillId="0" borderId="2" pivotButton="0" quotePrefix="0" xfId="0"/>
    <xf numFmtId="0" fontId="13" fillId="0" borderId="0" pivotButton="0" quotePrefix="0" xfId="0"/>
    <xf numFmtId="0" fontId="7" fillId="0" borderId="0" pivotButton="0" quotePrefix="0" xfId="0"/>
    <xf numFmtId="0" fontId="15" fillId="0" borderId="0" pivotButton="0" quotePrefix="0" xfId="0"/>
    <xf numFmtId="0" fontId="3" fillId="6" borderId="2" pivotButton="0" quotePrefix="0" xfId="0"/>
    <xf numFmtId="0" fontId="3" fillId="5" borderId="2" pivotButton="0" quotePrefix="0" xfId="0"/>
    <xf numFmtId="0" fontId="4" fillId="0" borderId="0" pivotButton="0" quotePrefix="0" xfId="0"/>
    <xf numFmtId="0" fontId="10" fillId="0" borderId="0" pivotButton="0" quotePrefix="0" xfId="0"/>
    <xf numFmtId="0" fontId="1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7" fillId="0" borderId="0" pivotButton="0" quotePrefix="0" xfId="0"/>
    <xf numFmtId="0" fontId="1" fillId="0" borderId="0" pivotButton="0" quotePrefix="0" xfId="0"/>
    <xf numFmtId="0" fontId="17" fillId="0" borderId="0" pivotButton="0" quotePrefix="0" xfId="0"/>
    <xf numFmtId="0" fontId="14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6" fillId="0" borderId="2" pivotButton="0" quotePrefix="0" xfId="1"/>
    <xf numFmtId="0" fontId="17" fillId="3" borderId="2" pivotButton="0" quotePrefix="0" xfId="0"/>
    <xf numFmtId="0" fontId="16" fillId="0" borderId="0" pivotButton="0" quotePrefix="0" xfId="1"/>
    <xf numFmtId="0" fontId="20" fillId="0" borderId="0" pivotButton="0" quotePrefix="0" xfId="0"/>
    <xf numFmtId="0" fontId="20" fillId="5" borderId="2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1" fillId="0" borderId="0" applyAlignment="1" pivotButton="0" quotePrefix="0" xfId="0">
      <alignment vertical="top" wrapText="1"/>
    </xf>
    <xf numFmtId="0" fontId="26" fillId="7" borderId="0" pivotButton="0" quotePrefix="0" xfId="0"/>
    <xf numFmtId="0" fontId="21" fillId="0" borderId="1" pivotButton="0" quotePrefix="0" xfId="0"/>
    <xf numFmtId="0" fontId="26" fillId="0" borderId="0" pivotButton="0" quotePrefix="0" xfId="0"/>
    <xf numFmtId="0" fontId="22" fillId="8" borderId="0" pivotButton="0" quotePrefix="0" xfId="0"/>
    <xf numFmtId="0" fontId="20" fillId="3" borderId="2" pivotButton="0" quotePrefix="0" xfId="0"/>
    <xf numFmtId="0" fontId="20" fillId="4" borderId="2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hyperlink" Target="https://www.rk-microwave.com/" TargetMode="External" Id="rId1"/><Relationship Type="http://schemas.openxmlformats.org/officeDocument/2006/relationships/hyperlink" Target="https://www.birdrf.com/Products/RF-Loads.aspx" TargetMode="External" Id="rId2"/><Relationship Type="http://schemas.openxmlformats.org/officeDocument/2006/relationships/hyperlink" Target="https://www.megaind.com/products/waveguide-sizes/wr2100-waveguide/" TargetMode="External" Id="rId3"/><Relationship Type="http://schemas.openxmlformats.org/officeDocument/2006/relationships/hyperlink" Target="https://catalog.microwavetechniques.com/viewitems/by-waveguide-component-size/wr2100" TargetMode="External" Id="rId4"/><Relationship Type="http://schemas.openxmlformats.org/officeDocument/2006/relationships/hyperlink" Target="https://www.megaind.com/products/waveguide-sizes/wr2100-waveguide/" TargetMode="External" Id="rId5"/><Relationship Type="http://schemas.openxmlformats.org/officeDocument/2006/relationships/hyperlink" Target="https://www.megaind.com/products/waveguide-sizes/wr2100-waveguide/" TargetMode="External" Id="rId6"/><Relationship Type="http://schemas.openxmlformats.org/officeDocument/2006/relationships/hyperlink" Target="https://www.megaind.com/products/waveguide-sizes/wr2100-waveguide/" TargetMode="External" Id="rId7"/><Relationship Type="http://schemas.openxmlformats.org/officeDocument/2006/relationships/hyperlink" Target="https://www.megaind.com/products/waveguide-sizes/wr2100-waveguide/" TargetMode="External" Id="rId8"/><Relationship Type="http://schemas.openxmlformats.org/officeDocument/2006/relationships/hyperlink" Target="https://products.spinner-group.com/" TargetMode="External" Id="rId9"/><Relationship Type="http://schemas.openxmlformats.org/officeDocument/2006/relationships/hyperlink" Target="https://www.megaind.com/products/waveguide-sizes/wr2100-waveguide/" TargetMode="External" Id="rId10"/><Relationship Type="http://schemas.openxmlformats.org/officeDocument/2006/relationships/hyperlink" Target="https://www.unistrut.us/" TargetMode="External" Id="rId11"/><Relationship Type="http://schemas.openxmlformats.org/officeDocument/2006/relationships/hyperlink" Target="https://www.dimtel.com/products/llrf9" TargetMode="External" Id="rId12"/><Relationship Type="http://schemas.openxmlformats.org/officeDocument/2006/relationships/hyperlink" Target="https://www.dimtel.com/products/specs/llrf9_500" TargetMode="External" Id="rId13"/><Relationship Type="http://schemas.openxmlformats.org/officeDocument/2006/relationships/hyperlink" Target="https://www.rockwellautomation.com/" TargetMode="External" Id="rId14"/><Relationship Type="http://schemas.openxmlformats.org/officeDocument/2006/relationships/hyperlink" Target="https://www.rockwellautomation.com/" TargetMode="External" Id="rId15"/><Relationship Type="http://schemas.openxmlformats.org/officeDocument/2006/relationships/hyperlink" Target="https://www.rockwellautomation.com/" TargetMode="External" Id="rId16"/><Relationship Type="http://schemas.openxmlformats.org/officeDocument/2006/relationships/hyperlink" Target="https://www.rockwellautomation.com/" TargetMode="External" Id="rId17"/><Relationship Type="http://schemas.openxmlformats.org/officeDocument/2006/relationships/hyperlink" Target="https://www.rockwellautomation.com/" TargetMode="External" Id="rId18"/><Relationship Type="http://schemas.openxmlformats.org/officeDocument/2006/relationships/hyperlink" Target="https://www.rockwellautomation.com/" TargetMode="External" Id="rId19"/><Relationship Type="http://schemas.openxmlformats.org/officeDocument/2006/relationships/hyperlink" Target="https://www.rockwellautomation.com/" TargetMode="External" Id="rId20"/><Relationship Type="http://schemas.openxmlformats.org/officeDocument/2006/relationships/hyperlink" Target="https://www.galil.com/node/1486" TargetMode="External" Id="rId21"/><Relationship Type="http://schemas.openxmlformats.org/officeDocument/2006/relationships/hyperlink" Target="https://microstep-mis.com/web/products?category=radiation+&amp;product=waveguide_arc_detector" TargetMode="External" Id="rId22"/><Relationship Type="http://schemas.openxmlformats.org/officeDocument/2006/relationships/hyperlink" Target="https://microstep-mis.com/web/products?category=radiation+&amp;product=waveguide_arc_detector" TargetMode="External" Id="rId23"/><Relationship Type="http://schemas.openxmlformats.org/officeDocument/2006/relationships/hyperlink" Target="https://microstep-mis.com/" TargetMode="External" Id="rId24"/><Relationship Type="http://schemas.openxmlformats.org/officeDocument/2006/relationships/hyperlink" Target="https://www.minicircuits.com/" TargetMode="External" Id="rId25"/><Relationship Type="http://schemas.openxmlformats.org/officeDocument/2006/relationships/hyperlink" Target="https://www.minicircuits.com/" TargetMode="External" Id="rId26"/><Relationship Type="http://schemas.openxmlformats.org/officeDocument/2006/relationships/hyperlink" Target="https://www.narda-sts.com/" TargetMode="External" Id="rId27"/><Relationship Type="http://schemas.openxmlformats.org/officeDocument/2006/relationships/hyperlink" Target="https://esh.slac.stanford.edu/hazardous_activities/rf" TargetMode="External" Id="rId28"/><Relationship Type="http://schemas.openxmlformats.org/officeDocument/2006/relationships/hyperlink" Target="https://www.osha.gov/laws-regs/regulations/standardnumber/1910/1910.97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0"/>
  <sheetViews>
    <sheetView tabSelected="1" topLeftCell="A18" workbookViewId="0">
      <selection activeCell="C36" sqref="C35:C36"/>
    </sheetView>
  </sheetViews>
  <sheetFormatPr baseColWidth="8" defaultRowHeight="14.5"/>
  <cols>
    <col width="90" customWidth="1" style="30" min="1" max="1"/>
  </cols>
  <sheetData>
    <row r="1" ht="18.5" customHeight="1" s="30">
      <c r="A1" s="25" t="inlineStr">
        <is>
          <t>SPEAR3 SSA Upgrade Project - Scope Description</t>
        </is>
      </c>
    </row>
    <row r="3" ht="15.5" customHeight="1" s="30">
      <c r="A3" s="26" t="inlineStr">
        <is>
          <t>1. PROJECT OBJECTIVE</t>
        </is>
      </c>
    </row>
    <row r="4">
      <c r="A4" s="27" t="inlineStr">
        <is>
          <t>Replace the existing single 1.2 MW klystron RF source at the SPEAR3 storage ring with a distributed</t>
        </is>
      </c>
    </row>
    <row r="5">
      <c r="A5" s="28" t="inlineStr">
        <is>
          <t xml:space="preserve">solid-state amplifier (SSA) system consisting of 16 x 65 kW modules </t>
        </is>
      </c>
    </row>
    <row r="6">
      <c r="A6" s="27" t="inlineStr">
        <is>
          <t>delivering approximately 1,040 kW total RF power at 476.3 MHz to four RF cavities.</t>
        </is>
      </c>
    </row>
    <row r="7">
      <c r="A7" s="28" t="inlineStr">
        <is>
          <t>A stand alone test station to fully evaluate the performance iterating the vendor on the design</t>
        </is>
      </c>
    </row>
    <row r="9">
      <c r="A9" s="27" t="inlineStr">
        <is>
          <t>This project directly improves reliability (no single-point klystron failure), maintainability</t>
        </is>
      </c>
    </row>
    <row r="10">
      <c r="A10" s="27" t="inlineStr">
        <is>
          <t>(hot-swappable SSA modules), and operational flexibility (graceful degradation with N-1 capability).</t>
        </is>
      </c>
    </row>
    <row r="12" ht="15.5" customHeight="1" s="30">
      <c r="A12" s="26" t="inlineStr">
        <is>
          <t>2. RELATED PROJECT (LLRF Upgrade — Independent, Separate Scope)</t>
        </is>
      </c>
    </row>
    <row r="13">
      <c r="A13" s="29" t="inlineStr">
        <is>
          <t>The LLRF upgrade project (separate scope, separately funded) is underway independently.</t>
        </is>
      </c>
    </row>
    <row r="14">
      <c r="A14" s="27" t="inlineStr">
        <is>
          <t>The LLRF upgrade modernizes the controls infrastructure from legacy VXI/PLC-5/SLC-500 to:</t>
        </is>
      </c>
    </row>
    <row r="15">
      <c r="A15" s="28" t="inlineStr">
        <is>
          <t xml:space="preserve">  - Dimtel LLRF9 digital controllers (2 units, already procured)</t>
        </is>
      </c>
    </row>
    <row r="16">
      <c r="A16" s="27" t="inlineStr">
        <is>
          <t xml:space="preserve">  - Allen-Bradley CompactLogix/ControlLogix PLCs</t>
        </is>
      </c>
    </row>
    <row r="17">
      <c r="A17" s="27" t="inlineStr">
        <is>
          <t xml:space="preserve">  - EPICS-based supervisory control software</t>
        </is>
      </c>
    </row>
    <row r="18">
      <c r="A18" s="28" t="inlineStr">
        <is>
          <t xml:space="preserve">  - Few in-house chassises</t>
        </is>
      </c>
    </row>
    <row r="19">
      <c r="A19" s="28" t="inlineStr">
        <is>
          <t>The SSA upgrade leverages shared hardware where practical but is not dependent on LLRF completion.</t>
        </is>
      </c>
    </row>
    <row r="20">
      <c r="A20" t="inlineStr">
        <is>
          <t>Meanwhile, the upgrade will need extra controls and modification of the upgraded LLRF control system.</t>
        </is>
      </c>
    </row>
    <row r="22" ht="15.5" customHeight="1" s="30">
      <c r="A22" s="26" t="inlineStr">
        <is>
          <t>3. SSA PROJECT SCOPE</t>
        </is>
      </c>
    </row>
    <row r="24">
      <c r="A24" s="39" t="inlineStr">
        <is>
          <t>3a. SSA RF Source (WBS 1.0)</t>
        </is>
      </c>
    </row>
    <row r="25">
      <c r="A25" s="27" t="inlineStr">
        <is>
          <t xml:space="preserve">  - Procurement of 16 x 65 kW SSA modules + 2 hot-swap spares from R&amp;K Company</t>
        </is>
      </c>
    </row>
    <row r="26">
      <c r="A26" s="27" t="inlineStr">
        <is>
          <t xml:space="preserve">  - Design study, acceptance test protocol development, vendor collaboration</t>
        </is>
      </c>
    </row>
    <row r="27">
      <c r="A27" s="27" t="inlineStr">
        <is>
          <t xml:space="preserve">  - SSA test stand setup and commissioning at Building 122</t>
        </is>
      </c>
    </row>
    <row r="29">
      <c r="A29" s="31" t="inlineStr">
        <is>
          <t>3b. RF Distribution &amp; Combining (WBS 2.0)</t>
        </is>
      </c>
    </row>
    <row r="30">
      <c r="A30" s="27" t="inlineStr">
        <is>
          <t xml:space="preserve">  - 4 x 4:1 coaxial combiners (6-1/8" inputs to WR2100 output)</t>
        </is>
      </c>
    </row>
    <row r="31">
      <c r="A31" s="27" t="inlineStr">
        <is>
          <t xml:space="preserve">  - 4 independent WR2100 waveguide runs from SSA building to cavities</t>
        </is>
      </c>
    </row>
    <row r="32">
      <c r="A32" s="27" t="inlineStr">
        <is>
          <t xml:space="preserve">  - 4 high-power circulators (250+ kW CW @ 476 MHz)</t>
        </is>
      </c>
    </row>
    <row r="33">
      <c r="A33" s="27" t="inlineStr">
        <is>
          <t xml:space="preserve">  - RF loads, directional couplers, transitions, waveguide supports</t>
        </is>
      </c>
    </row>
    <row r="35">
      <c r="A35" s="31" t="inlineStr">
        <is>
          <t>3c. Control Electronics &amp; Protection Systems (WBS 3.0)</t>
        </is>
      </c>
    </row>
    <row r="36">
      <c r="A36" s="28" t="inlineStr">
        <is>
          <t xml:space="preserve">  - 2 more LLRF9 and  reconfiguration for SSA based High power system</t>
        </is>
      </c>
    </row>
    <row r="37">
      <c r="A37" s="27" t="inlineStr">
        <is>
          <t xml:space="preserve">  - NEW Interface Chassis design for SSA interlock topology</t>
        </is>
      </c>
    </row>
    <row r="38">
      <c r="A38" s="28" t="inlineStr">
        <is>
          <t xml:space="preserve">  - RF MPS upgrade </t>
        </is>
      </c>
    </row>
    <row r="39">
      <c r="A39" s="28" t="inlineStr">
        <is>
          <t xml:space="preserve">  - Waveform buffer system </t>
        </is>
      </c>
      <c r="B39" s="27" t="n"/>
    </row>
    <row r="40">
      <c r="A40" s="28" t="inlineStr">
        <is>
          <t xml:space="preserve">  - SSA module status monitoring (VSWR/power/temperature/fan/power supply ect)</t>
        </is>
      </c>
    </row>
    <row r="41">
      <c r="A41" s="28" t="inlineStr">
        <is>
          <t xml:space="preserve">  - PPS REDESIGN for SSA </t>
        </is>
      </c>
    </row>
    <row r="42">
      <c r="A42" s="28" t="inlineStr">
        <is>
          <t xml:space="preserve">  - NIP system (Non-Ionizing Protection) </t>
        </is>
      </c>
      <c r="B42" s="27" t="n"/>
    </row>
    <row r="44">
      <c r="A44" s="31" t="inlineStr">
        <is>
          <t>3d. Software &amp; Integration (WBS 4.0)</t>
        </is>
      </c>
    </row>
    <row r="45">
      <c r="A45" s="27" t="inlineStr">
        <is>
          <t xml:space="preserve">  - EPICS IOC development for SSA modules, NIP, PPS</t>
        </is>
      </c>
    </row>
    <row r="46">
      <c r="A46" s="27" t="inlineStr">
        <is>
          <t xml:space="preserve">  - State machine / EPICS Coordinator extension for SSA operations</t>
        </is>
      </c>
    </row>
    <row r="47">
      <c r="A47" s="27" t="inlineStr">
        <is>
          <t xml:space="preserve">  - Operator interface panels (EDM/CSS)</t>
        </is>
      </c>
    </row>
    <row r="48">
      <c r="A48" s="27" t="inlineStr">
        <is>
          <t xml:space="preserve">  - Commissioning tools and scripts</t>
        </is>
      </c>
    </row>
    <row r="49">
      <c r="A49" s="27" t="inlineStr">
        <is>
          <t xml:space="preserve">  - Documentation and operator training</t>
        </is>
      </c>
    </row>
    <row r="51">
      <c r="A51" s="31" t="inlineStr">
        <is>
          <t>3e. Installation &amp; Commissioning (WBS 5.0)</t>
        </is>
      </c>
    </row>
    <row r="52">
      <c r="A52" s="27" t="inlineStr">
        <is>
          <t xml:space="preserve">  - SSA module installation (4 stations, 4 modules each)</t>
        </is>
      </c>
    </row>
    <row r="53">
      <c r="A53" s="27" t="inlineStr">
        <is>
          <t xml:space="preserve">  - RF distribution installation (waveguide, combiners, circulators)</t>
        </is>
      </c>
    </row>
    <row r="54">
      <c r="A54" s="27" t="inlineStr">
        <is>
          <t xml:space="preserve">  - Controls and cabling installation</t>
        </is>
      </c>
    </row>
    <row r="55">
      <c r="A55" s="27" t="inlineStr">
        <is>
          <t xml:space="preserve">  - System integration testing</t>
        </is>
      </c>
    </row>
    <row r="56">
      <c r="A56" s="27" t="inlineStr">
        <is>
          <t xml:space="preserve">  - Phased commissioning (per-station turn-on)</t>
        </is>
      </c>
    </row>
    <row r="58">
      <c r="A58" s="31" t="inlineStr">
        <is>
          <t>3f. Site Preparation &amp; Removal (WBS 6.0)</t>
        </is>
      </c>
    </row>
    <row r="59">
      <c r="A59" s="27" t="inlineStr">
        <is>
          <t xml:space="preserve">  - Existing klystron and waveguide removal</t>
        </is>
      </c>
    </row>
    <row r="60">
      <c r="A60" s="27" t="inlineStr">
        <is>
          <t xml:space="preserve">  - Cable tray relocation for new waveguide routing</t>
        </is>
      </c>
    </row>
    <row r="61">
      <c r="A61" s="28" t="inlineStr">
        <is>
          <t xml:space="preserve">  - Equipment relocation (transformers, panels, cabinets)</t>
        </is>
      </c>
    </row>
    <row r="63">
      <c r="A63" s="32" t="inlineStr">
        <is>
          <t>3g. SSA test station development - support a 32 kW SSA module test (WBS 7.0)</t>
        </is>
      </c>
    </row>
    <row r="64">
      <c r="A64" t="inlineStr">
        <is>
          <t xml:space="preserve">  - Equipments: rf source, waveguide components, circulator, rf load</t>
        </is>
      </c>
    </row>
    <row r="65">
      <c r="A65" t="inlineStr">
        <is>
          <t xml:space="preserve">  - Control software</t>
        </is>
      </c>
    </row>
    <row r="66">
      <c r="A66" t="inlineStr">
        <is>
          <t xml:space="preserve">  - Infrastructure (LCW, electricity, HVAC, </t>
        </is>
      </c>
    </row>
    <row r="68">
      <c r="A68" s="33" t="inlineStr">
        <is>
          <t>3h. Infrastructure (WBS 8.0 - Included in SSA Project)</t>
        </is>
      </c>
    </row>
    <row r="69">
      <c r="A69" s="27" t="inlineStr">
        <is>
          <t xml:space="preserve">  - 480 VAC distribution system (Substation 507 upgrade, 2.5-3 MVA transformer)</t>
        </is>
      </c>
    </row>
    <row r="70">
      <c r="A70" s="28" t="inlineStr">
        <is>
          <t xml:space="preserve">  - Cooling water upgrade (~400 GPM LCW for SSA stations)</t>
        </is>
      </c>
    </row>
    <row r="71">
      <c r="A71" s="27" t="inlineStr">
        <is>
          <t xml:space="preserve">  - Building extension and mezzanine (~636 + 300 sqft, two-story)</t>
        </is>
      </c>
    </row>
    <row r="72">
      <c r="A72" s="27" t="n"/>
    </row>
    <row r="73">
      <c r="A73" s="32" t="inlineStr">
        <is>
          <t>3i. Decommissioning — Existing RF Station (WBS 9.0)</t>
        </is>
      </c>
    </row>
    <row r="74">
      <c r="A74" t="inlineStr">
        <is>
          <t xml:space="preserve">  - Klystron system removal (Marconi K3512S, 1.2 MW CW,  with solenoid,)</t>
        </is>
      </c>
    </row>
    <row r="75">
      <c r="A75" t="inlineStr">
        <is>
          <t xml:space="preserve">  - HVPS removal (2.5 MVA: SCR rectifier, oil-insulated 12.47 kV transformer, crowbar circuit)</t>
        </is>
      </c>
    </row>
    <row r="76">
      <c r="A76" t="inlineStr">
        <is>
          <t xml:space="preserve">  - Waveguide network removal (WR2100 from klystron to tunnel, magic tee 4-way splitter on roof)</t>
        </is>
      </c>
    </row>
    <row r="77">
      <c r="A77" t="inlineStr">
        <is>
          <t xml:space="preserve">  - Circulator and RF loads removal, HCW cooling system drain/flush</t>
        </is>
      </c>
    </row>
    <row r="78">
      <c r="A78" t="inlineStr">
        <is>
          <t xml:space="preserve">  - Lead shielding removal and hazardous waste abatement (EPA/RCRA classified)</t>
        </is>
      </c>
    </row>
    <row r="79">
      <c r="A79" s="27" t="n"/>
    </row>
    <row r="80">
      <c r="A80" s="33" t="inlineStr">
        <is>
          <t>3j. Project Management (WBS 10.0)</t>
        </is>
      </c>
    </row>
    <row r="81">
      <c r="A81" s="27" t="inlineStr">
        <is>
          <t xml:space="preserve">  - Technical program management (~0.5 FTE/yr over ~5-year project)</t>
        </is>
      </c>
    </row>
    <row r="82">
      <c r="A82" s="27" t="inlineStr">
        <is>
          <t xml:space="preserve">  - Safety reviews and PPS/NIP coordination with SLAC AD Safety Division</t>
        </is>
      </c>
    </row>
    <row r="83">
      <c r="A83" s="28" t="inlineStr">
        <is>
          <t xml:space="preserve">  - Project management office support (~0.5 FTE/yr over ~ 5 year project)</t>
        </is>
      </c>
    </row>
    <row r="84">
      <c r="A84" s="34" t="n"/>
    </row>
    <row r="85" ht="15.5" customHeight="1" s="30">
      <c r="A85" s="35" t="inlineStr">
        <is>
          <t>4. KEY TECHNICAL PARAMETERS</t>
        </is>
      </c>
    </row>
    <row r="86">
      <c r="A86" s="27" t="inlineStr">
        <is>
          <t xml:space="preserve">  - Operating frequency: 476.3 MHz</t>
        </is>
      </c>
      <c r="E86" s="31" t="n"/>
    </row>
    <row r="87">
      <c r="A87" s="27" t="inlineStr">
        <is>
          <t xml:space="preserve">  - Total RF power: 16 x 65 kW = 1,040 kW</t>
        </is>
      </c>
      <c r="E87" s="27" t="n"/>
    </row>
    <row r="88">
      <c r="A88" s="27" t="inlineStr">
        <is>
          <t xml:space="preserve">  - RF cavities: 4 (SPEAR3 storage ring)</t>
        </is>
      </c>
      <c r="E88" s="27" t="n"/>
    </row>
    <row r="89">
      <c r="A89" s="28" t="inlineStr">
        <is>
          <t xml:space="preserve">  - SSA per cavity: 4 modules combined via 4:1 combiner</t>
        </is>
      </c>
      <c r="E89" s="27" t="n"/>
    </row>
    <row r="90">
      <c r="A90" s="27" t="inlineStr">
        <is>
          <t xml:space="preserve">  - Waveguide: WR2100 (lambda_g = 80.4 cm at 476.3 MHz)</t>
        </is>
      </c>
      <c r="E90" s="27" t="n"/>
    </row>
    <row r="91">
      <c r="A91" s="27" t="inlineStr">
        <is>
          <t xml:space="preserve">  - Cooling: LCW, 400 GPM total (~100 GPM/station, deltaT ~10K)</t>
        </is>
      </c>
    </row>
    <row r="92">
      <c r="A92" s="28" t="inlineStr">
        <is>
          <t xml:space="preserve">  - SSA building: two-story, ~936 sqft total, 27 ft height, 12 ft clear under platform</t>
        </is>
      </c>
    </row>
    <row r="94" ht="15.5" customHeight="1" s="30">
      <c r="A94" s="35" t="inlineStr">
        <is>
          <t>5. PROJECT TIMELINE (ESTIMATED)</t>
        </is>
      </c>
    </row>
    <row r="95">
      <c r="A95" s="36" t="inlineStr">
        <is>
          <t xml:space="preserve">  - Overall: ~5 years, completion ~2032-2033</t>
        </is>
      </c>
    </row>
    <row r="96">
      <c r="A96" s="27" t="inlineStr">
        <is>
          <t xml:space="preserve">  - Strongly dependent on Substation 507 upgrade schedule</t>
        </is>
      </c>
    </row>
    <row r="97">
      <c r="A97" s="28" t="inlineStr">
        <is>
          <t xml:space="preserve">  - Facility support on LCW</t>
        </is>
      </c>
    </row>
    <row r="98">
      <c r="A98" s="27" t="inlineStr">
        <is>
          <t xml:space="preserve">  - Facility design/construction constrained by engineering resources</t>
        </is>
      </c>
    </row>
    <row r="99">
      <c r="A99" s="36" t="inlineStr">
        <is>
          <t xml:space="preserve">  - Vendor manufacturability</t>
        </is>
      </c>
    </row>
    <row r="100">
      <c r="A100" s="36" t="inlineStr">
        <is>
          <t xml:space="preserve">  - Integration testing limited to SPEAR summer shutdown windows (~8 weeks)</t>
        </is>
      </c>
    </row>
  </sheetData>
  <hyperlinks>
    <hyperlink ref="A24" location="'Class 4 Estimate'!A7" display="3a. SSA RF Source (WBS 1.0)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0" sqref="A10:XFD11"/>
    </sheetView>
  </sheetViews>
  <sheetFormatPr baseColWidth="8" defaultRowHeight="14.5"/>
  <cols>
    <col width="8" customWidth="1" style="30" min="1" max="1"/>
    <col width="55" customWidth="1" style="30" min="2" max="2"/>
    <col width="12" customWidth="1" style="30" min="3" max="7"/>
    <col width="60" customWidth="1" style="30" min="8" max="8"/>
  </cols>
  <sheetData>
    <row r="1" ht="18.5" customHeight="1" s="30">
      <c r="A1" s="25" t="inlineStr">
        <is>
          <t>SPEAR3 SSA Upgrade Project - Class 4 Cost Estimate (AACE 18R-97)</t>
        </is>
      </c>
    </row>
    <row r="2">
      <c r="A2" s="8" t="inlineStr">
        <is>
          <t>Design Maturity: 5-15% | Labor: $200/hr burdened | 1 FTE=1,740 hrs/yr | All costs in k$ | Base year: FY2026 | Timeline: ~5 years</t>
        </is>
      </c>
    </row>
    <row r="3">
      <c r="A3" s="17" t="inlineStr">
        <is>
          <t>NOTE: This estimate covers SSA upgrade scope including test station, infrastructure, decommissioning, and project management (WBS 1-10). The LLRF upgrade is a separate, independent project.</t>
        </is>
      </c>
    </row>
    <row r="5">
      <c r="A5" s="9" t="inlineStr">
        <is>
          <t>WBS</t>
        </is>
      </c>
      <c r="B5" s="9" t="inlineStr">
        <is>
          <t>Description</t>
        </is>
      </c>
      <c r="C5" s="9" t="inlineStr">
        <is>
          <t>M&amp;S (k$)</t>
        </is>
      </c>
      <c r="D5" s="9" t="inlineStr">
        <is>
          <t>Labor (FTE)</t>
        </is>
      </c>
      <c r="E5" s="9" t="inlineStr">
        <is>
          <t>Labor (k$)</t>
        </is>
      </c>
      <c r="F5" s="9" t="inlineStr">
        <is>
          <t>Total (k$)</t>
        </is>
      </c>
      <c r="G5" s="9" t="inlineStr">
        <is>
          <t>Conf.</t>
        </is>
      </c>
      <c r="H5" s="9" t="inlineStr">
        <is>
          <t>Basis of Estimate / Notes</t>
        </is>
      </c>
    </row>
    <row r="7">
      <c r="A7" s="10" t="inlineStr">
        <is>
          <t>1.0</t>
        </is>
      </c>
      <c r="B7" s="38" t="inlineStr">
        <is>
          <t>SSA RF SOURCE</t>
        </is>
      </c>
      <c r="C7" s="10" t="n"/>
      <c r="D7" s="10" t="n"/>
      <c r="E7" s="10" t="n"/>
      <c r="F7" s="10" t="n"/>
      <c r="G7" s="10" t="n"/>
      <c r="H7" s="10" t="n"/>
    </row>
    <row r="8">
      <c r="A8" s="11" t="inlineStr">
        <is>
          <t>1.1</t>
        </is>
      </c>
      <c r="B8" s="11" t="inlineStr">
        <is>
          <t>SSA Modules (16 x 65 kW)</t>
        </is>
      </c>
      <c r="C8" s="11">
        <f>'SSA quote from R&amp;K'!C7</f>
        <v/>
      </c>
      <c r="D8" s="11" t="n"/>
      <c r="E8" s="11" t="n"/>
      <c r="F8" s="11" t="n">
        <v>4985.6</v>
      </c>
      <c r="G8" s="11" t="inlineStr">
        <is>
          <t>H</t>
        </is>
      </c>
      <c r="H8" s="37" t="inlineStr">
        <is>
          <t>R&amp;K quote July 2025: $311,600/unit x 16. 476.3 MHz CW.</t>
        </is>
      </c>
    </row>
    <row r="9">
      <c r="A9" s="11" t="inlineStr">
        <is>
          <t>1.2</t>
        </is>
      </c>
      <c r="B9" s="11" t="inlineStr">
        <is>
          <t>SSA Spare Modules (2 hot-swap)</t>
        </is>
      </c>
      <c r="C9" s="11">
        <f>'SSA quote from R&amp;K'!C5</f>
        <v/>
      </c>
      <c r="D9" s="11" t="n"/>
      <c r="E9" s="11" t="n"/>
      <c r="F9" s="11" t="n">
        <v>623.2</v>
      </c>
      <c r="G9" s="11" t="inlineStr">
        <is>
          <t>H</t>
        </is>
      </c>
      <c r="H9" s="11" t="inlineStr">
        <is>
          <t>2 spares @ $311,600 each. Industry practice for 16-module system. Enables rapid replacement without waiting for vendor lead time.</t>
        </is>
      </c>
    </row>
    <row r="10">
      <c r="A10" s="11" t="inlineStr">
        <is>
          <t>1.3</t>
        </is>
      </c>
      <c r="B10" s="11" t="inlineStr">
        <is>
          <t>SSA Design Study &amp; Prototype Test</t>
        </is>
      </c>
      <c r="C10" s="11" t="n"/>
      <c r="D10" s="11" t="n">
        <v>1</v>
      </c>
      <c r="E10" s="11" t="n">
        <v>348</v>
      </c>
      <c r="F10" s="11" t="n">
        <v>348</v>
      </c>
      <c r="G10" s="11" t="inlineStr">
        <is>
          <t>M</t>
        </is>
      </c>
      <c r="H10" s="11" t="inlineStr">
        <is>
          <t>0.5 FTE prototype design/acceptance protocol + 0.5 FTE vendor collaboration &amp; test iteration.</t>
        </is>
      </c>
    </row>
    <row r="11">
      <c r="A11" s="11" t="inlineStr">
        <is>
          <t>1.4</t>
        </is>
      </c>
      <c r="B11" s="11" t="inlineStr">
        <is>
          <t>SSA Test Stand (Bldg 122)</t>
        </is>
      </c>
      <c r="C11" s="11" t="n">
        <v>75</v>
      </c>
      <c r="D11" s="11" t="n">
        <v>0.5</v>
      </c>
      <c r="E11" s="11" t="n">
        <v>174</v>
      </c>
      <c r="F11" s="11" t="n">
        <v>249</v>
      </c>
      <c r="G11" s="11" t="inlineStr">
        <is>
          <t>M</t>
        </is>
      </c>
      <c r="H11" s="11" t="inlineStr">
        <is>
          <t>RF load (50 kW CW), power measurement, 480V service, LCW (~15 GPM). Existing Bldg 122 LCW connection usable (per 3/10 mtg).</t>
        </is>
      </c>
    </row>
    <row r="12">
      <c r="A12" s="12" t="n"/>
      <c r="B12" s="12" t="inlineStr">
        <is>
          <t>Subtotal WBS 1.0</t>
        </is>
      </c>
      <c r="C12" s="12">
        <f>SUM(C8:C11)</f>
        <v/>
      </c>
      <c r="D12" s="12" t="n"/>
      <c r="E12" s="12">
        <f>SUM(E8:E11)</f>
        <v/>
      </c>
      <c r="F12" s="12">
        <f>SUM(F8:F11)</f>
        <v/>
      </c>
      <c r="G12" s="12" t="n"/>
      <c r="H12" s="12" t="n"/>
    </row>
    <row r="14">
      <c r="A14" s="10" t="inlineStr">
        <is>
          <t>2.0</t>
        </is>
      </c>
      <c r="B14" s="10" t="inlineStr">
        <is>
          <t>RF DISTRIBUTION &amp; COMBINING</t>
        </is>
      </c>
      <c r="C14" s="10" t="n"/>
      <c r="D14" s="10" t="n"/>
      <c r="E14" s="10" t="n"/>
      <c r="F14" s="10" t="n"/>
      <c r="G14" s="10" t="n"/>
      <c r="H14" s="10" t="n"/>
    </row>
    <row r="15">
      <c r="A15" s="11" t="inlineStr">
        <is>
          <t>2.1</t>
        </is>
      </c>
      <c r="B15" s="11" t="inlineStr">
        <is>
          <t>6-1/8" Coaxial Combiners (4 x 4:1)</t>
        </is>
      </c>
      <c r="C15" s="11" t="n">
        <v>160</v>
      </c>
      <c r="D15" s="11" t="n">
        <v>0.25</v>
      </c>
      <c r="E15" s="11" t="n">
        <v>87</v>
      </c>
      <c r="F15" s="11" t="n">
        <v>247</v>
      </c>
      <c r="G15" s="11" t="inlineStr">
        <is>
          <t>M</t>
        </is>
      </c>
      <c r="H15" s="11" t="inlineStr">
        <is>
          <t>4 combiners, each combining 4 SSA outputs (6-1/8" coax) into WR2100. ~$40k each. See Ref Pricing tab for vendor links.</t>
        </is>
      </c>
    </row>
    <row r="16">
      <c r="A16" s="11" t="inlineStr">
        <is>
          <t>2.2</t>
        </is>
      </c>
      <c r="B16" s="11" t="inlineStr">
        <is>
          <t>WR2100 Waveguide Runs (4 independent)</t>
        </is>
      </c>
      <c r="C16" s="11" t="n">
        <v>300</v>
      </c>
      <c r="D16" s="11" t="n">
        <v>0.5</v>
      </c>
      <c r="E16" s="11" t="n">
        <v>174</v>
      </c>
      <c r="F16" s="11" t="n">
        <v>474</v>
      </c>
      <c r="G16" s="11" t="inlineStr">
        <is>
          <t>M</t>
        </is>
      </c>
      <c r="H16" s="11" t="inlineStr">
        <is>
          <t>4 runs from SSA bldg to 4 cavities. Straights, bends, flex sections. ~10 lb/ft, hangers every 8 ft. Lambda_g=80.4 cm. Mega Industries/Space Machine vendors.</t>
        </is>
      </c>
    </row>
    <row r="17">
      <c r="A17" s="11" t="inlineStr">
        <is>
          <t>2.3</t>
        </is>
      </c>
      <c r="B17" s="11" t="inlineStr">
        <is>
          <t>Circulators (4 x 250+ kW @ 476 MHz)</t>
        </is>
      </c>
      <c r="C17" s="11" t="n">
        <v>400</v>
      </c>
      <c r="D17" s="11" t="n">
        <v>0.15</v>
      </c>
      <c r="E17" s="11" t="n">
        <v>52.2</v>
      </c>
      <c r="F17" s="11" t="n">
        <v>452.2</v>
      </c>
      <c r="G17" s="11" t="inlineStr">
        <is>
          <t>L</t>
        </is>
      </c>
      <c r="H17" s="11" t="inlineStr">
        <is>
          <t>4 ferrite circulators. $80-120k each NEW (AFT Microwave, Mega Industries). PEP-II 1.5 MW units available (per 2/24 mtg) - if reusable, saves ~$400k.</t>
        </is>
      </c>
    </row>
    <row r="18">
      <c r="A18" s="11" t="inlineStr">
        <is>
          <t>2.4</t>
        </is>
      </c>
      <c r="B18" s="11" t="inlineStr">
        <is>
          <t>RF Loads (circulator loads, terminations)</t>
        </is>
      </c>
      <c r="C18" s="11" t="n">
        <v>80</v>
      </c>
      <c r="D18" s="11" t="n"/>
      <c r="E18" s="11" t="n"/>
      <c r="F18" s="11" t="n">
        <v>80</v>
      </c>
      <c r="G18" s="11" t="inlineStr">
        <is>
          <t>M</t>
        </is>
      </c>
      <c r="H18" s="11" t="inlineStr">
        <is>
          <t>4 water-cooled circulator loads (~250 kW each), waveguide terminations. HCW-cooled (separate from SSA LCW per 3/10 mtg).</t>
        </is>
      </c>
    </row>
    <row r="19">
      <c r="A19" s="11" t="inlineStr">
        <is>
          <t>2.5</t>
        </is>
      </c>
      <c r="B19" s="11" t="inlineStr">
        <is>
          <t>Directional Couplers &amp; Transitions</t>
        </is>
      </c>
      <c r="C19" s="11" t="n">
        <v>60</v>
      </c>
      <c r="D19" s="11" t="n"/>
      <c r="E19" s="11" t="n"/>
      <c r="F19" s="11" t="n">
        <v>60</v>
      </c>
      <c r="G19" s="11" t="inlineStr">
        <is>
          <t>M</t>
        </is>
      </c>
      <c r="H19" s="11" t="inlineStr">
        <is>
          <t>Directional couplers at combined outputs (4), WR2100-to-coax transitions, phase trimmers for combining efficiency. See Ref Pricing tab.</t>
        </is>
      </c>
    </row>
    <row r="20">
      <c r="A20" s="11" t="inlineStr">
        <is>
          <t>2.6</t>
        </is>
      </c>
      <c r="B20" s="11" t="inlineStr">
        <is>
          <t>Waveguide Supports, Hangers, Hardware</t>
        </is>
      </c>
      <c r="C20" s="11" t="n">
        <v>50</v>
      </c>
      <c r="D20" s="11" t="n">
        <v>0.25</v>
      </c>
      <c r="E20" s="11" t="n">
        <v>87</v>
      </c>
      <c r="F20" s="11" t="n">
        <v>137</v>
      </c>
      <c r="G20" s="11" t="inlineStr">
        <is>
          <t>M</t>
        </is>
      </c>
      <c r="H20" s="11" t="inlineStr">
        <is>
          <t>Unistrut, beam clamps, hangers every 8 ft. Some supports from platform structure above (per 3/10 mtg).</t>
        </is>
      </c>
    </row>
    <row r="21">
      <c r="A21" s="12" t="n"/>
      <c r="B21" s="12" t="inlineStr">
        <is>
          <t>Subtotal WBS 2.0</t>
        </is>
      </c>
      <c r="C21" s="12">
        <f>SUM(C15:C20)</f>
        <v/>
      </c>
      <c r="D21" s="12" t="n"/>
      <c r="E21" s="12">
        <f>SUM(E15:E20)</f>
        <v/>
      </c>
      <c r="F21" s="12">
        <f>SUM(F15:F20)</f>
        <v/>
      </c>
      <c r="G21" s="12" t="n"/>
      <c r="H21" s="12" t="n"/>
    </row>
    <row r="23">
      <c r="A23" s="10" t="inlineStr">
        <is>
          <t>3.0</t>
        </is>
      </c>
      <c r="B23" s="10" t="inlineStr">
        <is>
          <t>CONTROL ELECTRONICS &amp; PROTECTION SYSTEMS</t>
        </is>
      </c>
      <c r="C23" s="10" t="n"/>
      <c r="D23" s="10" t="n"/>
      <c r="E23" s="10" t="n"/>
      <c r="F23" s="10" t="n"/>
      <c r="G23" s="10" t="n"/>
      <c r="H23" s="10" t="n"/>
    </row>
    <row r="24">
      <c r="A24" s="11" t="inlineStr">
        <is>
          <t>3.1</t>
        </is>
      </c>
      <c r="B24" s="11" t="inlineStr">
        <is>
          <t>2 Additional LLRF9 Units + SSA Reconfiguration</t>
        </is>
      </c>
      <c r="C24" s="11" t="n">
        <v>199</v>
      </c>
      <c r="D24" s="11" t="n">
        <v>0.5</v>
      </c>
      <c r="E24" s="11" t="n">
        <v>174</v>
      </c>
      <c r="F24" s="11" t="n">
        <v>373</v>
      </c>
      <c r="G24" s="11" t="inlineStr">
        <is>
          <t>M</t>
        </is>
      </c>
      <c r="H24" s="11" t="inlineStr">
        <is>
          <t>2 more Dimtel LLRF9/500 units for SSA (2 already procured under LLRF upgrade). $99.45k each (15% vol discount). 0.5 FTE for SSA-specific vector sum reconfiguration, 4-module combining control, and EPICS IOC integration.</t>
        </is>
      </c>
    </row>
    <row r="25">
      <c r="A25" s="11" t="inlineStr">
        <is>
          <t>3.2</t>
        </is>
      </c>
      <c r="B25" s="11" t="inlineStr">
        <is>
          <t>Interface Chassis (NEW for SSA topology)</t>
        </is>
      </c>
      <c r="C25" s="11" t="n">
        <v>30</v>
      </c>
      <c r="D25" s="11" t="n">
        <v>1</v>
      </c>
      <c r="E25" s="11" t="n">
        <v>348</v>
      </c>
      <c r="F25" s="11" t="n">
        <v>378</v>
      </c>
      <c r="G25" s="11" t="inlineStr">
        <is>
          <t>M</t>
        </is>
      </c>
      <c r="H25" s="11" t="inlineStr">
        <is>
          <t>New design required: SSA topology fundamentally different from klystron. Per-station permit logic, 16-module status aggregation, SSA-specific interlock sequencing. PCB design + fab + chassis. CRITICAL PATH.</t>
        </is>
      </c>
    </row>
    <row r="26">
      <c r="A26" s="11" t="inlineStr">
        <is>
          <t>3.3</t>
        </is>
      </c>
      <c r="B26" s="11" t="inlineStr">
        <is>
          <t>RF MPS Upgrade (SSA topology)</t>
        </is>
      </c>
      <c r="C26" s="11" t="n">
        <v>35</v>
      </c>
      <c r="D26" s="11" t="n">
        <v>0.75</v>
      </c>
      <c r="E26" s="11" t="n">
        <v>261</v>
      </c>
      <c r="F26" s="11" t="n">
        <v>296</v>
      </c>
      <c r="G26" s="11" t="inlineStr">
        <is>
          <t>M</t>
        </is>
      </c>
      <c r="H26" s="11" t="inlineStr">
        <is>
          <t>Upgrade ControlLogix MPS for 16-module fault detection: individual module trip/bypass, graceful degradation (N-1 operation), new I/O cards for expanded inputs. AB PLC ~$22k + $13k additional I/O modules.</t>
        </is>
      </c>
    </row>
    <row r="27">
      <c r="A27" s="11" t="inlineStr">
        <is>
          <t>3.4</t>
        </is>
      </c>
      <c r="B27" s="11" t="inlineStr">
        <is>
          <t>Arc Detection System (carried over)</t>
        </is>
      </c>
      <c r="C27" s="11" t="n">
        <v>20</v>
      </c>
      <c r="D27" s="11" t="n">
        <v>0.3</v>
      </c>
      <c r="E27" s="11" t="n">
        <v>104.4</v>
      </c>
      <c r="F27" s="11" t="n">
        <v>124.4</v>
      </c>
      <c r="G27" s="11" t="inlineStr">
        <is>
          <t>H</t>
        </is>
      </c>
      <c r="H27" s="11" t="inlineStr">
        <is>
          <t>Microstep-MIS: sensors 470EUR x10, receivers 635EUR x6, cables, adapters. Same scope as LLRF upgrade. Per TaskListRev3 quote (Erik Bystricky Nov 2024). No change for SSA.</t>
        </is>
      </c>
    </row>
    <row r="28">
      <c r="A28" s="11" t="inlineStr">
        <is>
          <t>3.5</t>
        </is>
      </c>
      <c r="B28" s="11" t="inlineStr">
        <is>
          <t>Waveform Buffer System (reuse from LLRF)</t>
        </is>
      </c>
      <c r="C28" s="11" t="n">
        <v>5</v>
      </c>
      <c r="D28" s="11" t="n">
        <v>0.15</v>
      </c>
      <c r="E28" s="11" t="n">
        <v>52.2</v>
      </c>
      <c r="F28" s="11" t="n">
        <v>57.2</v>
      </c>
      <c r="G28" s="11" t="inlineStr">
        <is>
          <t>H</t>
        </is>
      </c>
      <c r="H28" s="11" t="inlineStr">
        <is>
          <t>Waveform buffer system. Minimal SSA adaptation: reconfigure channel assignments for SSA monitoring points. M&amp;S for additional ADC channels if needed.</t>
        </is>
      </c>
    </row>
    <row r="29">
      <c r="A29" s="11" t="inlineStr">
        <is>
          <t>3.6</t>
        </is>
      </c>
      <c r="B29" s="11" t="inlineStr">
        <is>
          <t>SSA Module Status Monitoring (16+ channels)</t>
        </is>
      </c>
      <c r="C29" s="11" t="n">
        <v>15</v>
      </c>
      <c r="D29" s="11" t="n">
        <v>0.25</v>
      </c>
      <c r="E29" s="11" t="n">
        <v>87</v>
      </c>
      <c r="F29" s="11" t="n">
        <v>102</v>
      </c>
      <c r="G29" s="11" t="inlineStr">
        <is>
          <t>M</t>
        </is>
      </c>
      <c r="H29" s="11" t="inlineStr">
        <is>
          <t>Upgrade or rebuild to include many more SSA RF channels. Per-module monitoring: VSWR, output power, temperature, fan status, power supply status x16 modules. Ethernet/serial polling + analog signal conditioning.</t>
        </is>
      </c>
    </row>
    <row r="30">
      <c r="A30" s="11" t="inlineStr">
        <is>
          <t>3.7</t>
        </is>
      </c>
      <c r="B30" s="11" t="inlineStr">
        <is>
          <t>Tuner Motor Controllers (carried over)</t>
        </is>
      </c>
      <c r="C30" s="11" t="n">
        <v>5</v>
      </c>
      <c r="D30" s="11" t="n">
        <v>0.1</v>
      </c>
      <c r="E30" s="11" t="n">
        <v>34.8</v>
      </c>
      <c r="F30" s="11" t="n">
        <v>39.8</v>
      </c>
      <c r="G30" s="11" t="inlineStr">
        <is>
          <t>H</t>
        </is>
      </c>
      <c r="H30" s="11" t="inlineStr">
        <is>
          <t>Galil DMC-4143 controllers installed during LLRF upgrade. Cavity-side hardware, independent of RF source type. Minimal reconfiguration for SSA. $5k for spare parts/cables.</t>
        </is>
      </c>
    </row>
    <row r="31">
      <c r="A31" s="11" t="inlineStr">
        <is>
          <t>3.8</t>
        </is>
      </c>
      <c r="B31" s="11" t="inlineStr">
        <is>
          <t>PPS Redesign for SSA</t>
        </is>
      </c>
      <c r="C31" s="11" t="n">
        <v>15</v>
      </c>
      <c r="D31" s="11" t="n">
        <v>0.75</v>
      </c>
      <c r="E31" s="11" t="n">
        <v>261</v>
      </c>
      <c r="F31" s="11" t="n">
        <v>276</v>
      </c>
      <c r="G31" s="11" t="inlineStr">
        <is>
          <t>M</t>
        </is>
      </c>
      <c r="H31" s="11" t="inlineStr">
        <is>
          <t>Redesign required: HVPS contactor/grounding switch eliminated. New SSA PPS chain: 16x 480V SSA power permits, building access interlocks, emergency stop integration. Requires SLAC AD Safety Division review, RSWCF, formal change control.</t>
        </is>
      </c>
    </row>
    <row r="32">
      <c r="A32" s="11" t="inlineStr">
        <is>
          <t>3.9</t>
        </is>
      </c>
      <c r="B32" s="11" t="inlineStr">
        <is>
          <t>NIP System (Non-Ionizing Protection)</t>
        </is>
      </c>
      <c r="C32" s="11" t="n">
        <v>60</v>
      </c>
      <c r="D32" s="11" t="n">
        <v>0.75</v>
      </c>
      <c r="E32" s="11" t="n">
        <v>261</v>
      </c>
      <c r="F32" s="11" t="n">
        <v>321</v>
      </c>
      <c r="G32" s="11" t="inlineStr">
        <is>
          <t>L</t>
        </is>
      </c>
      <c r="H32" s="11" t="inlineStr">
        <is>
          <t>NEW: Required per SLAC ESH Ch.50 for 1,040 kW RF in new SSA building. RF field monitors/sensors ($15-25k), door interlocks ($10-15k), warning beacons/signage ($5k), interlock controller ($10-15k). 0.75 FTE: hazard analysis, RFSP development, safety review, documentation.</t>
        </is>
      </c>
    </row>
    <row r="33">
      <c r="A33" s="11" t="inlineStr">
        <is>
          <t>3.10</t>
        </is>
      </c>
      <c r="B33" s="11" t="inlineStr">
        <is>
          <t>Cables, Connectors, Integration Materials</t>
        </is>
      </c>
      <c r="C33" s="11" t="n">
        <v>50</v>
      </c>
      <c r="D33" s="11" t="n"/>
      <c r="E33" s="11" t="n"/>
      <c r="F33" s="11" t="n">
        <v>50</v>
      </c>
      <c r="G33" s="11" t="inlineStr">
        <is>
          <t>M</t>
        </is>
      </c>
      <c r="H33" s="11" t="inlineStr">
        <is>
          <t>RF cables (SMA, Type-N), fiber optic links, LEMO interlock cables, Ethernet, 480V power cables to SSAs, rack hardware, PDUs. Higher than LLRF upgrade due to 16 distributed modules.</t>
        </is>
      </c>
    </row>
    <row r="34">
      <c r="A34" s="12" t="n"/>
      <c r="B34" s="12" t="inlineStr">
        <is>
          <t>Subtotal WBS 3.0</t>
        </is>
      </c>
      <c r="C34" s="12">
        <f>SUM(C24:C33)</f>
        <v/>
      </c>
      <c r="D34" s="12" t="n"/>
      <c r="E34" s="12">
        <f>SUM(E24:E33)</f>
        <v/>
      </c>
      <c r="F34" s="12">
        <f>SUM(F24:F33)</f>
        <v/>
      </c>
      <c r="G34" s="12" t="n"/>
      <c r="H34" s="12" t="n"/>
    </row>
    <row r="36">
      <c r="A36" s="10" t="inlineStr">
        <is>
          <t>4.0</t>
        </is>
      </c>
      <c r="B36" s="10" t="inlineStr">
        <is>
          <t>SOFTWARE &amp; INTEGRATION</t>
        </is>
      </c>
      <c r="C36" s="10" t="n"/>
      <c r="D36" s="10" t="n"/>
      <c r="E36" s="10" t="n"/>
      <c r="F36" s="10" t="n"/>
      <c r="G36" s="10" t="n"/>
      <c r="H36" s="10" t="n"/>
    </row>
    <row r="37">
      <c r="A37" s="11" t="inlineStr">
        <is>
          <t>4.1</t>
        </is>
      </c>
      <c r="B37" s="11" t="inlineStr">
        <is>
          <t>EPICS IOC Development (SSA-specific)</t>
        </is>
      </c>
      <c r="C37" s="11" t="n">
        <v>10</v>
      </c>
      <c r="D37" s="11" t="n">
        <v>0.75</v>
      </c>
      <c r="E37" s="11" t="n">
        <v>261</v>
      </c>
      <c r="F37" s="11" t="n">
        <v>271</v>
      </c>
      <c r="G37" s="11" t="inlineStr">
        <is>
          <t>M</t>
        </is>
      </c>
      <c r="H37" s="11" t="inlineStr">
        <is>
          <t>SSA module IOCs (ASYN/StreamDevice for R&amp;K Ethernet/serial), NIP system IOC, PPS status IOC. LLRF9 IOC carries over from LLRF upgrade. SSA-specific customization.</t>
        </is>
      </c>
    </row>
    <row r="38">
      <c r="A38" s="11" t="inlineStr">
        <is>
          <t>4.2</t>
        </is>
      </c>
      <c r="B38" s="11" t="inlineStr">
        <is>
          <t>State Machine / EPICS Coordinator (SSA)</t>
        </is>
      </c>
      <c r="C38" s="11" t="n"/>
      <c r="D38" s="11" t="n">
        <v>1</v>
      </c>
      <c r="E38" s="11" t="n">
        <v>348</v>
      </c>
      <c r="F38" s="11" t="n">
        <v>348</v>
      </c>
      <c r="G38" s="11" t="inlineStr">
        <is>
          <t>M</t>
        </is>
      </c>
      <c r="H38" s="11" t="inlineStr">
        <is>
          <t>Extend LLRF coordinator for SSA: module startup/shutdown sequencing, hot-swap logic, graceful degradation (N-1 mode), per-station state machine. CRITICAL: largest untouched software scope.</t>
        </is>
      </c>
    </row>
    <row r="39">
      <c r="A39" s="11" t="inlineStr">
        <is>
          <t>4.3</t>
        </is>
      </c>
      <c r="B39" s="11" t="inlineStr">
        <is>
          <t>Operator Interface (EDM/CSS Panels)</t>
        </is>
      </c>
      <c r="C39" s="11" t="n"/>
      <c r="D39" s="11" t="n">
        <v>0.25</v>
      </c>
      <c r="E39" s="11" t="n">
        <v>87</v>
      </c>
      <c r="F39" s="11" t="n">
        <v>87</v>
      </c>
      <c r="G39" s="11" t="inlineStr">
        <is>
          <t>M</t>
        </is>
      </c>
      <c r="H39" s="11" t="inlineStr">
        <is>
          <t>New displays: per-module SSA status, combining efficiency, NIP status, 16-channel fault tree. Extend existing panels from LLRF upgrade.</t>
        </is>
      </c>
    </row>
    <row r="40">
      <c r="A40" s="11" t="inlineStr">
        <is>
          <t>4.4</t>
        </is>
      </c>
      <c r="B40" s="11" t="inlineStr">
        <is>
          <t>Commissioning Tools &amp; Scripts</t>
        </is>
      </c>
      <c r="C40" s="11" t="n">
        <v>5</v>
      </c>
      <c r="D40" s="11" t="n">
        <v>0.25</v>
      </c>
      <c r="E40" s="11" t="n">
        <v>87</v>
      </c>
      <c r="F40" s="11" t="n">
        <v>92</v>
      </c>
      <c r="G40" s="11" t="inlineStr">
        <is>
          <t>M</t>
        </is>
      </c>
      <c r="H40" s="11" t="inlineStr">
        <is>
          <t>SSA phase calibration, combiner efficiency optimization, module acceptance test scripts, fault injection testing.</t>
        </is>
      </c>
    </row>
    <row r="41">
      <c r="A41" s="11" t="inlineStr">
        <is>
          <t>4.5</t>
        </is>
      </c>
      <c r="B41" s="11" t="inlineStr">
        <is>
          <t>Documentation &amp; Training</t>
        </is>
      </c>
      <c r="C41" s="11" t="n"/>
      <c r="D41" s="11" t="n">
        <v>0.25</v>
      </c>
      <c r="E41" s="11" t="n">
        <v>87</v>
      </c>
      <c r="F41" s="11" t="n">
        <v>87</v>
      </c>
      <c r="G41" s="11" t="inlineStr">
        <is>
          <t>M</t>
        </is>
      </c>
      <c r="H41" s="11" t="inlineStr">
        <is>
          <t>SSA system docs, NIP RFSP documentation, as-builts, operator training on SSA operations &amp; module replacement.</t>
        </is>
      </c>
    </row>
    <row r="42">
      <c r="A42" s="12" t="n"/>
      <c r="B42" s="12" t="inlineStr">
        <is>
          <t>Subtotal WBS 4.0</t>
        </is>
      </c>
      <c r="C42" s="12">
        <f>SUM(C37:C41)</f>
        <v/>
      </c>
      <c r="D42" s="12" t="n"/>
      <c r="E42" s="12">
        <f>SUM(E37:E41)</f>
        <v/>
      </c>
      <c r="F42" s="12">
        <f>SUM(F37:F41)</f>
        <v/>
      </c>
      <c r="G42" s="12" t="n"/>
      <c r="H42" s="12" t="n"/>
    </row>
    <row r="44">
      <c r="A44" s="10" t="inlineStr">
        <is>
          <t>5.0</t>
        </is>
      </c>
      <c r="B44" s="10" t="inlineStr">
        <is>
          <t>INSTALLATION &amp; COMMISSIONING</t>
        </is>
      </c>
      <c r="C44" s="10" t="n"/>
      <c r="D44" s="10" t="n"/>
      <c r="E44" s="10" t="n"/>
      <c r="F44" s="10" t="n"/>
      <c r="G44" s="10" t="n"/>
      <c r="H44" s="10" t="n"/>
    </row>
    <row r="45">
      <c r="A45" s="11" t="inlineStr">
        <is>
          <t>5.1</t>
        </is>
      </c>
      <c r="B45" s="11" t="inlineStr">
        <is>
          <t>SSA Module Installation (4 stations)</t>
        </is>
      </c>
      <c r="C45" s="11" t="n">
        <v>50</v>
      </c>
      <c r="D45" s="11" t="n">
        <v>1.38</v>
      </c>
      <c r="E45" s="11" t="n">
        <v>480</v>
      </c>
      <c r="F45" s="11" t="n">
        <v>530</v>
      </c>
      <c r="G45" s="11" t="inlineStr">
        <is>
          <t>M</t>
        </is>
      </c>
      <c r="H45" s="11" t="inlineStr">
        <is>
          <t>4 person x 3 weeks/station x 4 stations. Rack mounting, 480V power, LCW plumbing, RF cabling, control/interlock wiring. Per cover page row 8.</t>
        </is>
      </c>
    </row>
    <row r="46">
      <c r="A46" s="11" t="inlineStr">
        <is>
          <t>5.2</t>
        </is>
      </c>
      <c r="B46" s="11" t="inlineStr">
        <is>
          <t>RF Distribution Installation</t>
        </is>
      </c>
      <c r="C46" s="11" t="n">
        <v>30</v>
      </c>
      <c r="D46" s="11" t="n">
        <v>0.75</v>
      </c>
      <c r="E46" s="11" t="n">
        <v>261</v>
      </c>
      <c r="F46" s="11" t="n">
        <v>291</v>
      </c>
      <c r="G46" s="11" t="inlineStr">
        <is>
          <t>M</t>
        </is>
      </c>
      <c r="H46" s="11" t="inlineStr">
        <is>
          <t>Waveguide assembly, circulator installation (vertical per 2/24 mtg), combiner hookup, load installation. Crane required for heavy components.</t>
        </is>
      </c>
    </row>
    <row r="47">
      <c r="A47" s="11" t="inlineStr">
        <is>
          <t>5.3</t>
        </is>
      </c>
      <c r="B47" s="11" t="inlineStr">
        <is>
          <t>Controls &amp; Cabling Installation</t>
        </is>
      </c>
      <c r="C47" s="11" t="n">
        <v>20</v>
      </c>
      <c r="D47" s="11" t="n">
        <v>0.5</v>
      </c>
      <c r="E47" s="11" t="n">
        <v>174</v>
      </c>
      <c r="F47" s="11" t="n">
        <v>194</v>
      </c>
      <c r="G47" s="11" t="inlineStr">
        <is>
          <t>M</t>
        </is>
      </c>
      <c r="H47" s="11" t="inlineStr">
        <is>
          <t>MPS rewiring, Interface Chassis install, NIP sensor installation, interlock cabling, Ethernet network for 16 SSA modules.</t>
        </is>
      </c>
    </row>
    <row r="48">
      <c r="A48" s="11" t="inlineStr">
        <is>
          <t>5.4</t>
        </is>
      </c>
      <c r="B48" s="11" t="inlineStr">
        <is>
          <t>System Integration Testing</t>
        </is>
      </c>
      <c r="C48" s="11" t="n"/>
      <c r="D48" s="11" t="n">
        <v>0.5</v>
      </c>
      <c r="E48" s="11" t="n">
        <v>174</v>
      </c>
      <c r="F48" s="11" t="n">
        <v>174</v>
      </c>
      <c r="G48" s="11" t="inlineStr">
        <is>
          <t>M</t>
        </is>
      </c>
      <c r="H48" s="11" t="inlineStr">
        <is>
          <t>End-to-end interlock testing, NIP verification, EPICS PV verification, fault injection. Limited window due to SPEAR operations.</t>
        </is>
      </c>
    </row>
    <row r="49">
      <c r="A49" s="11" t="inlineStr">
        <is>
          <t>5.5</t>
        </is>
      </c>
      <c r="B49" s="11" t="inlineStr">
        <is>
          <t>Phased Commissioning (per-station)</t>
        </is>
      </c>
      <c r="C49" s="11" t="n">
        <v>20</v>
      </c>
      <c r="D49" s="11" t="n">
        <v>0.6899999999999999</v>
      </c>
      <c r="E49" s="11" t="n">
        <v>240</v>
      </c>
      <c r="F49" s="11" t="n">
        <v>260</v>
      </c>
      <c r="G49" s="11" t="inlineStr">
        <is>
          <t>M</t>
        </is>
      </c>
      <c r="H49" s="11" t="inlineStr">
        <is>
          <t>6 person x 2 months commissioning. Incremental per-station power ramp. Performance: amplitude &lt;0.1%, phase &lt;0.1 deg.</t>
        </is>
      </c>
    </row>
    <row r="50">
      <c r="A50" s="12" t="n"/>
      <c r="B50" s="12" t="inlineStr">
        <is>
          <t>Subtotal WBS 5.0</t>
        </is>
      </c>
      <c r="C50" s="12">
        <f>SUM(C45:C49)</f>
        <v/>
      </c>
      <c r="D50" s="12" t="n"/>
      <c r="E50" s="12">
        <f>SUM(E45:E49)</f>
        <v/>
      </c>
      <c r="F50" s="12">
        <f>SUM(F45:F49)</f>
        <v/>
      </c>
      <c r="G50" s="12" t="n"/>
      <c r="H50" s="12" t="n"/>
    </row>
    <row r="52">
      <c r="A52" s="10" t="inlineStr">
        <is>
          <t>6.0</t>
        </is>
      </c>
      <c r="B52" s="10" t="inlineStr">
        <is>
          <t>SITE PREPARATION &amp; REMOVAL</t>
        </is>
      </c>
      <c r="C52" s="10" t="n"/>
      <c r="D52" s="10" t="n"/>
      <c r="E52" s="10" t="n"/>
      <c r="F52" s="10" t="n"/>
      <c r="G52" s="10" t="n"/>
      <c r="H52" s="10" t="n"/>
    </row>
    <row r="53">
      <c r="A53" s="11" t="inlineStr">
        <is>
          <t>6.1</t>
        </is>
      </c>
      <c r="B53" s="11" t="inlineStr">
        <is>
          <t>Existing Klystron/Waveguide Removal</t>
        </is>
      </c>
      <c r="C53" s="11" t="n">
        <v>5</v>
      </c>
      <c r="D53" s="11" t="n">
        <v>0.12</v>
      </c>
      <c r="E53" s="11" t="n">
        <v>41.8</v>
      </c>
      <c r="F53" s="11" t="n">
        <v>46.8</v>
      </c>
      <c r="G53" s="11" t="inlineStr">
        <is>
          <t>H</t>
        </is>
      </c>
      <c r="H53" s="11" t="inlineStr">
        <is>
          <t>Remove klystron, existing waveguide, magic tee splitters. Roof splitters removed; replaced by direct SSA-to-cavity runs (per 2/24 mtg).</t>
        </is>
      </c>
    </row>
    <row r="54">
      <c r="A54" s="11" t="inlineStr">
        <is>
          <t>6.2</t>
        </is>
      </c>
      <c r="B54" s="11" t="inlineStr">
        <is>
          <t>Cable Tray Relocation</t>
        </is>
      </c>
      <c r="C54" s="11" t="n">
        <v>10</v>
      </c>
      <c r="D54" s="11" t="n">
        <v>0.25</v>
      </c>
      <c r="E54" s="11" t="n">
        <v>87</v>
      </c>
      <c r="F54" s="11" t="n">
        <v>97</v>
      </c>
      <c r="G54" s="11" t="inlineStr">
        <is>
          <t>M</t>
        </is>
      </c>
      <c r="H54" s="11" t="inlineStr">
        <is>
          <t>Straighten S-shaped cable trays on roof (per 2/24 mtg). Relocate trays between 118 and ring ~10 ft outward.</t>
        </is>
      </c>
    </row>
    <row r="55">
      <c r="A55" s="11" t="inlineStr">
        <is>
          <t>6.3</t>
        </is>
      </c>
      <c r="B55" s="11" t="inlineStr">
        <is>
          <t>Equipment Relocation</t>
        </is>
      </c>
      <c r="C55" s="11" t="n">
        <v>15</v>
      </c>
      <c r="D55" s="11" t="n">
        <v>0.25</v>
      </c>
      <c r="E55" s="11" t="n">
        <v>87</v>
      </c>
      <c r="F55" s="11" t="n">
        <v>102</v>
      </c>
      <c r="G55" s="11" t="inlineStr">
        <is>
          <t>M</t>
        </is>
      </c>
      <c r="H55" s="11" t="inlineStr">
        <is>
          <t>Relocate transformers (2-3), panels, controls cabinets during downtime. Remove old air-handler/chiller behind 507 (per 2/24 mtg).</t>
        </is>
      </c>
    </row>
    <row r="56">
      <c r="A56" s="12" t="n"/>
      <c r="B56" s="12" t="inlineStr">
        <is>
          <t>Subtotal WBS 6.0</t>
        </is>
      </c>
      <c r="C56" s="12">
        <f>SUM(C53:C55)</f>
        <v/>
      </c>
      <c r="D56" s="12" t="n"/>
      <c r="E56" s="12">
        <f>SUM(E53:E55)</f>
        <v/>
      </c>
      <c r="F56" s="12">
        <f>SUM(F53:F55)</f>
        <v/>
      </c>
      <c r="G56" s="12" t="n"/>
      <c r="H56" s="12" t="n"/>
    </row>
    <row r="58">
      <c r="A58" s="52" t="inlineStr">
        <is>
          <t>7.0</t>
        </is>
      </c>
      <c r="B58" s="52" t="inlineStr">
        <is>
          <t>SSA TEST STATION DEVELOPMENT (Bldg 122)</t>
        </is>
      </c>
      <c r="C58" s="10" t="n"/>
      <c r="D58" s="10" t="n"/>
      <c r="E58" s="10" t="n"/>
      <c r="F58" s="10" t="n"/>
      <c r="G58" s="10" t="n"/>
      <c r="H58" s="10" t="n"/>
    </row>
    <row r="59">
      <c r="A59" s="11" t="inlineStr">
        <is>
          <t>7.1</t>
        </is>
      </c>
      <c r="B59" s="11" t="inlineStr">
        <is>
          <t>Test Station Equipment (RF source, waveguide, circulator, load)</t>
        </is>
      </c>
      <c r="C59" s="11" t="n">
        <v>120</v>
      </c>
      <c r="D59" s="11" t="n">
        <v>0.5</v>
      </c>
      <c r="E59" s="11" t="n">
        <v>174</v>
      </c>
      <c r="F59" s="11" t="n">
        <v>294</v>
      </c>
      <c r="G59" s="11" t="inlineStr">
        <is>
          <t>M</t>
        </is>
      </c>
      <c r="H59" s="11" t="inlineStr">
        <is>
          <t>RF source (signal generator + driver amp ~$30k), waveguide test section (~$30k), circulator for test stand (~$40k), water-cooled RF load 65 kW (~$20k). 0.5 FTE for procurement, assembly, and initial checkout.</t>
        </is>
      </c>
    </row>
    <row r="60">
      <c r="A60" s="11" t="inlineStr">
        <is>
          <t>7.2</t>
        </is>
      </c>
      <c r="B60" s="11" t="inlineStr">
        <is>
          <t>Test Station Control Software</t>
        </is>
      </c>
      <c r="C60" s="11" t="n">
        <v>5</v>
      </c>
      <c r="D60" s="11" t="n">
        <v>0.5</v>
      </c>
      <c r="E60" s="11" t="n">
        <v>174</v>
      </c>
      <c r="F60" s="11" t="n">
        <v>179</v>
      </c>
      <c r="G60" s="11" t="inlineStr">
        <is>
          <t>M</t>
        </is>
      </c>
      <c r="H60" s="11" t="inlineStr">
        <is>
          <t>EPICS IOC for test stand SSA module, data acquisition, automated acceptance testing scripts. Performance characterization: power, phase, VSWR, thermal stability, fault response. M&amp;S for test instrumentation (spectrum analyzer rental, power meter calibration).</t>
        </is>
      </c>
    </row>
    <row r="61">
      <c r="A61" t="inlineStr">
        <is>
          <t>7.3</t>
        </is>
      </c>
      <c r="B61" t="inlineStr">
        <is>
          <t>Test Station Infrastructure (LCW, Electrical, HVAC)</t>
        </is>
      </c>
      <c r="C61" t="n">
        <v>30</v>
      </c>
      <c r="D61" t="n">
        <v>0.25</v>
      </c>
      <c r="E61" t="n">
        <v>87</v>
      </c>
      <c r="F61" t="n">
        <v>117</v>
      </c>
      <c r="G61" t="inlineStr">
        <is>
          <t>M</t>
        </is>
      </c>
      <c r="H61" t="inlineStr">
        <is>
          <t>Bldg 122 test lab: LCW connection (~15 GPM, existing outside connection per 3/10 mtg), 480V service for single SSA module + load, ventilation for ~few kW heat dissipation. Naomi (F&amp;O) supporting electrical per 3/10 mtg.</t>
        </is>
      </c>
    </row>
    <row r="62">
      <c r="A62" s="12" t="n"/>
      <c r="B62" s="53" t="inlineStr">
        <is>
          <t>Subtotal WBS 7.0</t>
        </is>
      </c>
      <c r="C62" s="12">
        <f>SUM(C59:C61)</f>
        <v/>
      </c>
      <c r="D62" s="12" t="n"/>
      <c r="E62" s="12">
        <f>SUM(E59:E61)</f>
        <v/>
      </c>
      <c r="F62" s="12">
        <f>SUM(F59:F61)</f>
        <v/>
      </c>
      <c r="G62" s="12" t="n"/>
      <c r="H62" s="12" t="n"/>
    </row>
    <row r="64">
      <c r="A64" s="10" t="inlineStr">
        <is>
          <t>8.0</t>
        </is>
      </c>
      <c r="B64" s="10" t="inlineStr">
        <is>
          <t>INFRASTRUCTURE (Included in SSA Project Scope)</t>
        </is>
      </c>
      <c r="C64" s="10" t="n"/>
      <c r="D64" s="10" t="n"/>
      <c r="E64" s="10" t="n"/>
      <c r="F64" s="10" t="n"/>
      <c r="G64" s="10" t="n"/>
      <c r="H64" s="10" t="n"/>
    </row>
    <row r="65">
      <c r="A65" s="13" t="inlineStr">
        <is>
          <t>8.1</t>
        </is>
      </c>
      <c r="B65" s="13" t="inlineStr">
        <is>
          <t>480 VAC Distribution System</t>
        </is>
      </c>
      <c r="C65" s="13" t="n">
        <v>900</v>
      </c>
      <c r="D65" s="13" t="n">
        <v>2</v>
      </c>
      <c r="E65" s="13" t="n">
        <v>696</v>
      </c>
      <c r="F65" s="13" t="n">
        <v>1596</v>
      </c>
      <c r="G65" s="13" t="inlineStr">
        <is>
          <t>L</t>
        </is>
      </c>
      <c r="H65" s="13" t="inlineStr">
        <is>
          <t>Sub 507 option ($1-2M per 1/27 mtg). 2.5-3 MVA transformer, 12kV feed, 480V panels for 16 SSAs. Alt: Sub 502 = $8-9M.</t>
        </is>
      </c>
    </row>
    <row r="66">
      <c r="A66" s="13" t="inlineStr">
        <is>
          <t>8.2</t>
        </is>
      </c>
      <c r="B66" s="13" t="inlineStr">
        <is>
          <t>Cooling Water (LCW/HCW)</t>
        </is>
      </c>
      <c r="C66" s="13" t="n">
        <v>250</v>
      </c>
      <c r="D66" s="13" t="n">
        <v>1.5</v>
      </c>
      <c r="E66" s="13" t="n">
        <v>522</v>
      </c>
      <c r="F66" s="13" t="n">
        <v>772</v>
      </c>
      <c r="G66" s="13" t="inlineStr">
        <is>
          <t>L</t>
        </is>
      </c>
      <c r="H66" s="13" t="inlineStr">
        <is>
          <t>400 GPM LCW for 4 SSA stations. Option B: new 6"+ connection (per 3/10 mtg). Summer shutdown required.</t>
        </is>
      </c>
    </row>
    <row r="67">
      <c r="A67" s="13" t="inlineStr">
        <is>
          <t>8.3</t>
        </is>
      </c>
      <c r="B67" s="13" t="inlineStr">
        <is>
          <t>Building Extension &amp; Mezzanine</t>
        </is>
      </c>
      <c r="C67" s="13" t="n">
        <v>500</v>
      </c>
      <c r="D67" s="13" t="n">
        <v>2</v>
      </c>
      <c r="E67" s="13" t="n">
        <v>696</v>
      </c>
      <c r="F67" s="13" t="n">
        <v>1196</v>
      </c>
      <c r="G67" s="13" t="inlineStr">
        <is>
          <t>L</t>
        </is>
      </c>
      <c r="H67" s="13" t="inlineStr">
        <is>
          <t>~636 sqft + ~300 sqft mezzanine @ 27 ft. Two-story layout (per 2/24 mtg). OSHA stairway. Roll-up doors. Seismic. F&amp;O prior estimate $1.3M.</t>
        </is>
      </c>
    </row>
    <row r="68">
      <c r="A68" s="12" t="n"/>
      <c r="B68" s="12" t="inlineStr">
        <is>
          <t>Subtotal WBS 8.0 (Infrastructure)</t>
        </is>
      </c>
      <c r="C68" s="12">
        <f>SUM(C64:C66)</f>
        <v/>
      </c>
      <c r="D68" s="12" t="n"/>
      <c r="E68" s="12">
        <f>SUM(E64:E66)</f>
        <v/>
      </c>
      <c r="F68" s="12">
        <f>SUM(F64:F66)</f>
        <v/>
      </c>
      <c r="G68" s="12" t="n"/>
      <c r="H68" s="12" t="n"/>
    </row>
    <row r="70">
      <c r="A70" s="29" t="inlineStr">
        <is>
          <t>9.0</t>
        </is>
      </c>
      <c r="B70" s="29" t="inlineStr">
        <is>
          <t>DECOMMISSIONING — EXISTING RF STATION</t>
        </is>
      </c>
    </row>
    <row r="71">
      <c r="A71" t="inlineStr">
        <is>
          <t>9.1</t>
        </is>
      </c>
      <c r="B71" t="inlineStr">
        <is>
          <t>Klystron Removal &amp; Disposal</t>
        </is>
      </c>
      <c r="C71" t="n">
        <v>15</v>
      </c>
      <c r="D71" t="n">
        <v>0.25</v>
      </c>
      <c r="E71" t="n">
        <v>87</v>
      </c>
      <c r="F71" t="n">
        <v>102</v>
      </c>
      <c r="G71" t="inlineStr">
        <is>
          <t>M</t>
        </is>
      </c>
      <c r="H71" t="inlineStr">
        <is>
          <t>Remove Marconi K3512S 1.2 MW klystron (~8-10 tons with solenoid). LOTO, de-energize RF, disconnect WR2100 waveguide, LCW cooling, HV connections. Crane lift from klystron room. Disposal per SLAC waste procedures.</t>
        </is>
      </c>
    </row>
    <row r="72">
      <c r="A72" t="inlineStr">
        <is>
          <t>9.2</t>
        </is>
      </c>
      <c r="B72" t="inlineStr">
        <is>
          <t>HVPS/Modulator Removal &amp; Oil Disposal</t>
        </is>
      </c>
      <c r="C72" t="n">
        <v>20</v>
      </c>
      <c r="D72" t="n">
        <v>0.25</v>
      </c>
      <c r="E72" t="n">
        <v>87</v>
      </c>
      <c r="F72" t="n">
        <v>107</v>
      </c>
      <c r="G72" t="inlineStr">
        <is>
          <t>M</t>
        </is>
      </c>
      <c r="H72" t="inlineStr">
        <is>
          <t>Remove 2.5 MVA HVPS: SCR-controlled rectifier, 12.47 kV transformer (oil-insulated), crowbar circuit, HV bus. Drain/dispose transformer oil (~300-500 gal, test for PCBs). Disconnect 12.47 kV primary feed. Crane required for transformer (~5-10 tons).</t>
        </is>
      </c>
    </row>
    <row r="73">
      <c r="A73" t="inlineStr">
        <is>
          <t>9.3</t>
        </is>
      </c>
      <c r="B73" t="inlineStr">
        <is>
          <t>Waveguide Network &amp; Magic Tee Removal</t>
        </is>
      </c>
      <c r="C73" t="n">
        <v>10</v>
      </c>
      <c r="D73" t="n">
        <v>0.15</v>
      </c>
      <c r="E73" t="n">
        <v>52.2</v>
      </c>
      <c r="F73" t="n">
        <v>62.2</v>
      </c>
      <c r="G73" t="inlineStr">
        <is>
          <t>M</t>
        </is>
      </c>
      <c r="H73" t="inlineStr">
        <is>
          <t>Remove existing WR2100 waveguide from klystron to tunnel roof. Depressurize dry-air system. Remove magic tee 4-way splitter on roof (per 2/24 mtg: roof splitters removed). Disassemble flanged connections, lower sections. ~10 lb/ft waveguide.</t>
        </is>
      </c>
    </row>
    <row r="74">
      <c r="A74" t="inlineStr">
        <is>
          <t>9.4</t>
        </is>
      </c>
      <c r="B74" t="inlineStr">
        <is>
          <t>Circulator, RF Loads &amp; Ancillary Components</t>
        </is>
      </c>
      <c r="C74" t="n">
        <v>5</v>
      </c>
      <c r="D74" t="n">
        <v>0.1</v>
      </c>
      <c r="E74" t="n">
        <v>34.8</v>
      </c>
      <c r="F74" t="n">
        <v>39.8</v>
      </c>
      <c r="G74" t="inlineStr">
        <is>
          <t>M</t>
        </is>
      </c>
      <c r="H74" t="inlineStr">
        <is>
          <t>Remove existing AFT circulator (high-power ferrite, ~1-2 tons), HCW-cooled magic loads, circulator loads. Disconnect HCW cooling lines, drain/flush. Existing PEP-II circulators may be retained if usable for SSA (per 2/24 mtg).</t>
        </is>
      </c>
    </row>
    <row r="75">
      <c r="A75" t="inlineStr">
        <is>
          <t>9.5</t>
        </is>
      </c>
      <c r="B75" t="inlineStr">
        <is>
          <t>Lead Shielding Removal &amp; Hazmat Abatement</t>
        </is>
      </c>
      <c r="C75" t="n">
        <v>25</v>
      </c>
      <c r="D75" t="n">
        <v>0.1</v>
      </c>
      <c r="E75" t="n">
        <v>34.8</v>
      </c>
      <c r="F75" t="n">
        <v>59.8</v>
      </c>
      <c r="G75" t="inlineStr">
        <is>
          <t>L</t>
        </is>
      </c>
      <c r="H75" t="inlineStr">
        <is>
          <t>Remove lead shielding around klystron/HVPS area. Lead is classified hazardous waste (EPA/RCRA). Requires certified hazmat crew. Radiological survey of klystron area for activation products (per SLAC RP procedures). M&amp;S for disposal containers, transport.</t>
        </is>
      </c>
    </row>
    <row r="76">
      <c r="A76" t="inlineStr">
        <is>
          <t>9.6</t>
        </is>
      </c>
      <c r="B76" t="inlineStr">
        <is>
          <t>Crane/Rigging Services &amp; Environmental Compliance</t>
        </is>
      </c>
      <c r="C76" t="n">
        <v>50</v>
      </c>
      <c r="D76" t="n">
        <v>0.1</v>
      </c>
      <c r="E76" t="n">
        <v>34.8</v>
      </c>
      <c r="F76" t="n">
        <v>84.8</v>
      </c>
      <c r="G76" t="inlineStr">
        <is>
          <t>M</t>
        </is>
      </c>
      <c r="H76" t="inlineStr">
        <is>
          <t>Crane rental (100-ton, ~$5-15k/day for 3-5 days) for klystron, HVPS transformer, heavy waveguide. Rigging contractor. PCB testing of transformer oil. Radiological clearance survey. Environmental compliance documentation per SLAC ES&amp;H. Waste manifests.</t>
        </is>
      </c>
    </row>
    <row r="78">
      <c r="B78" s="29" t="inlineStr">
        <is>
          <t>Subtotal WBS 9.0 (Decommissioning)</t>
        </is>
      </c>
      <c r="C78">
        <f>SUM(C70:C75)</f>
        <v/>
      </c>
      <c r="E78">
        <f>SUM(E70:E75)</f>
        <v/>
      </c>
      <c r="F78">
        <f>SUM(F70:F75)</f>
        <v/>
      </c>
    </row>
    <row r="81">
      <c r="A81" s="40" t="inlineStr">
        <is>
          <t>10.0</t>
        </is>
      </c>
      <c r="B81" s="40" t="inlineStr">
        <is>
          <t>PROJECT MANAGEMENT</t>
        </is>
      </c>
    </row>
    <row r="82">
      <c r="A82" t="inlineStr">
        <is>
          <t>10.1</t>
        </is>
      </c>
      <c r="B82" t="inlineStr">
        <is>
          <t>Technical Program Management</t>
        </is>
      </c>
      <c r="C82" t="n">
        <v>20</v>
      </c>
      <c r="D82" t="n">
        <v>2.5</v>
      </c>
      <c r="E82" t="n">
        <v>870</v>
      </c>
      <c r="F82" t="n">
        <v>890</v>
      </c>
      <c r="G82" t="inlineStr">
        <is>
          <t>M</t>
        </is>
      </c>
      <c r="H82" t="inlineStr">
        <is>
          <t>~0.5 FTE/yr over ~5-year project. Schedule, resource, vendor management (R&amp;K, Dimtel). M&amp;S for travel/reviews/meetings. Coordination with F&amp;O on infrastructure.</t>
        </is>
      </c>
    </row>
    <row r="83">
      <c r="A83" t="inlineStr">
        <is>
          <t>10.2</t>
        </is>
      </c>
      <c r="B83" t="inlineStr">
        <is>
          <t>Safety Reviews &amp; PPS/NIP Coordination</t>
        </is>
      </c>
      <c r="C83" t="n">
        <v>10</v>
      </c>
      <c r="D83" t="n">
        <v>0.5</v>
      </c>
      <c r="E83" t="n">
        <v>174</v>
      </c>
      <c r="F83" t="n">
        <v>184</v>
      </c>
      <c r="G83" t="inlineStr">
        <is>
          <t>M</t>
        </is>
      </c>
      <c r="H83" t="inlineStr">
        <is>
          <t>PPS + NIP review/approval with SLAC AD Safety Division. LOTO, arc flash, OSHA compliance. RSWCF, RFSP documentation. M&amp;S for safety equipment, dosimetry.</t>
        </is>
      </c>
    </row>
    <row r="84">
      <c r="A84" s="14" t="inlineStr">
        <is>
          <t>10.3</t>
        </is>
      </c>
      <c r="B84" s="14" t="inlineStr">
        <is>
          <t>Project Management Office (PMO) Support</t>
        </is>
      </c>
      <c r="C84" s="14" t="n">
        <v>10</v>
      </c>
      <c r="D84" s="14" t="n">
        <v>2.5</v>
      </c>
      <c r="E84" s="14" t="n">
        <v>870</v>
      </c>
      <c r="F84" s="14" t="n">
        <v>880</v>
      </c>
      <c r="G84" s="14" t="inlineStr">
        <is>
          <t>M</t>
        </is>
      </c>
      <c r="H84" s="14" t="inlineStr">
        <is>
          <t>~0.5 FTE/yr over ~5-year project for PMO support. DOE project reporting (413.3B), earned value management, configuration management, document control. M&amp;S for project management tools/licenses.</t>
        </is>
      </c>
    </row>
    <row r="85" ht="15.5" customHeight="1" s="30">
      <c r="B85" s="40" t="inlineStr">
        <is>
          <t>Subtotal WBS 10.0 (Project Management)</t>
        </is>
      </c>
      <c r="C85">
        <f>SUM(C81:C83)</f>
        <v/>
      </c>
      <c r="E85">
        <f>SUM(E81:E83)</f>
        <v/>
      </c>
      <c r="F85">
        <f>SUM(F81:F83)</f>
        <v/>
      </c>
    </row>
    <row r="87">
      <c r="A87" s="14" t="n"/>
      <c r="B87" s="14" t="inlineStr">
        <is>
          <t>RF/CONTROLS &amp; TEST STATION SCOPE (WBS 1-7)</t>
        </is>
      </c>
      <c r="C87" s="14">
        <f>C12+C21+C34+C42+C50+C56+C62</f>
        <v/>
      </c>
      <c r="D87" s="14" t="n"/>
      <c r="E87" s="14">
        <f>E12+E21+E34+E42+E50+E56+E62</f>
        <v/>
      </c>
      <c r="F87" s="14">
        <f>F12+F21+F34+F42+F50+F56+F62</f>
        <v/>
      </c>
      <c r="G87" s="14" t="n"/>
      <c r="H87" s="14" t="n"/>
    </row>
    <row r="88" ht="15.5" customHeight="1" s="30">
      <c r="A88" s="15" t="n"/>
      <c r="B88" s="23" t="inlineStr">
        <is>
          <t>INFRASTRUCTURE SCOPE (WBS 8)</t>
        </is>
      </c>
      <c r="C88" s="15">
        <f>C68</f>
        <v/>
      </c>
      <c r="D88" s="15" t="n"/>
      <c r="E88" s="15">
        <f>E68</f>
        <v/>
      </c>
      <c r="F88" s="15">
        <f>F68</f>
        <v/>
      </c>
      <c r="G88" s="15" t="n"/>
      <c r="H88" s="15" t="n"/>
    </row>
    <row r="89">
      <c r="B89" t="inlineStr">
        <is>
          <t>DECOMMISSIONING SCOPE (WBS 9)</t>
        </is>
      </c>
      <c r="C89">
        <f>C78</f>
        <v/>
      </c>
      <c r="E89">
        <f>E78</f>
        <v/>
      </c>
      <c r="F89">
        <f>F78</f>
        <v/>
      </c>
    </row>
    <row r="90" ht="15.5" customHeight="1" s="30">
      <c r="A90" s="14" t="n"/>
      <c r="B90" s="41" t="inlineStr">
        <is>
          <t>PROJECT MANAGEMENT SCOPE (WBS 10)</t>
        </is>
      </c>
      <c r="C90" s="14">
        <f>C85</f>
        <v/>
      </c>
      <c r="D90" s="14" t="n"/>
      <c r="E90" s="14">
        <f>E85</f>
        <v/>
      </c>
      <c r="F90" s="14">
        <f>F85</f>
        <v/>
      </c>
      <c r="G90" s="14" t="n"/>
      <c r="H90" s="14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</row>
    <row r="92">
      <c r="B92" s="40" t="inlineStr">
        <is>
          <t>PROJECT BASE ESTIMATE (WBS 1-10)</t>
        </is>
      </c>
      <c r="C92">
        <f>C87+C88+C89+C90</f>
        <v/>
      </c>
      <c r="E92">
        <f>E87+E88+E89+E90</f>
        <v/>
      </c>
      <c r="F92">
        <f>F87+F88+F89+F90</f>
        <v/>
      </c>
    </row>
    <row r="93">
      <c r="A93" s="26" t="n"/>
      <c r="B93" s="42" t="inlineStr">
        <is>
          <t>CONTINGENCY (30% of base, per DOE 413.3B / AACE Class 4)</t>
        </is>
      </c>
      <c r="F93">
        <f>F92*0.30</f>
        <v/>
      </c>
      <c r="H93" t="inlineStr">
        <is>
          <t>AACE 18R-97 Class 4: -15% to +30% accuracy. DOE 413.3B requires contingency at conceptual design.</t>
        </is>
      </c>
    </row>
    <row r="94">
      <c r="B94" s="43" t="inlineStr">
        <is>
          <t>TOTAL ESTIMATED COST (Base + Contingency)</t>
        </is>
      </c>
      <c r="F94">
        <f>F92+F93</f>
        <v/>
      </c>
    </row>
    <row r="95">
      <c r="A95" s="31" t="inlineStr">
        <is>
          <t>KEY ASSUMPTIONS</t>
        </is>
      </c>
    </row>
    <row r="96">
      <c r="A96" t="inlineStr">
        <is>
          <t>A1</t>
        </is>
      </c>
      <c r="B96" t="inlineStr">
        <is>
          <t>Electrical based on Substation 507 option. Substation 502 would add ~$7M to WBS 8.1.</t>
        </is>
      </c>
    </row>
    <row r="97" ht="15.5" customHeight="1" s="30">
      <c r="A97" t="inlineStr">
        <is>
          <t>A2</t>
        </is>
      </c>
      <c r="B97" t="inlineStr">
        <is>
          <t>Circulator cost assumes new procurement ($400k). PEP-II 1.5 MW circulators may be reusable (saves ~$400k).</t>
        </is>
      </c>
    </row>
    <row r="98">
      <c r="A98" t="inlineStr">
        <is>
          <t>A3</t>
        </is>
      </c>
      <c r="B98" t="inlineStr">
        <is>
          <t>2 SSA hot-swap spares included ($623k). Could reduce to 1 (saves $312k) or increase per ops.</t>
        </is>
      </c>
    </row>
    <row r="99">
      <c r="A99" t="inlineStr">
        <is>
          <t>A4</t>
        </is>
      </c>
      <c r="B99" t="inlineStr">
        <is>
          <t>Labor rate: $200/hr burdened (SLAC overhead-inclusive). 1 FTE = 1,740 hrs/yr.</t>
        </is>
      </c>
    </row>
    <row r="100">
      <c r="A100" s="26" t="inlineStr">
        <is>
          <t>A5</t>
        </is>
      </c>
      <c r="B100" t="inlineStr">
        <is>
          <t>LLRF upgrade has 2 LLRF9 units already procured. SSA project procures 2 additional units. Total system will have 4 LLRF9 controllers. The LLRF and SSA projects are independent.</t>
        </is>
      </c>
    </row>
    <row r="101">
      <c r="A101" t="inlineStr">
        <is>
          <t>A6</t>
        </is>
      </c>
      <c r="B101" t="inlineStr">
        <is>
          <t>NIP system required per SLAC ESH Chapter 50 for new SSA building with &gt;1 kW RF sources.</t>
        </is>
      </c>
    </row>
    <row r="102">
      <c r="A102" t="inlineStr">
        <is>
          <t>A7</t>
        </is>
      </c>
      <c r="B102" t="inlineStr">
        <is>
          <t>Decommissioning scope: Marconi K3512S klystron, 2.5 MVA HVPS (oil-insulated transformer, SCR rectifier, crowbar), AFT circulator, WR2100 waveguide/magic tee, lead shielding, HCW cooling. Per SLAC-PUB-10983.</t>
        </is>
      </c>
    </row>
    <row r="103">
      <c r="A103" t="inlineStr">
        <is>
          <t>A8</t>
        </is>
      </c>
      <c r="B103" t="inlineStr">
        <is>
          <t>HVPS transformer oil assumed non-PCB. PCB testing required prior to disposal (pre-1979 oil would increase cost significantly).</t>
        </is>
      </c>
    </row>
    <row r="104">
      <c r="A104" t="inlineStr">
        <is>
          <t>A9</t>
        </is>
      </c>
      <c r="B104" t="inlineStr">
        <is>
          <t>Scrap/salvage value of removed equipment not credited (conservative). Some copper, lead, steel may have modest scrap value.</t>
        </is>
      </c>
    </row>
    <row r="105">
      <c r="A105" t="inlineStr">
        <is>
          <t>A10</t>
        </is>
      </c>
      <c r="B105" t="inlineStr">
        <is>
          <t>SSA test station at Bldg 122 supports single 32 kW module testing. Separate from main 4-station installation. Enables design iteration with R&amp;K vendor.</t>
        </is>
      </c>
    </row>
    <row r="106">
      <c r="A106" s="31" t="inlineStr">
        <is>
          <t>KEY RISKS</t>
        </is>
      </c>
    </row>
    <row r="107">
      <c r="A107" t="inlineStr">
        <is>
          <t>R1</t>
        </is>
      </c>
      <c r="B107" t="inlineStr">
        <is>
          <t>Interface Chassis on critical path (new SSA-specific design not started). PCB iteration may add 3-6 months.</t>
        </is>
      </c>
    </row>
    <row r="108">
      <c r="A108" t="inlineStr">
        <is>
          <t>R2</t>
        </is>
      </c>
      <c r="B108" t="inlineStr">
        <is>
          <t>PPS redesign scope uncertain. 16-channel SSA safety chain more complex than single-klystron PPS. Safety review timeline unknown.</t>
        </is>
      </c>
    </row>
    <row r="109">
      <c r="A109" t="inlineStr">
        <is>
          <t>R3</t>
        </is>
      </c>
      <c r="B109" t="inlineStr">
        <is>
          <t>NIP system: first SSA installation at SPEAR. No prior RFSP template for this SSA configuration. Safety review may be lengthy.</t>
        </is>
      </c>
    </row>
    <row r="110">
      <c r="A110" t="inlineStr">
        <is>
          <t>R4</t>
        </is>
      </c>
      <c r="B110" t="inlineStr">
        <is>
          <t>EPICS Coordinator software largest untouched scope. Hot-swap logic and N-1 degradation are new SSA-specific requirements.</t>
        </is>
      </c>
    </row>
    <row r="111">
      <c r="A111" t="inlineStr">
        <is>
          <t>R5</t>
        </is>
      </c>
      <c r="B111" t="inlineStr">
        <is>
          <t>DOE lab construction costs typically 50-100% higher than commercial. WBS 8.3 building estimate based on F&amp;O prior study ($1.3M); actual cost TBD per CD-1 design.</t>
        </is>
      </c>
    </row>
    <row r="112">
      <c r="A112" t="inlineStr">
        <is>
          <t>R6</t>
        </is>
      </c>
      <c r="B112" t="inlineStr">
        <is>
          <t>Limited SPEAR testing windows. Integration constrained to summer shutdowns and brief maintenance periods.</t>
        </is>
      </c>
    </row>
    <row r="113">
      <c r="A113" t="inlineStr">
        <is>
          <t>R7</t>
        </is>
      </c>
      <c r="B113" t="inlineStr">
        <is>
          <t>Decommissioning: HVPS transformer oil may contain PCBs (pre-1979 equipment from PEP-II era). PCB disposal costs could be 3-5x non-PCB estimate.</t>
        </is>
      </c>
    </row>
    <row r="114">
      <c r="A114" t="inlineStr">
        <is>
          <t>R8</t>
        </is>
      </c>
      <c r="B114" t="inlineStr">
        <is>
          <t>Decommissioning: Radiological activation of klystron/shielding requires RP survey. If contamination found, disposal costs increase substantially.</t>
        </is>
      </c>
    </row>
  </sheetData>
  <hyperlinks>
    <hyperlink ref="H8" location="'SSA quote from R&amp;K'!A1" display="R&amp;K quote July 2025: $311,600/unit x 16. 476.3 MHz CW.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4.5"/>
  <cols>
    <col width="35" customWidth="1" style="30" min="1" max="1"/>
    <col width="25" customWidth="1" style="30" min="2" max="2"/>
    <col width="60" customWidth="1" style="30" min="3" max="3"/>
    <col width="18" customWidth="1" style="30" min="4" max="4"/>
    <col width="15" customWidth="1" style="30" min="5" max="6"/>
    <col width="45" customWidth="1" style="30" min="7" max="7"/>
  </cols>
  <sheetData>
    <row r="1" ht="18.5" customHeight="1" s="30">
      <c r="A1" s="25" t="inlineStr">
        <is>
          <t>SPEAR3 SSA Upgrade - Reference Pricing &amp; Vendor Links</t>
        </is>
      </c>
    </row>
    <row r="2">
      <c r="A2" s="8" t="inlineStr">
        <is>
          <t>For procurement planning. Prices are indicative; formal quotes required before purchase.</t>
        </is>
      </c>
    </row>
    <row r="4">
      <c r="A4" s="9" t="inlineStr">
        <is>
          <t>Component</t>
        </is>
      </c>
      <c r="B4" s="9" t="inlineStr">
        <is>
          <t>Vendor</t>
        </is>
      </c>
      <c r="C4" s="9" t="inlineStr">
        <is>
          <t>URL / Product Link</t>
        </is>
      </c>
      <c r="D4" s="9" t="inlineStr">
        <is>
          <t>Model / Part #</t>
        </is>
      </c>
      <c r="E4" s="9" t="inlineStr">
        <is>
          <t>Unit Price</t>
        </is>
      </c>
      <c r="F4" s="9" t="inlineStr">
        <is>
          <t>Date / Source</t>
        </is>
      </c>
      <c r="G4" s="9" t="inlineStr">
        <is>
          <t>Notes</t>
        </is>
      </c>
    </row>
    <row r="6">
      <c r="A6" s="10" t="inlineStr">
        <is>
          <t>WBS 1.0 - SSA RF SOURCE</t>
        </is>
      </c>
      <c r="B6" s="18" t="n"/>
      <c r="C6" s="18" t="n"/>
      <c r="D6" s="18" t="n"/>
      <c r="E6" s="18" t="n"/>
      <c r="F6" s="18" t="n"/>
      <c r="G6" s="18" t="n"/>
    </row>
    <row r="7">
      <c r="A7" s="11" t="inlineStr">
        <is>
          <t>65 kW SSA Module (476.3 MHz CW)</t>
        </is>
      </c>
      <c r="B7" s="11" t="inlineStr">
        <is>
          <t>R&amp;K Company (Japan)</t>
        </is>
      </c>
      <c r="C7" s="19" t="inlineStr">
        <is>
          <t>https://www.rk-microwave.com/</t>
        </is>
      </c>
      <c r="D7" s="11" t="inlineStr">
        <is>
          <t>Custom 65 kW SSA</t>
        </is>
      </c>
      <c r="E7" s="11" t="inlineStr">
        <is>
          <t>$311,600</t>
        </is>
      </c>
      <c r="F7" s="11" t="inlineStr">
        <is>
          <t>July 2025 quote</t>
        </is>
      </c>
      <c r="G7" s="11" t="inlineStr">
        <is>
          <t>Includes internal 480V PS, LCW cooling, VSWR protection, Ethernet/serial control</t>
        </is>
      </c>
    </row>
    <row r="8">
      <c r="A8" s="11" t="inlineStr">
        <is>
          <t>SSA RF Dummy Load (250 kW CW, water-cooled)</t>
        </is>
      </c>
      <c r="B8" s="11" t="inlineStr">
        <is>
          <t>Ferrite Microwave Technologies (FMT)</t>
        </is>
      </c>
      <c r="C8" s="19" t="inlineStr">
        <is>
          <t>https://ferriteinc.com/high-power-waveguide-terminations/water-cooled-loads/</t>
        </is>
      </c>
      <c r="D8" s="11" t="inlineStr">
        <is>
          <t>Custom WR2100 water-cooled load</t>
        </is>
      </c>
      <c r="E8" s="11" t="inlineStr">
        <is>
          <t>$10-25k est.</t>
        </is>
      </c>
      <c r="F8" s="11" t="inlineStr">
        <is>
          <t>Vendor catalog (verified)</t>
        </is>
      </c>
      <c r="G8" s="11" t="inlineStr">
        <is>
          <t>FMT: WR28-WR2300 waveguide loads, 50 MHz-50 GHz. MIL-D-3954 compliant. Ultra-high temp refractory ceramic absorber. REPLACES Bird Technologies (max 20 kW, unsuitable).</t>
        </is>
      </c>
    </row>
    <row r="10">
      <c r="A10" s="10" t="inlineStr">
        <is>
          <t>WBS 2.0 - RF DISTRIBUTION &amp; COMBINING</t>
        </is>
      </c>
      <c r="B10" s="18" t="n"/>
      <c r="C10" s="18" t="n"/>
      <c r="D10" s="18" t="n"/>
      <c r="E10" s="18" t="n"/>
      <c r="F10" s="18" t="n"/>
      <c r="G10" s="18" t="n"/>
    </row>
    <row r="11">
      <c r="A11" s="11" t="inlineStr">
        <is>
          <t>WR2100 Waveguide (straight, bends, flex)</t>
        </is>
      </c>
      <c r="B11" s="11" t="inlineStr">
        <is>
          <t>Mega Industries</t>
        </is>
      </c>
      <c r="C11" s="19" t="inlineStr">
        <is>
          <t>https://www.megaind.com/products/waveguide-sizes/wr2100-waveguide/</t>
        </is>
      </c>
      <c r="D11" s="11" t="inlineStr">
        <is>
          <t>WR2100 (21x10.5 in)</t>
        </is>
      </c>
      <c r="E11" s="11" t="inlineStr">
        <is>
          <t>$50-150/ft est.</t>
        </is>
      </c>
      <c r="F11" s="11" t="inlineStr">
        <is>
          <t>Catalog</t>
        </is>
      </c>
      <c r="G11" s="11" t="inlineStr">
        <is>
          <t>0.35-0.53 GHz, 205-290 MW peak rating, 0.188" wall. Also: Space Machine (space-machine.com)</t>
        </is>
      </c>
    </row>
    <row r="12">
      <c r="A12" s="11" t="inlineStr">
        <is>
          <t>WR2100 Waveguide (catalog/3D models)</t>
        </is>
      </c>
      <c r="B12" s="11" t="inlineStr">
        <is>
          <t>Microwave Techniques (Mega subsidiary)</t>
        </is>
      </c>
      <c r="C12" s="19" t="inlineStr">
        <is>
          <t>https://catalog.microwavetechniques.com/viewitems/by-waveguide-component-size/wr2100</t>
        </is>
      </c>
      <c r="D12" s="11" t="inlineStr">
        <is>
          <t>Various</t>
        </is>
      </c>
      <c r="E12" s="11" t="inlineStr">
        <is>
          <t>RFQ</t>
        </is>
      </c>
      <c r="F12" s="11" t="inlineStr">
        <is>
          <t>Catalog</t>
        </is>
      </c>
      <c r="G12" s="11" t="inlineStr">
        <is>
          <t>Full 3D CAD catalog for WR2100 components: straights, bends, couplers, transitions, windows</t>
        </is>
      </c>
    </row>
    <row r="13">
      <c r="A13" s="11" t="inlineStr">
        <is>
          <t>WR2100 Directional Coupler</t>
        </is>
      </c>
      <c r="B13" s="11" t="inlineStr">
        <is>
          <t>Mega Industries</t>
        </is>
      </c>
      <c r="C13" s="19" t="inlineStr">
        <is>
          <t>https://www.megaind.com/products/waveguide-sizes/wr2100-waveguide/</t>
        </is>
      </c>
      <c r="D13" s="11" t="inlineStr">
        <is>
          <t>WR2100 coupler</t>
        </is>
      </c>
      <c r="E13" s="11" t="inlineStr">
        <is>
          <t>$5-15k est.</t>
        </is>
      </c>
      <c r="F13" s="11" t="inlineStr">
        <is>
          <t>Catalog</t>
        </is>
      </c>
      <c r="G13" s="11" t="inlineStr">
        <is>
          <t>Various coupling ratios available. Also custom designs.</t>
        </is>
      </c>
    </row>
    <row r="14">
      <c r="A14" s="11" t="inlineStr">
        <is>
          <t>WR2100 Circulator (250+ kW CW @ 476 MHz)</t>
        </is>
      </c>
      <c r="B14" s="11" t="inlineStr">
        <is>
          <t>Ferrite Microwave Technologies (FMT)</t>
        </is>
      </c>
      <c r="C14" s="19" t="inlineStr">
        <is>
          <t>https://ferriteinc.com/high-power-microwave-circulators-isolators/waveguide-circulators/</t>
        </is>
      </c>
      <c r="D14" s="11" t="inlineStr">
        <is>
          <t>Custom WR2100 3-port circulator</t>
        </is>
      </c>
      <c r="E14" s="11" t="inlineStr">
        <is>
          <t>$80-120k est.</t>
        </is>
      </c>
      <c r="F14" s="11" t="inlineStr">
        <is>
          <t>Vendor inquiry (verified)</t>
        </is>
      </c>
      <c r="G14" s="11" t="inlineStr">
        <is>
          <t>FMT: 1400+ circulator designs, WR28-WR2300, 50 MHz-50 GHz, 5W to 50+ MW. Scientific/accelerator specialist. AFT Microwave (aft-microwave.com) as alternate (L/S/C/X bands; confirm 476 MHz coverage before ordering).</t>
        </is>
      </c>
    </row>
    <row r="15">
      <c r="A15" s="11" t="inlineStr">
        <is>
          <t>WR2100 High-Power Water-Cooled Load (circulator termination)</t>
        </is>
      </c>
      <c r="B15" s="11" t="inlineStr">
        <is>
          <t>Ferrite Microwave Technologies (FMT) / MCI Broadcast</t>
        </is>
      </c>
      <c r="C15" s="19" t="inlineStr">
        <is>
          <t>https://ferriteinc.com/high-power-waveguide-terminations/water-cooled-loads/</t>
        </is>
      </c>
      <c r="D15" s="11" t="inlineStr">
        <is>
          <t>WR2100 water load, 250+ kW CW</t>
        </is>
      </c>
      <c r="E15" s="11" t="inlineStr">
        <is>
          <t>$10-25k est.</t>
        </is>
      </c>
      <c r="F15" s="11" t="inlineStr">
        <is>
          <t>Vendor catalog (verified)</t>
        </is>
      </c>
      <c r="G15" s="11" t="inlineStr">
        <is>
          <t>For circulator port 3 termination. FMT water-cooled loads: refractory ceramic absorber, welded aluminum housing. MCI Broadcast (mcibroadcast.com) also makes accelerator-specific waveguide loads 0.32-10 GHz.</t>
        </is>
      </c>
    </row>
    <row r="16">
      <c r="A16" s="11" t="inlineStr">
        <is>
          <t>WR2100 Vacuum Window</t>
        </is>
      </c>
      <c r="B16" s="11" t="inlineStr">
        <is>
          <t>Mega Industries</t>
        </is>
      </c>
      <c r="C16" s="19" t="inlineStr">
        <is>
          <t>https://www.megaind.com/products/waveguide-sizes/wr2100-waveguide/</t>
        </is>
      </c>
      <c r="D16" s="11" t="inlineStr">
        <is>
          <t>WR2100 MegaSeal</t>
        </is>
      </c>
      <c r="E16" s="11" t="inlineStr">
        <is>
          <t>RFQ</t>
        </is>
      </c>
      <c r="F16" s="11" t="inlineStr">
        <is>
          <t>Catalog</t>
        </is>
      </c>
      <c r="G16" s="11" t="inlineStr">
        <is>
          <t>If needed at waveguide-to-cavity interface</t>
        </is>
      </c>
    </row>
    <row r="17">
      <c r="A17" s="11" t="inlineStr">
        <is>
          <t>4:1 High-Power Waveguide Combiner (320 kW @ 476 MHz)</t>
        </is>
      </c>
      <c r="B17" s="11" t="inlineStr">
        <is>
          <t>Mega Industries</t>
        </is>
      </c>
      <c r="C17" s="19" t="inlineStr">
        <is>
          <t>https://www.megaind.com/high-power-waveguide-combiners-for-sspa/</t>
        </is>
      </c>
      <c r="D17" s="11" t="inlineStr">
        <is>
          <t>Custom WR2100 4:1 combiner (ref: WR1800 NSLS-II design)</t>
        </is>
      </c>
      <c r="E17" s="11" t="inlineStr">
        <is>
          <t>$30-50k est.</t>
        </is>
      </c>
      <c r="F17" s="11" t="inlineStr">
        <is>
          <t>Vendor reference (verified)</t>
        </is>
      </c>
      <c r="G17" s="11" t="inlineStr">
        <is>
          <t>PRECEDENT: Mega built WR1800 4:1 combiner for NSLS-II at Brookhaven (500 MHz, 4×80kW=320kW, &lt;0.12 dB loss, &lt;1.18:1 VSWR). Nearly identical to SPEAR3 application (476 MHz, 4×65kW=260kW). REPLACES SPINNER Group (max 8.8 kW broadcast-grade, unsuitable).</t>
        </is>
      </c>
    </row>
    <row r="18">
      <c r="A18" s="11" t="inlineStr">
        <is>
          <t>WR2100-to-Coax Transition</t>
        </is>
      </c>
      <c r="B18" s="11" t="inlineStr">
        <is>
          <t>Mega Industries / Made-in-China</t>
        </is>
      </c>
      <c r="C18" s="19" t="inlineStr">
        <is>
          <t>https://www.megaind.com/products/waveguide-sizes/wr2100-waveguide/</t>
        </is>
      </c>
      <c r="D18" s="11" t="inlineStr">
        <is>
          <t>WR2100 transition</t>
        </is>
      </c>
      <c r="E18" s="11" t="inlineStr">
        <is>
          <t>$500-5k</t>
        </is>
      </c>
      <c r="F18" s="11" t="inlineStr">
        <is>
          <t>Catalog</t>
        </is>
      </c>
      <c r="G18" s="11" t="inlineStr">
        <is>
          <t>WR2100 to 6-1/8" coax or N-type. Also: efinetech.en.made-in-china.com ($25-65 for adapter)</t>
        </is>
      </c>
    </row>
    <row r="19">
      <c r="A19" s="11" t="inlineStr">
        <is>
          <t>Unistrut Channel &amp; Waveguide Hangers</t>
        </is>
      </c>
      <c r="B19" s="11" t="inlineStr">
        <is>
          <t>Unistrut / Atkore</t>
        </is>
      </c>
      <c r="C19" s="19" t="inlineStr">
        <is>
          <t>https://www.unistrut.us/</t>
        </is>
      </c>
      <c r="D19" s="11" t="inlineStr">
        <is>
          <t>P1000, P5500 series</t>
        </is>
      </c>
      <c r="E19" s="11" t="inlineStr">
        <is>
          <t>$5-15/ft</t>
        </is>
      </c>
      <c r="F19" s="11" t="inlineStr">
        <is>
          <t>Catalog</t>
        </is>
      </c>
      <c r="G19" s="11" t="inlineStr">
        <is>
          <t>Standard Unistrut for waveguide support every 8 ft. WR2100 ~10 lb/ft.</t>
        </is>
      </c>
    </row>
    <row r="21">
      <c r="A21" s="10" t="inlineStr">
        <is>
          <t>WBS 3.0 - CONTROL ELECTRONICS &amp; PROTECTION</t>
        </is>
      </c>
      <c r="B21" s="18" t="n"/>
      <c r="C21" s="18" t="n"/>
      <c r="D21" s="18" t="n"/>
      <c r="E21" s="18" t="n"/>
      <c r="F21" s="18" t="n"/>
      <c r="G21" s="18" t="n"/>
    </row>
    <row r="22">
      <c r="A22" s="11" t="inlineStr">
        <is>
          <t>Dimtel LLRF9/500 Controller</t>
        </is>
      </c>
      <c r="B22" s="11" t="inlineStr">
        <is>
          <t>Dimtel, Inc.</t>
        </is>
      </c>
      <c r="C22" s="19" t="inlineStr">
        <is>
          <t>https://www.dimtel.com/products/llrf9</t>
        </is>
      </c>
      <c r="D22" s="11" t="inlineStr">
        <is>
          <t>LLRF9/500</t>
        </is>
      </c>
      <c r="E22" s="11" t="inlineStr">
        <is>
          <t>$117,000 list</t>
        </is>
      </c>
      <c r="F22" s="11" t="inlineStr">
        <is>
          <t>Vendor quote</t>
        </is>
      </c>
      <c r="G22" s="11" t="inlineStr">
        <is>
          <t>9-ch LLRF controller. 15% vol discount = $99,450. SSA project: reconfiguration only (hardware from LLRF upgrade)</t>
        </is>
      </c>
    </row>
    <row r="23">
      <c r="A23" s="11" t="inlineStr">
        <is>
          <t>Dimtel LLRF9/500 Specifications</t>
        </is>
      </c>
      <c r="B23" s="11" t="inlineStr">
        <is>
          <t>Dimtel, Inc.</t>
        </is>
      </c>
      <c r="C23" s="19" t="inlineStr">
        <is>
          <t>https://www.dimtel.com/products/specs/llrf9_500</t>
        </is>
      </c>
      <c r="D23" s="11" t="inlineStr">
        <is>
          <t>LLRF9/500</t>
        </is>
      </c>
      <c r="E23" s="11" t="inlineStr">
        <is>
          <t>See above</t>
        </is>
      </c>
      <c r="F23" s="11" t="inlineStr">
        <is>
          <t>Spec sheet</t>
        </is>
      </c>
      <c r="G23" s="11" t="inlineStr">
        <is>
          <t>500 MHz center, 6 MHz BW, 9 RF inputs, FPGA interlocks, EPICS IOC built-in</t>
        </is>
      </c>
    </row>
    <row r="24">
      <c r="A24" s="11" t="inlineStr">
        <is>
          <t>AB CompactLogix Controller</t>
        </is>
      </c>
      <c r="B24" s="11" t="inlineStr">
        <is>
          <t>Rockwell Automation</t>
        </is>
      </c>
      <c r="C24" s="19" t="inlineStr">
        <is>
          <t>https://www.rockwellautomation.com/</t>
        </is>
      </c>
      <c r="D24" s="11" t="inlineStr">
        <is>
          <t>5069-L320ER</t>
        </is>
      </c>
      <c r="E24" s="11" t="inlineStr">
        <is>
          <t>$3,692</t>
        </is>
      </c>
      <c r="F24" s="11" t="inlineStr">
        <is>
          <t>TaskListRev3</t>
        </is>
      </c>
      <c r="G24" s="11" t="inlineStr">
        <is>
          <t>2MB Ethernet controller. See IQElectro, IndustrialAutomationCo for distributor pricing.</t>
        </is>
      </c>
    </row>
    <row r="25">
      <c r="A25" s="11" t="inlineStr">
        <is>
          <t>AB Output Module (8-pt analog)</t>
        </is>
      </c>
      <c r="B25" s="11" t="inlineStr">
        <is>
          <t>Rockwell Automation</t>
        </is>
      </c>
      <c r="C25" s="19" t="inlineStr">
        <is>
          <t>https://www.rockwellautomation.com/</t>
        </is>
      </c>
      <c r="D25" s="11" t="inlineStr">
        <is>
          <t>5069-OF8</t>
        </is>
      </c>
      <c r="E25" s="11" t="inlineStr">
        <is>
          <t>$1,536</t>
        </is>
      </c>
      <c r="F25" s="11" t="inlineStr">
        <is>
          <t>TaskListRev3</t>
        </is>
      </c>
      <c r="G25" s="11" t="inlineStr">
        <is>
          <t>Analog output. Qty 3 per MPS set = $4,607</t>
        </is>
      </c>
    </row>
    <row r="26">
      <c r="A26" s="11" t="inlineStr">
        <is>
          <t>AB Isolated Relay Output</t>
        </is>
      </c>
      <c r="B26" s="11" t="inlineStr">
        <is>
          <t>Rockwell Automation</t>
        </is>
      </c>
      <c r="C26" s="19" t="inlineStr">
        <is>
          <t>https://www.rockwellautomation.com/</t>
        </is>
      </c>
      <c r="D26" s="11" t="inlineStr">
        <is>
          <t>5069-OX41</t>
        </is>
      </c>
      <c r="E26" s="11" t="inlineStr">
        <is>
          <t>$452</t>
        </is>
      </c>
      <c r="F26" s="11" t="inlineStr">
        <is>
          <t>TaskListRev3</t>
        </is>
      </c>
      <c r="G26" s="11" t="inlineStr">
        <is>
          <t>Qty 10 per MPS set = $4,516</t>
        </is>
      </c>
    </row>
    <row r="27">
      <c r="A27" s="11" t="inlineStr">
        <is>
          <t>AB Universal Analog Input</t>
        </is>
      </c>
      <c r="B27" s="11" t="inlineStr">
        <is>
          <t>Rockwell Automation</t>
        </is>
      </c>
      <c r="C27" s="19" t="inlineStr">
        <is>
          <t>https://www.rockwellautomation.com/</t>
        </is>
      </c>
      <c r="D27" s="11" t="inlineStr">
        <is>
          <t>5069-IY4</t>
        </is>
      </c>
      <c r="E27" s="11" t="inlineStr">
        <is>
          <t>$521</t>
        </is>
      </c>
      <c r="F27" s="11" t="inlineStr">
        <is>
          <t>TaskListRev3</t>
        </is>
      </c>
      <c r="G27" s="11" t="inlineStr">
        <is>
          <t>Qty 2 per set = $1,043</t>
        </is>
      </c>
    </row>
    <row r="28">
      <c r="A28" s="11" t="inlineStr">
        <is>
          <t>AB Analog Input (8-ch)</t>
        </is>
      </c>
      <c r="B28" s="11" t="inlineStr">
        <is>
          <t>Rockwell Automation</t>
        </is>
      </c>
      <c r="C28" s="19" t="inlineStr">
        <is>
          <t>https://www.rockwellautomation.com/</t>
        </is>
      </c>
      <c r="D28" s="11" t="inlineStr">
        <is>
          <t>5069-IF8</t>
        </is>
      </c>
      <c r="E28" s="11" t="inlineStr">
        <is>
          <t>$876</t>
        </is>
      </c>
      <c r="F28" s="11" t="inlineStr">
        <is>
          <t>TaskListRev3</t>
        </is>
      </c>
      <c r="G28" s="11" t="inlineStr">
        <is>
          <t>Qty 2 per set = $1,752</t>
        </is>
      </c>
    </row>
    <row r="29">
      <c r="A29" s="11" t="inlineStr">
        <is>
          <t>AB DC Input (16-pt)</t>
        </is>
      </c>
      <c r="B29" s="11" t="inlineStr">
        <is>
          <t>Rockwell Automation</t>
        </is>
      </c>
      <c r="C29" s="19" t="inlineStr">
        <is>
          <t>https://www.rockwellautomation.com/</t>
        </is>
      </c>
      <c r="D29" s="11" t="inlineStr">
        <is>
          <t>5069-IB16</t>
        </is>
      </c>
      <c r="E29" s="11" t="inlineStr">
        <is>
          <t>$266</t>
        </is>
      </c>
      <c r="F29" s="11" t="inlineStr">
        <is>
          <t>TaskListRev3</t>
        </is>
      </c>
      <c r="G29" s="11" t="inlineStr">
        <is>
          <t>Qty 4 per set = $1,063</t>
        </is>
      </c>
    </row>
    <row r="30">
      <c r="A30" s="11" t="inlineStr">
        <is>
          <t>AB Spring RTB (18-pt)</t>
        </is>
      </c>
      <c r="B30" s="11" t="inlineStr">
        <is>
          <t>Rockwell Automation</t>
        </is>
      </c>
      <c r="C30" s="19" t="inlineStr">
        <is>
          <t>https://www.rockwellautomation.com/</t>
        </is>
      </c>
      <c r="D30" s="11" t="inlineStr">
        <is>
          <t>5069-RTB18-SPRING</t>
        </is>
      </c>
      <c r="E30" s="11" t="inlineStr">
        <is>
          <t>$62</t>
        </is>
      </c>
      <c r="F30" s="11" t="inlineStr">
        <is>
          <t>TaskListRev3</t>
        </is>
      </c>
      <c r="G30" s="11" t="inlineStr">
        <is>
          <t>Removable terminal blocks. Qty 25 = $1,561</t>
        </is>
      </c>
    </row>
    <row r="31">
      <c r="A31" s="11" t="inlineStr">
        <is>
          <t>Complete ControlLogix PLC Set</t>
        </is>
      </c>
      <c r="B31" s="11" t="inlineStr">
        <is>
          <t>Rockwell Automation</t>
        </is>
      </c>
      <c r="C31" s="11" t="n"/>
      <c r="D31" s="11" t="inlineStr">
        <is>
          <t>See above BOM</t>
        </is>
      </c>
      <c r="E31" s="11" t="inlineStr">
        <is>
          <t>$21,994/set</t>
        </is>
      </c>
      <c r="F31" s="11" t="inlineStr">
        <is>
          <t>TaskListRev3</t>
        </is>
      </c>
      <c r="G31" s="11" t="inlineStr">
        <is>
          <t>Detailed BOM from LLRFUpgradeTaskListRev3.docx. SSA needs expanded I/O.</t>
        </is>
      </c>
    </row>
    <row r="32">
      <c r="A32" s="11" t="inlineStr">
        <is>
          <t>Galil 4-Axis Motion Controller</t>
        </is>
      </c>
      <c r="B32" s="11" t="inlineStr">
        <is>
          <t>Galil Motion Control</t>
        </is>
      </c>
      <c r="C32" s="19" t="inlineStr">
        <is>
          <t>https://www.galil.com/node/1486</t>
        </is>
      </c>
      <c r="D32" s="11" t="inlineStr">
        <is>
          <t>DMC-4143</t>
        </is>
      </c>
      <c r="E32" s="11" t="inlineStr">
        <is>
          <t>$1,675</t>
        </is>
      </c>
      <c r="F32" s="11" t="inlineStr">
        <is>
          <t>Galil website</t>
        </is>
      </c>
      <c r="G32" s="11" t="inlineStr">
        <is>
          <t>4-axis Ethernet/USB. 100-qty price: $1,115. For cavity tuner control.</t>
        </is>
      </c>
    </row>
    <row r="33">
      <c r="A33" s="11" t="inlineStr">
        <is>
          <t>Microstep-MIS Arc Sensor</t>
        </is>
      </c>
      <c r="B33" s="11" t="inlineStr">
        <is>
          <t>MicroStep-MIS</t>
        </is>
      </c>
      <c r="C33" s="19" t="inlineStr">
        <is>
          <t>https://microstep-mis.com/web/products?category=radiation+&amp;product=waveguide_arc_detector</t>
        </is>
      </c>
      <c r="D33" s="11" t="inlineStr">
        <is>
          <t>Optical sensor</t>
        </is>
      </c>
      <c r="E33" s="11" t="inlineStr">
        <is>
          <t>470 EUR ea</t>
        </is>
      </c>
      <c r="F33" s="11" t="inlineStr">
        <is>
          <t>Nov 2024 quote</t>
        </is>
      </c>
      <c r="G33" s="11" t="inlineStr">
        <is>
          <t>10 sensors needed. Quote from Erik Bystricky.</t>
        </is>
      </c>
    </row>
    <row r="34">
      <c r="A34" s="11" t="inlineStr">
        <is>
          <t>Microstep-MIS Arc Receiver</t>
        </is>
      </c>
      <c r="B34" s="11" t="inlineStr">
        <is>
          <t>MicroStep-MIS</t>
        </is>
      </c>
      <c r="C34" s="19" t="inlineStr">
        <is>
          <t>https://microstep-mis.com/web/products?category=radiation+&amp;product=waveguide_arc_detector</t>
        </is>
      </c>
      <c r="D34" s="11" t="inlineStr">
        <is>
          <t>Process unit</t>
        </is>
      </c>
      <c r="E34" s="11" t="inlineStr">
        <is>
          <t>635 EUR ea</t>
        </is>
      </c>
      <c r="F34" s="11" t="inlineStr">
        <is>
          <t>Nov 2024 quote</t>
        </is>
      </c>
      <c r="G34" s="11" t="inlineStr">
        <is>
          <t>6 receivers (5 active + 1 spare). Handles 2 sensors each.</t>
        </is>
      </c>
    </row>
    <row r="35">
      <c r="A35" s="11" t="inlineStr">
        <is>
          <t>Microstep-MIS Interconnect Cable (2m)</t>
        </is>
      </c>
      <c r="B35" s="11" t="inlineStr">
        <is>
          <t>MicroStep-MIS</t>
        </is>
      </c>
      <c r="C35" s="19" t="inlineStr">
        <is>
          <t>https://microstep-mis.com/</t>
        </is>
      </c>
      <c r="D35" s="11" t="inlineStr">
        <is>
          <t>Fiber cable</t>
        </is>
      </c>
      <c r="E35" s="11" t="inlineStr">
        <is>
          <t>186 EUR ea</t>
        </is>
      </c>
      <c r="F35" s="11" t="inlineStr">
        <is>
          <t>Nov 2024 quote</t>
        </is>
      </c>
      <c r="G35" s="11" t="inlineStr">
        <is>
          <t>5 cables needed. Sensor-to-receiver connection.</t>
        </is>
      </c>
    </row>
    <row r="36">
      <c r="A36" s="11" t="inlineStr">
        <is>
          <t>MCL RF Power Detector</t>
        </is>
      </c>
      <c r="B36" s="11" t="inlineStr">
        <is>
          <t>Mini-Circuits</t>
        </is>
      </c>
      <c r="C36" s="19" t="inlineStr">
        <is>
          <t>https://www.minicircuits.com/</t>
        </is>
      </c>
      <c r="D36" s="11" t="inlineStr">
        <is>
          <t>ZX47-40LN-S+</t>
        </is>
      </c>
      <c r="E36" s="11" t="inlineStr">
        <is>
          <t>$105 ea</t>
        </is>
      </c>
      <c r="F36" s="11" t="inlineStr">
        <is>
          <t>TaskListRev3</t>
        </is>
      </c>
      <c r="G36" s="11" t="inlineStr">
        <is>
          <t>Log detector for waveform buffer. 10 qty = $1,050. SMA connectors.</t>
        </is>
      </c>
    </row>
    <row r="37">
      <c r="A37" s="11" t="inlineStr">
        <is>
          <t>MCL SMA Adapter</t>
        </is>
      </c>
      <c r="B37" s="11" t="inlineStr">
        <is>
          <t>Mini-Circuits</t>
        </is>
      </c>
      <c r="C37" s="19" t="inlineStr">
        <is>
          <t>https://www.minicircuits.com/</t>
        </is>
      </c>
      <c r="D37" s="11" t="inlineStr">
        <is>
          <t>SF-SF50+ / NFFL-SF50+</t>
        </is>
      </c>
      <c r="E37" s="11" t="inlineStr">
        <is>
          <t>$6-30 ea</t>
        </is>
      </c>
      <c r="F37" s="11" t="inlineStr">
        <is>
          <t>TaskListRev3</t>
        </is>
      </c>
      <c r="G37" s="11" t="inlineStr">
        <is>
          <t>SMA bulkhead adapters, N-to-SMA adapters</t>
        </is>
      </c>
    </row>
    <row r="39">
      <c r="A39" s="10" t="inlineStr">
        <is>
          <t>WBS 3.8-3.9 - SAFETY SYSTEMS (PPS, NIP)</t>
        </is>
      </c>
      <c r="B39" s="18" t="n"/>
      <c r="C39" s="18" t="n"/>
      <c r="D39" s="18" t="n"/>
      <c r="E39" s="18" t="n"/>
      <c r="F39" s="18" t="n"/>
      <c r="G39" s="18" t="n"/>
    </row>
    <row r="40">
      <c r="A40" s="11" t="inlineStr">
        <is>
          <t>RF Field Monitor / Sensor</t>
        </is>
      </c>
      <c r="B40" s="11" t="inlineStr">
        <is>
          <t>Narda Safety Test Solutions</t>
        </is>
      </c>
      <c r="C40" s="19" t="inlineStr">
        <is>
          <t>https://www.narda-sts.com/</t>
        </is>
      </c>
      <c r="D40" s="11" t="inlineStr">
        <is>
          <t>RadMan 2 / Area Monitor</t>
        </is>
      </c>
      <c r="E40" s="11" t="inlineStr">
        <is>
          <t>$3-8k ea</t>
        </is>
      </c>
      <c r="F40" s="11" t="inlineStr">
        <is>
          <t>Estimate</t>
        </is>
      </c>
      <c r="G40" s="11" t="inlineStr">
        <is>
          <t>Personal/area RF exposure monitors. For NIP system per SLAC ESH Ch.50.</t>
        </is>
      </c>
    </row>
    <row r="41">
      <c r="A41" s="11" t="inlineStr">
        <is>
          <t>RF Safety Interlock Controller</t>
        </is>
      </c>
      <c r="B41" s="11" t="inlineStr">
        <is>
          <t>Various / Custom</t>
        </is>
      </c>
      <c r="C41" s="11" t="n"/>
      <c r="D41" s="11" t="inlineStr">
        <is>
          <t>PLC-based or dedicated</t>
        </is>
      </c>
      <c r="E41" s="11" t="inlineStr">
        <is>
          <t>$10-15k</t>
        </is>
      </c>
      <c r="F41" s="11" t="inlineStr">
        <is>
          <t>Estimate</t>
        </is>
      </c>
      <c r="G41" s="11" t="inlineStr">
        <is>
          <t>Door interlocks, emergency stops, RF enable/disable logic. May use AB CompactLogix.</t>
        </is>
      </c>
    </row>
    <row r="42">
      <c r="A42" s="11" t="inlineStr">
        <is>
          <t>RF Warning Beacons &amp; Signage</t>
        </is>
      </c>
      <c r="B42" s="11" t="inlineStr">
        <is>
          <t>Federal Signal / OSHA-compliant</t>
        </is>
      </c>
      <c r="C42" s="11" t="n"/>
      <c r="D42" s="11" t="inlineStr">
        <is>
          <t>Warning lights + signs</t>
        </is>
      </c>
      <c r="E42" s="11" t="inlineStr">
        <is>
          <t>$2-5k</t>
        </is>
      </c>
      <c r="F42" s="11" t="inlineStr">
        <is>
          <t>Estimate</t>
        </is>
      </c>
      <c r="G42" s="11" t="inlineStr">
        <is>
          <t>SLAC ESH Ch.50 requires visible/audible warnings when RF active in accessible areas</t>
        </is>
      </c>
    </row>
    <row r="43">
      <c r="A43" s="11" t="inlineStr">
        <is>
          <t>SLAC ESH Chapter 50 (RF Safety)</t>
        </is>
      </c>
      <c r="B43" s="11" t="inlineStr">
        <is>
          <t>SLAC ES&amp;H Division</t>
        </is>
      </c>
      <c r="C43" s="19" t="inlineStr">
        <is>
          <t>https://esh.slac.stanford.edu/hazardous_activities/rf</t>
        </is>
      </c>
      <c r="D43" s="11" t="inlineStr">
        <is>
          <t>Reference</t>
        </is>
      </c>
      <c r="E43" s="11" t="inlineStr">
        <is>
          <t>N/A</t>
        </is>
      </c>
      <c r="F43" s="11" t="inlineStr">
        <is>
          <t>May 2024</t>
        </is>
      </c>
      <c r="G43" s="11" t="inlineStr">
        <is>
          <t>Program manager: Mike McDaniel. Governs all RF sources &gt;1W at SLAC. IEEE C95.1 based.</t>
        </is>
      </c>
    </row>
    <row r="44">
      <c r="A44" s="11" t="inlineStr">
        <is>
          <t>OSHA 1910.97 (Nonionizing Radiation)</t>
        </is>
      </c>
      <c r="B44" s="11" t="inlineStr">
        <is>
          <t>OSHA</t>
        </is>
      </c>
      <c r="C44" s="19" t="inlineStr">
        <is>
          <t>https://www.osha.gov/laws-regs/regulations/standardnumber/1910/1910.97</t>
        </is>
      </c>
      <c r="D44" s="11" t="inlineStr">
        <is>
          <t>Reference</t>
        </is>
      </c>
      <c r="E44" s="11" t="inlineStr">
        <is>
          <t>N/A</t>
        </is>
      </c>
      <c r="F44" s="11" t="inlineStr">
        <is>
          <t>Federal reg</t>
        </is>
      </c>
      <c r="G44" s="11" t="inlineStr">
        <is>
          <t>Federal standard for electromagnetic radiation exposure limits</t>
        </is>
      </c>
    </row>
    <row r="46">
      <c r="A46" s="31" t="inlineStr">
        <is>
          <t>VENDOR VERIFICATION NOTES (March 2026)</t>
        </is>
      </c>
    </row>
    <row r="47">
      <c r="A47" s="22" t="inlineStr">
        <is>
          <t>Bird Technologies</t>
        </is>
      </c>
      <c r="B47" t="inlineStr">
        <is>
          <t>REMOVED — Max power 20 kW (8740 Series). Unsuitable for 250+ kW circulator loads. Replaced by FMT.</t>
        </is>
      </c>
    </row>
    <row r="48">
      <c r="A48" s="22" t="inlineStr">
        <is>
          <t>SPINNER Group</t>
        </is>
      </c>
      <c r="B48" t="inlineStr">
        <is>
          <t>REMOVED — Broadcast-grade combiners (8.8 kW max @ 80.5 MHz). Unsuitable for 260 kW @ 476 MHz. Replaced by Mega Industries.</t>
        </is>
      </c>
    </row>
    <row r="49">
      <c r="A49" s="22" t="inlineStr">
        <is>
          <t>AFT Microwave</t>
        </is>
      </c>
      <c r="B49" t="inlineStr">
        <is>
          <t>CAUTION — Products focus L/S/C/X bands (GHz range). Confirm 476 MHz coverage before ordering. FMT is preferred.</t>
        </is>
      </c>
    </row>
    <row r="50">
      <c r="A50" s="22" t="inlineStr">
        <is>
          <t>Ferrite Microwave Technologies (FMT)</t>
        </is>
      </c>
      <c r="B50" t="inlineStr">
        <is>
          <t>ADDED — WR28-WR2300, 50 MHz-50 GHz, 1400+ designs. Accelerator specialist. Loads + circulators.</t>
        </is>
      </c>
    </row>
    <row r="51">
      <c r="A51" s="22" t="inlineStr">
        <is>
          <t>Mega Industries SSPA Combiner</t>
        </is>
      </c>
      <c r="B51" t="inlineStr">
        <is>
          <t>ADDED — NSLS-II precedent: 4×80kW=320kW @ 500 MHz (Brookhaven). Nearly identical to SPEAR3.</t>
        </is>
      </c>
    </row>
    <row r="52">
      <c r="A52" s="22" t="inlineStr">
        <is>
          <t>MCI Broadcast</t>
        </is>
      </c>
      <c r="B52" t="inlineStr">
        <is>
          <t>ADDED — Micro Communications waveguide loads for particle accelerators, 0.32-10 GHz.</t>
        </is>
      </c>
    </row>
    <row r="53">
      <c r="A53" s="22" t="inlineStr">
        <is>
          <t>All other vendors</t>
        </is>
      </c>
      <c r="B53" t="inlineStr">
        <is>
          <t>VERIFIED — Links confirmed active, components confirmed suitable for 476.3 MHz / WR2100 / high-power CW.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3" r:id="rId5"/>
    <hyperlink xmlns:r="http://schemas.openxmlformats.org/officeDocument/2006/relationships" ref="C14" r:id="rId6"/>
    <hyperlink xmlns:r="http://schemas.openxmlformats.org/officeDocument/2006/relationships" ref="C15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2" r:id="rId12"/>
    <hyperlink xmlns:r="http://schemas.openxmlformats.org/officeDocument/2006/relationships" ref="C23" r:id="rId13"/>
    <hyperlink xmlns:r="http://schemas.openxmlformats.org/officeDocument/2006/relationships" ref="C24" r:id="rId14"/>
    <hyperlink xmlns:r="http://schemas.openxmlformats.org/officeDocument/2006/relationships" ref="C25" r:id="rId15"/>
    <hyperlink xmlns:r="http://schemas.openxmlformats.org/officeDocument/2006/relationships" ref="C26" r:id="rId16"/>
    <hyperlink xmlns:r="http://schemas.openxmlformats.org/officeDocument/2006/relationships" ref="C27" r:id="rId17"/>
    <hyperlink xmlns:r="http://schemas.openxmlformats.org/officeDocument/2006/relationships" ref="C28" r:id="rId18"/>
    <hyperlink xmlns:r="http://schemas.openxmlformats.org/officeDocument/2006/relationships" ref="C29" r:id="rId19"/>
    <hyperlink xmlns:r="http://schemas.openxmlformats.org/officeDocument/2006/relationships" ref="C30" r:id="rId20"/>
    <hyperlink xmlns:r="http://schemas.openxmlformats.org/officeDocument/2006/relationships" ref="C32" r:id="rId21"/>
    <hyperlink xmlns:r="http://schemas.openxmlformats.org/officeDocument/2006/relationships" ref="C33" r:id="rId22"/>
    <hyperlink xmlns:r="http://schemas.openxmlformats.org/officeDocument/2006/relationships" ref="C34" r:id="rId23"/>
    <hyperlink xmlns:r="http://schemas.openxmlformats.org/officeDocument/2006/relationships" ref="C35" r:id="rId24"/>
    <hyperlink xmlns:r="http://schemas.openxmlformats.org/officeDocument/2006/relationships" ref="C36" r:id="rId25"/>
    <hyperlink xmlns:r="http://schemas.openxmlformats.org/officeDocument/2006/relationships" ref="C37" r:id="rId26"/>
    <hyperlink xmlns:r="http://schemas.openxmlformats.org/officeDocument/2006/relationships" ref="C40" r:id="rId27"/>
    <hyperlink xmlns:r="http://schemas.openxmlformats.org/officeDocument/2006/relationships" ref="C43" r:id="rId28"/>
    <hyperlink xmlns:r="http://schemas.openxmlformats.org/officeDocument/2006/relationships" ref="C44" r:id="rId2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selection activeCell="A76" sqref="A76"/>
    </sheetView>
  </sheetViews>
  <sheetFormatPr baseColWidth="8" defaultRowHeight="14.5"/>
  <cols>
    <col width="45" customWidth="1" style="30" min="1" max="1"/>
    <col width="18" customWidth="1" style="30" min="2" max="2"/>
    <col width="18" customWidth="1" style="30" min="3" max="3"/>
    <col width="18" customWidth="1" style="30" min="4" max="4"/>
    <col width="45" customWidth="1" style="30" min="5" max="5"/>
    <col width="9.81640625" customWidth="1" style="30" min="7" max="7"/>
    <col width="43.81640625" customWidth="1" style="30" min="8" max="8"/>
  </cols>
  <sheetData>
    <row r="1">
      <c r="A1" s="44" t="inlineStr">
        <is>
          <t>SPEAR3 SSA Upgrade Project — Executive Summary</t>
        </is>
      </c>
      <c r="B1" s="42" t="n"/>
      <c r="C1" s="42" t="n"/>
      <c r="D1" s="42" t="n"/>
      <c r="E1" s="42" t="n"/>
      <c r="F1" s="42" t="n"/>
      <c r="G1" s="42" t="n"/>
      <c r="H1" s="42" t="n"/>
    </row>
    <row r="2">
      <c r="A2" s="45" t="inlineStr">
        <is>
          <t>AACE Class 4 Cost Estimate | FY2026 Base Year</t>
        </is>
      </c>
      <c r="B2" s="42" t="n"/>
      <c r="C2" s="42" t="n"/>
      <c r="D2" s="42" t="n"/>
      <c r="E2" s="42" t="n"/>
      <c r="F2" s="42" t="n"/>
      <c r="G2" s="42" t="n"/>
      <c r="H2" s="42" t="n"/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>
      <c r="A4" s="46" t="inlineStr">
        <is>
          <t>1. PROJECT OBJECTIVE</t>
        </is>
      </c>
      <c r="B4" s="42" t="n"/>
      <c r="C4" s="42" t="n"/>
      <c r="D4" s="42" t="n"/>
      <c r="E4" s="42" t="n"/>
      <c r="F4" s="42" t="n"/>
      <c r="G4" s="42" t="n"/>
      <c r="H4" s="42" t="n"/>
    </row>
    <row r="5">
      <c r="A5" s="47" t="inlineStr">
        <is>
          <t>Replace the existing single 1.2 MW klystron RF source with a distributed solid-state amplifier (SSA) system of 16 × 65 kW modules (~1,040 kW total) at 476.3 MHz, powering four RF cavities in the SPEAR3 storage ring. This directly improves reliability (no single-point klystron failure), maintainability (hot-swappable modules), and operational flexibility (N-1 graceful degradation).</t>
        </is>
      </c>
      <c r="B5" s="42" t="n"/>
      <c r="C5" s="42" t="n"/>
      <c r="D5" s="42" t="n"/>
      <c r="E5" s="42" t="n"/>
      <c r="F5" s="42" t="n"/>
      <c r="G5" s="42" t="n"/>
      <c r="H5" s="42" t="n"/>
    </row>
    <row r="6">
      <c r="A6" s="42" t="n"/>
      <c r="B6" s="42" t="n"/>
      <c r="C6" s="42" t="n"/>
      <c r="D6" s="42" t="n"/>
      <c r="E6" s="42" t="n"/>
      <c r="F6" s="42" t="n"/>
      <c r="G6" s="42" t="n"/>
      <c r="H6" s="42" t="n"/>
    </row>
    <row r="7">
      <c r="A7" s="46" t="inlineStr">
        <is>
          <t>2. SCOPE SUMMARY (WBS 1-10)</t>
        </is>
      </c>
      <c r="B7" s="42" t="n"/>
      <c r="C7" s="42" t="n"/>
      <c r="D7" s="42" t="n"/>
      <c r="E7" s="42" t="n"/>
      <c r="F7" s="42" t="n"/>
      <c r="G7" s="42" t="n"/>
      <c r="H7" s="42" t="n"/>
    </row>
    <row r="8" ht="45" customHeight="1" s="30">
      <c r="A8" s="48" t="inlineStr">
        <is>
          <t>WBS</t>
        </is>
      </c>
      <c r="B8" s="48" t="inlineStr">
        <is>
          <t>Category</t>
        </is>
      </c>
      <c r="C8" s="48" t="inlineStr">
        <is>
          <t>Scope</t>
        </is>
      </c>
      <c r="D8" s="42" t="n"/>
      <c r="E8" s="42" t="n"/>
      <c r="F8" s="42" t="n"/>
      <c r="G8" s="42" t="n"/>
      <c r="H8" s="49" t="n"/>
    </row>
    <row r="9" ht="45" customHeight="1" s="30">
      <c r="A9" s="50" t="inlineStr">
        <is>
          <t>WBS 1.0</t>
        </is>
      </c>
      <c r="B9" s="42" t="inlineStr">
        <is>
          <t>SSA RF Source</t>
        </is>
      </c>
      <c r="C9" s="47" t="inlineStr">
        <is>
          <t>16 × 65 kW modules + 2 hot-swap spares from R&amp;K; design study &amp; test stand</t>
        </is>
      </c>
      <c r="D9" s="42" t="n"/>
      <c r="E9" s="42" t="n"/>
      <c r="F9" s="42" t="n"/>
      <c r="G9" s="42" t="n"/>
      <c r="H9" s="49" t="n"/>
    </row>
    <row r="10">
      <c r="A10" s="50" t="inlineStr">
        <is>
          <t>WBS 2.0</t>
        </is>
      </c>
      <c r="B10" s="42" t="inlineStr">
        <is>
          <t>RF Distribution</t>
        </is>
      </c>
      <c r="C10" s="47" t="inlineStr">
        <is>
          <t>4:1 coaxial combiners, 4 WR2100 waveguide runs, circulators, loads</t>
        </is>
      </c>
      <c r="D10" s="42" t="n"/>
      <c r="E10" s="42" t="n"/>
      <c r="F10" s="42" t="n"/>
      <c r="G10" s="42" t="n"/>
      <c r="H10" s="42" t="n"/>
    </row>
    <row r="11">
      <c r="A11" s="50" t="inlineStr">
        <is>
          <t>WBS 3.0</t>
        </is>
      </c>
      <c r="B11" s="42" t="inlineStr">
        <is>
          <t>Controls &amp; Protection</t>
        </is>
      </c>
      <c r="C11" s="47" t="inlineStr">
        <is>
          <t>2 additional LLRF9 units, interface chassis, MPS, PPS, NIP system</t>
        </is>
      </c>
      <c r="D11" s="42" t="n"/>
      <c r="E11" s="42" t="n"/>
      <c r="F11" s="42" t="n"/>
      <c r="G11" s="42" t="n"/>
      <c r="H11" s="42" t="n"/>
    </row>
    <row r="12">
      <c r="A12" s="50" t="inlineStr">
        <is>
          <t>WBS 4.0</t>
        </is>
      </c>
      <c r="B12" s="42" t="inlineStr">
        <is>
          <t>Software &amp; Integration</t>
        </is>
      </c>
      <c r="C12" s="47" t="inlineStr">
        <is>
          <t>EPICS IOCs, state machine, operator panels, commissioning tools</t>
        </is>
      </c>
      <c r="D12" s="42" t="n"/>
      <c r="E12" s="42" t="n"/>
      <c r="F12" s="42" t="n"/>
      <c r="G12" s="42" t="n"/>
      <c r="H12" s="42" t="n"/>
    </row>
    <row r="13">
      <c r="A13" s="50" t="inlineStr">
        <is>
          <t>WBS 5.0</t>
        </is>
      </c>
      <c r="B13" s="42" t="inlineStr">
        <is>
          <t>Installation &amp; Commissioning</t>
        </is>
      </c>
      <c r="C13" s="47" t="inlineStr">
        <is>
          <t>4-station phased installation, integration testing</t>
        </is>
      </c>
      <c r="D13" s="42" t="n"/>
      <c r="E13" s="42" t="n"/>
      <c r="F13" s="42" t="n"/>
      <c r="G13" s="42" t="n"/>
      <c r="H13" s="42" t="n"/>
    </row>
    <row r="14">
      <c r="A14" s="50" t="inlineStr">
        <is>
          <t>WBS 6.0</t>
        </is>
      </c>
      <c r="B14" s="42" t="inlineStr">
        <is>
          <t>Site Preparation</t>
        </is>
      </c>
      <c r="C14" s="47" t="inlineStr">
        <is>
          <t>Existing waveguide removal, cable tray relocation, equipment relocation</t>
        </is>
      </c>
      <c r="D14" s="42" t="n"/>
      <c r="E14" s="42" t="n"/>
      <c r="F14" s="42" t="n"/>
      <c r="G14" s="42" t="n"/>
      <c r="H14" s="42" t="n"/>
    </row>
    <row r="15">
      <c r="A15" s="50" t="inlineStr">
        <is>
          <t>WBS 7.0</t>
        </is>
      </c>
      <c r="B15" s="42" t="inlineStr">
        <is>
          <t>SSA Test Station (Bldg 122)</t>
        </is>
      </c>
      <c r="C15" s="47" t="inlineStr">
        <is>
          <t>RF source, waveguide, circulator, load; control software; infrastructure</t>
        </is>
      </c>
      <c r="D15" s="42" t="n"/>
      <c r="E15" s="42" t="n"/>
      <c r="F15" s="42" t="n"/>
      <c r="G15" s="42" t="n"/>
      <c r="H15" s="42" t="n"/>
    </row>
    <row r="16">
      <c r="A16" s="50" t="inlineStr">
        <is>
          <t>WBS 8.0</t>
        </is>
      </c>
      <c r="B16" s="42" t="inlineStr">
        <is>
          <t>Infrastructure</t>
        </is>
      </c>
      <c r="C16" s="47" t="inlineStr">
        <is>
          <t>480V distribution (Sub 507), LCW upgrade (~400 GPM), building extension</t>
        </is>
      </c>
      <c r="D16" s="42" t="n"/>
      <c r="E16" s="42" t="n"/>
      <c r="F16" s="42" t="n"/>
      <c r="G16" s="42" t="n"/>
      <c r="H16" s="42" t="n"/>
    </row>
    <row r="17">
      <c r="A17" s="50" t="inlineStr">
        <is>
          <t>WBS 9.0</t>
        </is>
      </c>
      <c r="B17" s="42" t="inlineStr">
        <is>
          <t>Decommissioning</t>
        </is>
      </c>
      <c r="C17" s="47" t="inlineStr">
        <is>
          <t>Klystron, HVPS, waveguide, circulator removal; hazmat; environmental</t>
        </is>
      </c>
      <c r="D17" s="42" t="n"/>
      <c r="E17" s="42" t="n"/>
      <c r="F17" s="42" t="n"/>
      <c r="G17" s="42" t="n"/>
      <c r="H17" s="42" t="n"/>
    </row>
    <row r="18">
      <c r="A18" s="50" t="inlineStr">
        <is>
          <t>WBS 10.0</t>
        </is>
      </c>
      <c r="B18" s="42" t="inlineStr">
        <is>
          <t>Project Management</t>
        </is>
      </c>
      <c r="C18" s="47" t="inlineStr">
        <is>
          <t>Technical PM (~0.5 FTE/yr), safety reviews, PMO support (~0.5 FTE/yr)</t>
        </is>
      </c>
      <c r="D18" s="42" t="n"/>
      <c r="E18" s="42" t="n"/>
      <c r="F18" s="42" t="n"/>
      <c r="G18" s="42" t="n"/>
      <c r="H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</row>
    <row r="20">
      <c r="A20" s="46" t="inlineStr">
        <is>
          <t>3. KEY TECHNICAL PARAMETERS</t>
        </is>
      </c>
      <c r="B20" s="42" t="n"/>
      <c r="C20" s="42" t="n"/>
      <c r="D20" s="42" t="n"/>
      <c r="E20" s="42" t="n"/>
      <c r="F20" s="42" t="n"/>
      <c r="G20" s="42" t="n"/>
      <c r="H20" s="42" t="n"/>
    </row>
    <row r="21">
      <c r="A21" s="42" t="inlineStr">
        <is>
          <t xml:space="preserve">  Operating frequency</t>
        </is>
      </c>
      <c r="B21" s="47" t="inlineStr">
        <is>
          <t>476.3 MHz</t>
        </is>
      </c>
      <c r="C21" s="42" t="n"/>
      <c r="D21" s="42" t="n"/>
      <c r="E21" s="42" t="n"/>
      <c r="F21" s="42" t="n"/>
      <c r="G21" s="42" t="n"/>
      <c r="H21" s="42" t="n"/>
    </row>
    <row r="22">
      <c r="A22" s="42" t="inlineStr">
        <is>
          <t xml:space="preserve">  Total RF power</t>
        </is>
      </c>
      <c r="B22" s="47" t="inlineStr">
        <is>
          <t>16 × 65 kW = 1,040 kW</t>
        </is>
      </c>
      <c r="C22" s="42" t="n"/>
      <c r="D22" s="42" t="n"/>
      <c r="E22" s="42" t="n"/>
      <c r="F22" s="42" t="n"/>
      <c r="G22" s="42" t="n"/>
      <c r="H22" s="42" t="n"/>
    </row>
    <row r="23">
      <c r="A23" s="42" t="inlineStr">
        <is>
          <t xml:space="preserve">  RF cavities</t>
        </is>
      </c>
      <c r="B23" s="47" t="inlineStr">
        <is>
          <t>4 (SPEAR3 storage ring, PEP-II style)</t>
        </is>
      </c>
      <c r="C23" s="42" t="n"/>
      <c r="D23" s="42" t="n"/>
      <c r="E23" s="42" t="n"/>
      <c r="F23" s="42" t="n"/>
      <c r="G23" s="42" t="n"/>
      <c r="H23" s="42" t="n"/>
    </row>
    <row r="24">
      <c r="A24" s="42" t="inlineStr">
        <is>
          <t xml:space="preserve">  SSA per cavity</t>
        </is>
      </c>
      <c r="B24" s="47" t="inlineStr">
        <is>
          <t>4 modules via 4:1 coaxial combiner → WR2100</t>
        </is>
      </c>
      <c r="C24" s="42" t="n"/>
      <c r="D24" s="42" t="n"/>
      <c r="E24" s="42" t="n"/>
      <c r="F24" s="42" t="n"/>
      <c r="G24" s="42" t="n"/>
      <c r="H24" s="42" t="n"/>
    </row>
    <row r="25">
      <c r="A25" s="42" t="inlineStr">
        <is>
          <t xml:space="preserve">  Waveguide</t>
        </is>
      </c>
      <c r="B25" s="47" t="inlineStr">
        <is>
          <t>WR2100 (λg ≈ 80.4 cm at 476.3 MHz)</t>
        </is>
      </c>
      <c r="C25" s="42" t="n"/>
      <c r="D25" s="42" t="n"/>
      <c r="E25" s="42" t="n"/>
      <c r="F25" s="42" t="n"/>
      <c r="G25" s="42" t="n"/>
      <c r="H25" s="42" t="n"/>
    </row>
    <row r="26">
      <c r="A26" s="42" t="inlineStr">
        <is>
          <t xml:space="preserve">  Cooling</t>
        </is>
      </c>
      <c r="B26" s="47" t="inlineStr">
        <is>
          <t>LCW, ~400 GPM total (~100 GPM/station, ΔT ~10K)</t>
        </is>
      </c>
      <c r="C26" s="42" t="n"/>
      <c r="D26" s="42" t="n"/>
      <c r="E26" s="42" t="n"/>
      <c r="F26" s="42" t="n"/>
      <c r="G26" s="42" t="n"/>
      <c r="H26" s="42" t="n"/>
    </row>
    <row r="27">
      <c r="A27" s="42" t="inlineStr">
        <is>
          <t xml:space="preserve">  SSA building</t>
        </is>
      </c>
      <c r="B27" s="47" t="inlineStr">
        <is>
          <t>Two-story, ~936 sqft total, 27 ft height, 12 ft clear under platform</t>
        </is>
      </c>
      <c r="C27" s="42" t="n"/>
      <c r="D27" s="42" t="n"/>
      <c r="E27" s="42" t="n"/>
      <c r="F27" s="42" t="n"/>
      <c r="G27" s="42" t="n"/>
      <c r="H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>
      <c r="A29" s="46" t="inlineStr">
        <is>
          <t>4. PROJECT TIMELINE</t>
        </is>
      </c>
      <c r="B29" s="42" t="n"/>
      <c r="C29" s="42" t="n"/>
      <c r="D29" s="42" t="n"/>
      <c r="E29" s="42" t="n"/>
      <c r="F29" s="42" t="n"/>
      <c r="G29" s="42" t="n"/>
      <c r="H29" s="42" t="n"/>
    </row>
    <row r="30">
      <c r="A30" s="42" t="inlineStr">
        <is>
          <t xml:space="preserve">  Duration: ~5 years (completion ~2032–2033)</t>
        </is>
      </c>
      <c r="B30" s="42" t="n"/>
      <c r="C30" s="42" t="n"/>
      <c r="D30" s="42" t="n"/>
      <c r="E30" s="42" t="n"/>
      <c r="F30" s="42" t="n"/>
      <c r="G30" s="42" t="n"/>
      <c r="H30" s="42" t="n"/>
    </row>
    <row r="31">
      <c r="A31" s="42" t="inlineStr">
        <is>
          <t xml:space="preserve">  Key dependencies:</t>
        </is>
      </c>
      <c r="B31" s="42" t="n"/>
      <c r="C31" s="42" t="n"/>
      <c r="D31" s="42" t="n"/>
      <c r="E31" s="42" t="n"/>
      <c r="F31" s="42" t="n"/>
      <c r="G31" s="42" t="n"/>
      <c r="H31" s="42" t="n"/>
    </row>
    <row r="32">
      <c r="A32" s="42" t="inlineStr">
        <is>
          <t xml:space="preserve">    • Substation 507 upgrade schedule (electrical infrastructure)</t>
        </is>
      </c>
      <c r="B32" s="42" t="n"/>
      <c r="C32" s="42" t="n"/>
      <c r="D32" s="42" t="n"/>
      <c r="E32" s="42" t="n"/>
      <c r="F32" s="42" t="n"/>
      <c r="G32" s="42" t="n"/>
      <c r="H32" s="42" t="n"/>
    </row>
    <row r="33">
      <c r="A33" s="42" t="inlineStr">
        <is>
          <t xml:space="preserve">    • F&amp;O support for LCW cooling water connection</t>
        </is>
      </c>
      <c r="B33" s="42" t="n"/>
      <c r="C33" s="42" t="n"/>
      <c r="D33" s="42" t="n"/>
      <c r="E33" s="42" t="n"/>
      <c r="F33" s="42" t="n"/>
      <c r="G33" s="42" t="n"/>
      <c r="H33" s="42" t="n"/>
    </row>
    <row r="34">
      <c r="A34" s="42" t="inlineStr">
        <is>
          <t xml:space="preserve">    • R&amp;K vendor SSA manufacturing &amp; delivery</t>
        </is>
      </c>
      <c r="B34" s="42" t="n"/>
      <c r="C34" s="42" t="n"/>
      <c r="D34" s="42" t="n"/>
      <c r="E34" s="42" t="n"/>
      <c r="F34" s="42" t="n"/>
      <c r="G34" s="42" t="n"/>
      <c r="H34" s="42" t="n"/>
    </row>
    <row r="35">
      <c r="A35" s="42" t="inlineStr">
        <is>
          <t xml:space="preserve">    • SPEAR summer shutdown windows (~8 weeks) for integration testing</t>
        </is>
      </c>
      <c r="B35" s="42" t="n"/>
      <c r="C35" s="42" t="n"/>
      <c r="D35" s="42" t="n"/>
      <c r="E35" s="42" t="n"/>
      <c r="F35" s="42" t="n"/>
      <c r="G35" s="42" t="n"/>
      <c r="H35" s="42" t="n"/>
    </row>
    <row r="36">
      <c r="A36" s="42" t="inlineStr">
        <is>
          <t xml:space="preserve">    • Engineering resource availability (facility design)</t>
        </is>
      </c>
      <c r="B36" s="42" t="n"/>
      <c r="C36" s="42" t="n"/>
      <c r="D36" s="42" t="n"/>
      <c r="E36" s="42" t="n"/>
      <c r="F36" s="42" t="n"/>
      <c r="G36" s="42" t="n"/>
      <c r="H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</row>
    <row r="38">
      <c r="A38" s="46" t="inlineStr">
        <is>
          <t>5. COST SUMMARY</t>
        </is>
      </c>
      <c r="B38" s="42" t="n"/>
      <c r="C38" s="42" t="n"/>
      <c r="D38" s="42" t="n"/>
      <c r="E38" s="42" t="n"/>
      <c r="F38" s="42" t="n"/>
      <c r="G38" s="42" t="n"/>
      <c r="H38" s="42" t="n"/>
    </row>
    <row r="39">
      <c r="A39" s="48" t="inlineStr">
        <is>
          <t>WBS Category</t>
        </is>
      </c>
      <c r="B39" s="48" t="inlineStr">
        <is>
          <t>M&amp;S (k$)</t>
        </is>
      </c>
      <c r="C39" s="48" t="inlineStr">
        <is>
          <t>Labor (k$)</t>
        </is>
      </c>
      <c r="D39" s="48" t="inlineStr">
        <is>
          <t>Total (k$)</t>
        </is>
      </c>
      <c r="E39" s="42" t="n"/>
      <c r="F39" s="42" t="n"/>
      <c r="G39" s="42" t="n"/>
      <c r="H39" s="42" t="n"/>
    </row>
    <row r="40">
      <c r="A40" s="42" t="inlineStr">
        <is>
          <t>WBS 1-7: RF/Controls &amp; Test Station</t>
        </is>
      </c>
      <c r="B40" s="42">
        <f>'Class 4 Estimate'!C87</f>
        <v/>
      </c>
      <c r="C40" s="42">
        <f>'Class 4 Estimate'!E87</f>
        <v/>
      </c>
      <c r="D40" s="42">
        <f>'Class 4 Estimate'!F87</f>
        <v/>
      </c>
      <c r="E40" s="42" t="n"/>
      <c r="F40" s="42" t="n"/>
      <c r="G40" s="42" t="n"/>
      <c r="H40" s="42" t="n"/>
    </row>
    <row r="41">
      <c r="A41" s="42" t="inlineStr">
        <is>
          <t>WBS 8: Infrastructure</t>
        </is>
      </c>
      <c r="B41" s="42">
        <f>'Class 4 Estimate'!C88</f>
        <v/>
      </c>
      <c r="C41" s="42">
        <f>'Class 4 Estimate'!E88</f>
        <v/>
      </c>
      <c r="D41" s="42">
        <f>'Class 4 Estimate'!F88</f>
        <v/>
      </c>
      <c r="E41" s="42" t="n"/>
      <c r="F41" s="42" t="n"/>
      <c r="G41" s="42" t="n"/>
      <c r="H41" s="42" t="n"/>
    </row>
    <row r="42">
      <c r="A42" s="42" t="inlineStr">
        <is>
          <t>WBS 9: Decommissioning</t>
        </is>
      </c>
      <c r="B42" s="42">
        <f>'Class 4 Estimate'!C89</f>
        <v/>
      </c>
      <c r="C42" s="42">
        <f>'Class 4 Estimate'!E89</f>
        <v/>
      </c>
      <c r="D42" s="42">
        <f>'Class 4 Estimate'!F89</f>
        <v/>
      </c>
      <c r="E42" s="42" t="n"/>
      <c r="F42" s="42" t="n"/>
      <c r="G42" s="42" t="n"/>
      <c r="H42" s="42" t="n"/>
    </row>
    <row r="43">
      <c r="A43" s="42" t="inlineStr">
        <is>
          <t>WBS 10: Project Management</t>
        </is>
      </c>
      <c r="B43" s="42">
        <f>'Class 4 Estimate'!C90</f>
        <v/>
      </c>
      <c r="C43" s="42">
        <f>'Class 4 Estimate'!E90</f>
        <v/>
      </c>
      <c r="D43" s="42">
        <f>'Class 4 Estimate'!F90</f>
        <v/>
      </c>
      <c r="E43" s="42" t="n"/>
      <c r="F43" s="42" t="n"/>
      <c r="G43" s="42" t="n"/>
      <c r="H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</row>
    <row r="45">
      <c r="A45" s="50" t="inlineStr">
        <is>
          <t>PROJECT BASE ESTIMATE</t>
        </is>
      </c>
      <c r="B45" s="42" t="n"/>
      <c r="C45" s="42" t="n"/>
      <c r="D45" s="50">
        <f>'Class 4 Estimate'!F92</f>
        <v/>
      </c>
      <c r="E45" s="42" t="n"/>
      <c r="F45" s="42" t="n"/>
      <c r="G45" s="42" t="n"/>
      <c r="H45" s="42" t="n"/>
    </row>
    <row r="46">
      <c r="A46" s="42" t="inlineStr">
        <is>
          <t>Contingency (30%)</t>
        </is>
      </c>
      <c r="B46" s="42" t="n"/>
      <c r="C46" s="42" t="n"/>
      <c r="D46" s="42">
        <f>'Class 4 Estimate'!F93</f>
        <v/>
      </c>
      <c r="E46" s="42" t="n"/>
      <c r="F46" s="42" t="n"/>
      <c r="G46" s="42" t="n"/>
      <c r="H46" s="42" t="n"/>
    </row>
    <row r="47">
      <c r="A47" s="51" t="inlineStr">
        <is>
          <t>TOTAL ESTIMATED COST</t>
        </is>
      </c>
      <c r="B47" s="42" t="n"/>
      <c r="C47" s="42" t="n"/>
      <c r="D47" s="51">
        <f>'Class 4 Estimate'!F94</f>
        <v/>
      </c>
      <c r="E47" s="42" t="n"/>
      <c r="F47" s="42" t="n"/>
      <c r="G47" s="42" t="n"/>
      <c r="H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</row>
    <row r="49">
      <c r="A49" s="46" t="inlineStr">
        <is>
          <t>6. KEY DEPENDENCIES &amp; INTERFACES</t>
        </is>
      </c>
      <c r="B49" s="42" t="n"/>
      <c r="C49" s="42" t="n"/>
      <c r="D49" s="42" t="n"/>
      <c r="E49" s="42" t="n"/>
      <c r="F49" s="42" t="n"/>
      <c r="G49" s="42" t="n"/>
      <c r="H49" s="42" t="n"/>
    </row>
    <row r="50">
      <c r="A50" s="50" t="inlineStr">
        <is>
          <t xml:space="preserve">  LLRF Upgrade</t>
        </is>
      </c>
      <c r="B50" s="47" t="inlineStr">
        <is>
          <t>Independent, separately-funded project. SSA leverages 2 existing LLRF9 units and procures 2 more. No schedule dependency.</t>
        </is>
      </c>
      <c r="C50" s="42" t="n"/>
      <c r="D50" s="42" t="n"/>
      <c r="E50" s="42" t="n"/>
      <c r="F50" s="42" t="n"/>
      <c r="G50" s="42" t="n"/>
      <c r="H50" s="42" t="n"/>
    </row>
    <row r="51">
      <c r="A51" s="50" t="inlineStr">
        <is>
          <t xml:space="preserve">  Substation 507</t>
        </is>
      </c>
      <c r="B51" s="47" t="inlineStr">
        <is>
          <t>Electrical infrastructure upgrade ($1-2M, 2-3 year timeline). SSA 480V distribution depends on this.</t>
        </is>
      </c>
      <c r="C51" s="42" t="n"/>
      <c r="D51" s="42" t="n"/>
      <c r="E51" s="42" t="n"/>
      <c r="F51" s="42" t="n"/>
      <c r="G51" s="42" t="n"/>
      <c r="H51" s="42" t="n"/>
    </row>
    <row r="52">
      <c r="A52" s="50" t="inlineStr">
        <is>
          <t xml:space="preserve">  F&amp;O / Facilities</t>
        </is>
      </c>
      <c r="B52" s="47" t="inlineStr">
        <is>
          <t>LCW cooling connection (400 GPM), building permits, fire marshal approval, utility relocations.</t>
        </is>
      </c>
      <c r="C52" s="42" t="n"/>
      <c r="D52" s="42" t="n"/>
      <c r="E52" s="42" t="n"/>
      <c r="F52" s="42" t="n"/>
      <c r="G52" s="42" t="n"/>
      <c r="H52" s="42" t="n"/>
    </row>
    <row r="53">
      <c r="A53" s="50" t="inlineStr">
        <is>
          <t xml:space="preserve">  R&amp;K Company</t>
        </is>
      </c>
      <c r="B53" s="47" t="inlineStr">
        <is>
          <t>SSA module vendor. 16 units + 2 spares. Design iteration via Bldg 122 test station.</t>
        </is>
      </c>
      <c r="C53" s="42" t="n"/>
      <c r="D53" s="42" t="n"/>
      <c r="E53" s="42" t="n"/>
      <c r="F53" s="42" t="n"/>
      <c r="G53" s="42" t="n"/>
      <c r="H53" s="42" t="n"/>
    </row>
    <row r="54">
      <c r="A54" s="50" t="inlineStr">
        <is>
          <t xml:space="preserve">  SLAC AD Safety</t>
        </is>
      </c>
      <c r="B54" s="47" t="inlineStr">
        <is>
          <t>PPS and NIP system approval required before beam operation with SSAs.</t>
        </is>
      </c>
      <c r="C54" s="42" t="n"/>
      <c r="D54" s="42" t="n"/>
      <c r="E54" s="42" t="n"/>
      <c r="F54" s="42" t="n"/>
      <c r="G54" s="42" t="n"/>
      <c r="H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</row>
    <row r="56">
      <c r="A56" s="46" t="inlineStr">
        <is>
          <t>7. TOP RISKS</t>
        </is>
      </c>
      <c r="B56" s="42" t="n"/>
      <c r="C56" s="42" t="n"/>
      <c r="D56" s="42" t="n"/>
      <c r="E56" s="42" t="n"/>
      <c r="F56" s="42" t="n"/>
      <c r="G56" s="42" t="n"/>
      <c r="H56" s="42" t="n"/>
    </row>
    <row r="57">
      <c r="A57" s="47" t="inlineStr">
        <is>
          <t xml:space="preserve">  • Interface Chassis is on critical path — new SSA-specific design not yet started</t>
        </is>
      </c>
      <c r="B57" s="42" t="n"/>
      <c r="C57" s="42" t="n"/>
      <c r="D57" s="42" t="n"/>
      <c r="E57" s="42" t="n"/>
      <c r="F57" s="42" t="n"/>
      <c r="G57" s="42" t="n"/>
      <c r="H57" s="42" t="n"/>
    </row>
    <row r="58">
      <c r="A58" s="47" t="inlineStr">
        <is>
          <t xml:space="preserve">  • DOE lab construction costs typically 50-100% higher than commercial estimates</t>
        </is>
      </c>
      <c r="B58" s="42" t="n"/>
      <c r="C58" s="42" t="n"/>
      <c r="D58" s="42" t="n"/>
      <c r="E58" s="42" t="n"/>
      <c r="F58" s="42" t="n"/>
      <c r="G58" s="42" t="n"/>
      <c r="H58" s="42" t="n"/>
    </row>
    <row r="59">
      <c r="A59" s="47" t="inlineStr">
        <is>
          <t xml:space="preserve">  • HVPS transformer oil may contain PCBs — disposal cost could increase 3-5× if contaminated</t>
        </is>
      </c>
      <c r="B59" s="42" t="n"/>
      <c r="C59" s="42" t="n"/>
      <c r="D59" s="42" t="n"/>
      <c r="E59" s="42" t="n"/>
      <c r="F59" s="42" t="n"/>
      <c r="G59" s="42" t="n"/>
      <c r="H59" s="42" t="n"/>
    </row>
    <row r="60">
      <c r="A60" s="47" t="inlineStr">
        <is>
          <t xml:space="preserve">  • Limited SPEAR testing windows — integration constrained to summer shutdowns</t>
        </is>
      </c>
      <c r="B60" s="42" t="n"/>
      <c r="C60" s="42" t="n"/>
      <c r="D60" s="42" t="n"/>
      <c r="E60" s="42" t="n"/>
      <c r="F60" s="42" t="n"/>
      <c r="G60" s="42" t="n"/>
      <c r="H60" s="42" t="n"/>
    </row>
    <row r="61">
      <c r="A61" s="47" t="inlineStr">
        <is>
          <t xml:space="preserve">  • Substation 507 schedule uncertainty could delay entire SSA project</t>
        </is>
      </c>
      <c r="B61" s="42" t="n"/>
      <c r="C61" s="42" t="n"/>
      <c r="D61" s="42" t="n"/>
      <c r="E61" s="42" t="n"/>
      <c r="F61" s="42" t="n"/>
      <c r="G61" s="42" t="n"/>
      <c r="H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</row>
    <row r="63">
      <c r="A63" s="45" t="inlineStr">
        <is>
          <t>Reference: See "Class 4 Estimate" tab for detailed WBS line-item breakdown and "Reference Pricing" for vendor quotes.</t>
        </is>
      </c>
      <c r="B63" s="42" t="n"/>
      <c r="C63" s="42" t="n"/>
      <c r="D63" s="42" t="n"/>
      <c r="E63" s="42" t="n"/>
      <c r="F63" s="42" t="n"/>
      <c r="G63" s="42" t="n"/>
      <c r="H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</row>
  </sheetData>
  <pageMargins left="0.7" right="0.7" top="0.75" bottom="0.75" header="0.3" footer="0.3"/>
  <pageSetup orientation="portrait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4:C7"/>
  <sheetViews>
    <sheetView zoomScale="85" zoomScaleNormal="85" workbookViewId="0">
      <selection activeCell="I8" sqref="I8"/>
    </sheetView>
  </sheetViews>
  <sheetFormatPr baseColWidth="8" defaultRowHeight="14.5"/>
  <cols>
    <col width="13.54296875" customWidth="1" style="30" min="2" max="2"/>
  </cols>
  <sheetData>
    <row r="4">
      <c r="C4" t="inlineStr">
        <is>
          <t>k$</t>
        </is>
      </c>
    </row>
    <row r="5">
      <c r="B5" t="inlineStr">
        <is>
          <t>1 65 kw unit</t>
        </is>
      </c>
      <c r="C5">
        <f>311600/1000</f>
        <v/>
      </c>
    </row>
    <row r="7">
      <c r="B7" t="inlineStr">
        <is>
          <t>16 units</t>
        </is>
      </c>
      <c r="C7">
        <f>16*C5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Wang, Faya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2026-03-25T17:33:31Z</dcterms:modified>
  <cp:lastModifiedBy>Wang, Faya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0x010100162E8B9B8F494F4F9FA5AC6115F8BAFC</vt:lpwstr>
  </property>
  <property name="MediaServiceImageTags" fmtid="{D5CDD505-2E9C-101B-9397-08002B2CF9AE}" pid="3">
    <vt:lpwstr xmlns:vt="http://schemas.openxmlformats.org/officeDocument/2006/docPropsVTypes"/>
  </property>
</Properties>
</file>