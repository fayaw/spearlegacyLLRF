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460" yWindow="5385" windowWidth="20955" windowHeight="16425" tabRatio="600" firstSheet="0" activeTab="0" autoFilterDateGrouping="1"/>
  </bookViews>
  <sheets>
    <sheet xmlns:r="http://schemas.openxmlformats.org/officeDocument/2006/relationships" name="Class 4 Estimate" sheetId="1" state="visible" r:id="rId1"/>
    <sheet xmlns:r="http://schemas.openxmlformats.org/officeDocument/2006/relationships" name="cover page" sheetId="2" state="visible" r:id="rId2"/>
    <sheet xmlns:r="http://schemas.openxmlformats.org/officeDocument/2006/relationships" name="SSA quote from R&amp;K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  <font>
      <b val="1"/>
    </font>
    <font>
      <b val="1"/>
      <sz val="14"/>
    </font>
    <font>
      <i val="1"/>
      <sz val="10"/>
    </font>
    <font>
      <b val="1"/>
      <color rgb="00FFFFFF"/>
      <sz val="11"/>
    </font>
    <font>
      <b val="1"/>
      <sz val="11"/>
    </font>
    <font>
      <b val="1"/>
      <sz val="10"/>
    </font>
    <font>
      <i val="1"/>
      <color rgb="00666666"/>
      <sz val="10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2F3"/>
        <bgColor rgb="00D9E2F3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E6B8B7"/>
        <bgColor rgb="00E6B8B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left" indent="2"/>
    </xf>
    <xf numFmtId="0" fontId="0" fillId="0" borderId="1" applyAlignment="1" pivotButton="0" quotePrefix="0" xfId="0">
      <alignment vertic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2" applyAlignment="1" pivotButton="0" quotePrefix="0" xfId="0">
      <alignment horizontal="center" wrapText="1"/>
    </xf>
    <xf numFmtId="0" fontId="7" fillId="3" borderId="2" pivotButton="0" quotePrefix="0" xfId="0"/>
    <xf numFmtId="0" fontId="0" fillId="0" borderId="2" pivotButton="0" quotePrefix="0" xfId="0"/>
    <xf numFmtId="0" fontId="8" fillId="4" borderId="2" pivotButton="0" quotePrefix="0" xfId="0"/>
    <xf numFmtId="0" fontId="9" fillId="0" borderId="2" pivotButton="0" quotePrefix="0" xfId="0"/>
    <xf numFmtId="0" fontId="7" fillId="5" borderId="2" pivotButton="0" quotePrefix="0" xfId="0"/>
    <xf numFmtId="164" fontId="7" fillId="5" borderId="2" pivotButton="0" quotePrefix="0" xfId="0"/>
    <xf numFmtId="0" fontId="10" fillId="6" borderId="2" pivotButton="0" quotePrefix="0" xfId="0"/>
    <xf numFmtId="0" fontId="1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selection activeCell="A1" sqref="A1"/>
    </sheetView>
  </sheetViews>
  <sheetFormatPr baseColWidth="8" defaultRowHeight="15"/>
  <cols>
    <col width="8" customWidth="1" min="1" max="1"/>
    <col width="5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55" customWidth="1" min="8" max="8"/>
    <col width="12" customWidth="1" min="9" max="9"/>
  </cols>
  <sheetData>
    <row r="1">
      <c r="A1" s="7" t="inlineStr">
        <is>
          <t>SPEAR3 SSA Upgrade Project - Class 4 Cost Estimate (AACE 18R-97)</t>
        </is>
      </c>
    </row>
    <row r="2">
      <c r="A2" s="8" t="inlineStr">
        <is>
          <t>Design Maturity: 5-15%  |  Labor Rate: $200/hr burdened  |  1 FTE = 1,740 hrs/yr  |  All costs in k$  |  Base year: 2026</t>
        </is>
      </c>
    </row>
    <row r="4">
      <c r="A4" s="9" t="inlineStr">
        <is>
          <t>WBS</t>
        </is>
      </c>
      <c r="B4" s="9" t="inlineStr">
        <is>
          <t>Description</t>
        </is>
      </c>
      <c r="C4" s="9" t="inlineStr">
        <is>
          <t>M&amp;S (k$)</t>
        </is>
      </c>
      <c r="D4" s="9" t="inlineStr">
        <is>
          <t>Labor (FTE)</t>
        </is>
      </c>
      <c r="E4" s="9" t="inlineStr">
        <is>
          <t>Labor (k$)</t>
        </is>
      </c>
      <c r="F4" s="9" t="inlineStr">
        <is>
          <t>Total (k$)</t>
        </is>
      </c>
      <c r="G4" s="9" t="inlineStr">
        <is>
          <t>Conf.</t>
        </is>
      </c>
      <c r="H4" s="9" t="inlineStr">
        <is>
          <t>Basis of Estimate / Notes</t>
        </is>
      </c>
    </row>
    <row r="6">
      <c r="A6" s="10" t="inlineStr">
        <is>
          <t>1.0</t>
        </is>
      </c>
      <c r="B6" s="10" t="inlineStr">
        <is>
          <t>SSA RF SOURCE</t>
        </is>
      </c>
      <c r="C6" s="10" t="n"/>
      <c r="D6" s="10" t="n"/>
      <c r="E6" s="10" t="n"/>
      <c r="F6" s="10" t="n"/>
      <c r="G6" s="10" t="n"/>
      <c r="H6" s="10" t="n"/>
    </row>
    <row r="7">
      <c r="A7" s="11" t="inlineStr">
        <is>
          <t>1.1</t>
        </is>
      </c>
      <c r="B7" s="11" t="inlineStr">
        <is>
          <t>SSA Modules (16 x 65 kW, R&amp;K Company)</t>
        </is>
      </c>
      <c r="C7" s="11" t="n">
        <v>4985.6</v>
      </c>
      <c r="D7" s="11" t="n"/>
      <c r="E7" s="11" t="n"/>
      <c r="F7" s="11" t="n">
        <v>4985.6</v>
      </c>
      <c r="G7" s="11" t="inlineStr">
        <is>
          <t>H</t>
        </is>
      </c>
      <c r="H7" s="11" t="inlineStr">
        <is>
          <t>R&amp;K quote July 2025: $311,600/unit x 16 = $4,985,600. 476.3 MHz CW. Includes internal PS, LCW cooling, VSWR protection, Ethernet/serial control.</t>
        </is>
      </c>
    </row>
    <row r="8">
      <c r="A8" s="11" t="inlineStr">
        <is>
          <t>1.2</t>
        </is>
      </c>
      <c r="B8" s="11" t="inlineStr">
        <is>
          <t>SSA Spare Modules (2 units)</t>
        </is>
      </c>
      <c r="C8" s="11" t="n">
        <v>623.2</v>
      </c>
      <c r="D8" s="11" t="n"/>
      <c r="E8" s="11" t="n"/>
      <c r="F8" s="11" t="n">
        <v>623.2</v>
      </c>
      <c r="G8" s="11" t="inlineStr">
        <is>
          <t>H</t>
        </is>
      </c>
      <c r="H8" s="11" t="inlineStr">
        <is>
          <t>2 hot-swap spares @ $311,600 each. Industry practice for 16-module system. Enables rapid module replacement without waiting for vendor lead time.</t>
        </is>
      </c>
    </row>
    <row r="9">
      <c r="A9" s="11" t="inlineStr">
        <is>
          <t>1.3</t>
        </is>
      </c>
      <c r="B9" s="11" t="inlineStr">
        <is>
          <t>SSA Design Study &amp; Prototype Test</t>
        </is>
      </c>
      <c r="C9" s="11" t="n"/>
      <c r="D9" s="11" t="n">
        <v>1</v>
      </c>
      <c r="E9" s="11" t="n">
        <v>348</v>
      </c>
      <c r="F9" s="11" t="n">
        <v>348</v>
      </c>
      <c r="G9" s="11" t="inlineStr">
        <is>
          <t>M</t>
        </is>
      </c>
      <c r="H9" s="11" t="inlineStr">
        <is>
          <t>0.5 FTE prototype design + 0.5 FTE vendor collaboration and test iteration. Includes acceptance test protocol development. Per cover page row 7.</t>
        </is>
      </c>
    </row>
    <row r="10">
      <c r="A10" s="11" t="inlineStr">
        <is>
          <t>1.4</t>
        </is>
      </c>
      <c r="B10" s="11" t="inlineStr">
        <is>
          <t>SSA Test Stand (Bldg 122)</t>
        </is>
      </c>
      <c r="C10" s="11" t="n">
        <v>75</v>
      </c>
      <c r="D10" s="11" t="n">
        <v>0.5</v>
      </c>
      <c r="E10" s="11" t="n">
        <v>174</v>
      </c>
      <c r="F10" s="11" t="n">
        <v>249</v>
      </c>
      <c r="G10" s="11" t="inlineStr">
        <is>
          <t>M</t>
        </is>
      </c>
      <c r="H10" s="11" t="inlineStr">
        <is>
          <t>High-power RF load (50 kW CW), power measurement, 480V service, LCW (~15 GPM per 3/10 mtg). Existing Bldg 122 LCW connection usable. 0.5 FTE setup/integration.</t>
        </is>
      </c>
    </row>
    <row r="11">
      <c r="A11" s="12" t="inlineStr"/>
      <c r="B11" s="12" t="inlineStr">
        <is>
          <t>Subtotal WBS 1.0</t>
        </is>
      </c>
      <c r="C11" s="12">
        <f>SUM(C7:C10)</f>
        <v/>
      </c>
      <c r="D11" s="12" t="n"/>
      <c r="E11" s="12">
        <f>SUM(E7:E10)</f>
        <v/>
      </c>
      <c r="F11" s="12">
        <f>SUM(F7:F10)</f>
        <v/>
      </c>
      <c r="G11" s="12" t="n"/>
      <c r="H11" s="12" t="n"/>
    </row>
    <row r="13">
      <c r="A13" s="10" t="inlineStr">
        <is>
          <t>2.0</t>
        </is>
      </c>
      <c r="B13" s="10" t="inlineStr">
        <is>
          <t>RF DISTRIBUTION &amp; COMBINING</t>
        </is>
      </c>
      <c r="C13" s="10" t="n"/>
      <c r="D13" s="10" t="n"/>
      <c r="E13" s="10" t="n"/>
      <c r="F13" s="10" t="n"/>
      <c r="G13" s="10" t="n"/>
      <c r="H13" s="10" t="n"/>
    </row>
    <row r="14">
      <c r="A14" s="11" t="inlineStr">
        <is>
          <t>2.1</t>
        </is>
      </c>
      <c r="B14" s="11" t="inlineStr">
        <is>
          <t>6-1/8" Coaxial Combiners (4 x 4:1)</t>
        </is>
      </c>
      <c r="C14" s="11" t="n">
        <v>160</v>
      </c>
      <c r="D14" s="11" t="n">
        <v>0.25</v>
      </c>
      <c r="E14" s="11" t="n">
        <v>87</v>
      </c>
      <c r="F14" s="11" t="n">
        <v>247</v>
      </c>
      <c r="G14" s="11" t="inlineStr">
        <is>
          <t>M</t>
        </is>
      </c>
      <c r="H14" s="11" t="inlineStr">
        <is>
          <t>4 combiners, each combining 4 SSA outputs (6-1/8" coax) into single WR2100 port. ~$40k each installed. Each SSA cabinet outputs 6-1/8" coax per 3/10 mtg notes.</t>
        </is>
      </c>
    </row>
    <row r="15">
      <c r="A15" s="11" t="inlineStr">
        <is>
          <t>2.2</t>
        </is>
      </c>
      <c r="B15" s="11" t="inlineStr">
        <is>
          <t>WR2100 Waveguide Runs (4 independent)</t>
        </is>
      </c>
      <c r="C15" s="11" t="n">
        <v>300</v>
      </c>
      <c r="D15" s="11" t="n">
        <v>0.5</v>
      </c>
      <c r="E15" s="11" t="n">
        <v>174</v>
      </c>
      <c r="F15" s="11" t="n">
        <v>474</v>
      </c>
      <c r="G15" s="11" t="inlineStr">
        <is>
          <t>M</t>
        </is>
      </c>
      <c r="H15" s="11" t="inlineStr">
        <is>
          <t>4 independent WR2100 runs from SSA bldg to 4 cavities. Straight sections, H/E-plane bends, flex sections. ~10 lb/ft, Unistrut hangers every 8 ft. Lambda_g=80.4 cm at 476.3 MHz; lengths matched to +/- n*lambda_g.</t>
        </is>
      </c>
    </row>
    <row r="16">
      <c r="A16" s="11" t="inlineStr">
        <is>
          <t>2.3</t>
        </is>
      </c>
      <c r="B16" s="11" t="inlineStr">
        <is>
          <t>Circulators (4 x 250+ kW @ 476 MHz)</t>
        </is>
      </c>
      <c r="C16" s="11" t="n">
        <v>400</v>
      </c>
      <c r="D16" s="11" t="n">
        <v>0.15</v>
      </c>
      <c r="E16" s="11" t="n">
        <v>52.2</v>
      </c>
      <c r="F16" s="11" t="n">
        <v>452.2</v>
      </c>
      <c r="G16" s="11" t="inlineStr">
        <is>
          <t>L</t>
        </is>
      </c>
      <c r="H16" s="11" t="inlineStr">
        <is>
          <t>4 ferrite circulators, one per combined output. $80-120k each NEW. NOTE: PEP-II 1.5 MW circulators available (per 2/24 mtg) - if reusable, M&amp;S drops to ~$0. Carry new-buy as baseline.</t>
        </is>
      </c>
    </row>
    <row r="17">
      <c r="A17" s="11" t="inlineStr">
        <is>
          <t>2.4</t>
        </is>
      </c>
      <c r="B17" s="11" t="inlineStr">
        <is>
          <t>RF Loads (circulator loads, terminations)</t>
        </is>
      </c>
      <c r="C17" s="11" t="n">
        <v>80</v>
      </c>
      <c r="D17" s="11" t="n"/>
      <c r="E17" s="11" t="n"/>
      <c r="F17" s="11" t="n">
        <v>80</v>
      </c>
      <c r="G17" s="11" t="inlineStr">
        <is>
          <t>M</t>
        </is>
      </c>
      <c r="H17" s="11" t="inlineStr">
        <is>
          <t>4 circulator loads (water-cooled, ~250 kW each), waveguide terminations, dummy loads for commissioning. Loads cooled by HCW (separate from LCW per 3/10 mtg).</t>
        </is>
      </c>
    </row>
    <row r="18">
      <c r="A18" s="11" t="inlineStr">
        <is>
          <t>2.5</t>
        </is>
      </c>
      <c r="B18" s="11" t="inlineStr">
        <is>
          <t>Directional Couplers &amp; Transitions</t>
        </is>
      </c>
      <c r="C18" s="11" t="n">
        <v>60</v>
      </c>
      <c r="D18" s="11" t="n"/>
      <c r="E18" s="11" t="n"/>
      <c r="F18" s="11" t="n">
        <v>60</v>
      </c>
      <c r="G18" s="11" t="inlineStr">
        <is>
          <t>M</t>
        </is>
      </c>
      <c r="H18" s="11" t="inlineStr">
        <is>
          <t>Directional couplers at each combined output (4) and at each SSA output (16 may be internal). WR2100-to-coax transitions. Phase trimmers for combining efficiency.</t>
        </is>
      </c>
    </row>
    <row r="19">
      <c r="A19" s="11" t="inlineStr">
        <is>
          <t>2.6</t>
        </is>
      </c>
      <c r="B19" s="11" t="inlineStr">
        <is>
          <t>Waveguide Supports, Hangers, Hardware</t>
        </is>
      </c>
      <c r="C19" s="11" t="n">
        <v>50</v>
      </c>
      <c r="D19" s="11" t="n">
        <v>0.25</v>
      </c>
      <c r="E19" s="11" t="n">
        <v>87</v>
      </c>
      <c r="F19" s="11" t="n">
        <v>137</v>
      </c>
      <c r="G19" s="11" t="inlineStr">
        <is>
          <t>M</t>
        </is>
      </c>
      <c r="H19" s="11" t="inlineStr">
        <is>
          <t>Unistrut channel, beam clamps, waveguide hangers every 8 ft, mounting hardware. Some supports from equipment platform structure above (per 3/10 mtg).</t>
        </is>
      </c>
    </row>
    <row r="20">
      <c r="A20" s="12" t="inlineStr"/>
      <c r="B20" s="12" t="inlineStr">
        <is>
          <t>Subtotal WBS 2.0</t>
        </is>
      </c>
      <c r="C20" s="12">
        <f>SUM(C14:C19)</f>
        <v/>
      </c>
      <c r="D20" s="12" t="n"/>
      <c r="E20" s="12">
        <f>SUM(E14:E19)</f>
        <v/>
      </c>
      <c r="F20" s="12">
        <f>SUM(F14:F19)</f>
        <v/>
      </c>
      <c r="G20" s="12" t="n"/>
      <c r="H20" s="12" t="n"/>
    </row>
    <row r="22">
      <c r="A22" s="10" t="inlineStr">
        <is>
          <t>3.0</t>
        </is>
      </c>
      <c r="B22" s="10" t="inlineStr">
        <is>
          <t>CONTROL ELECTRONICS</t>
        </is>
      </c>
      <c r="C22" s="10" t="n"/>
      <c r="D22" s="10" t="n"/>
      <c r="E22" s="10" t="n"/>
      <c r="F22" s="10" t="n"/>
      <c r="G22" s="10" t="n"/>
      <c r="H22" s="10" t="n"/>
    </row>
    <row r="23">
      <c r="A23" s="11" t="inlineStr">
        <is>
          <t>3.1</t>
        </is>
      </c>
      <c r="B23" s="11" t="inlineStr">
        <is>
          <t>LLRF9 Controllers (4 x Dimtel LLRF9/500)</t>
        </is>
      </c>
      <c r="C23" s="11" t="n">
        <v>398</v>
      </c>
      <c r="D23" s="11" t="n">
        <v>0.5</v>
      </c>
      <c r="E23" s="11" t="n">
        <v>174</v>
      </c>
      <c r="F23" s="11" t="n">
        <v>572</v>
      </c>
      <c r="G23" s="11" t="inlineStr">
        <is>
          <t>H</t>
        </is>
      </c>
      <c r="H23" s="11" t="inlineStr">
        <is>
          <t>Dimtel LLRF9/500 list $117k; 15% vol discount = $99.45k each x 4 = $397.8k. Each unit: 9 RF channels, FPGA interlocks &lt;1us, built-in EPICS IOC, 10 Hz scalar readback. 0.5 FTE for integration/configuration. Per LLRFUpgradeTaskListRev3.</t>
        </is>
      </c>
    </row>
    <row r="24">
      <c r="A24" s="11" t="inlineStr">
        <is>
          <t>3.2</t>
        </is>
      </c>
      <c r="B24" s="11" t="inlineStr">
        <is>
          <t>Interface Chassis (SSA topology)</t>
        </is>
      </c>
      <c r="C24" s="11" t="n">
        <v>25</v>
      </c>
      <c r="D24" s="11" t="n">
        <v>0.75</v>
      </c>
      <c r="E24" s="11" t="n">
        <v>261</v>
      </c>
      <c r="F24" s="11" t="n">
        <v>286</v>
      </c>
      <c r="G24" s="11" t="inlineStr">
        <is>
          <t>M</t>
        </is>
      </c>
      <c r="H24" s="11" t="inlineStr">
        <is>
          <t>Central interlock hub: AND-logic, first-fault latching, fiber-optic HVPS ctrl, &lt;1us response. SSA version needs per-station permit logic + module-level status. PCB design + fabrication + chassis. CRITICAL PATH per 0_SYSTEM_DESIGN_REPORT.md Sec 8.3.</t>
        </is>
      </c>
    </row>
    <row r="25">
      <c r="A25" s="11" t="inlineStr">
        <is>
          <t>3.3</t>
        </is>
      </c>
      <c r="B25" s="11" t="inlineStr">
        <is>
          <t>RF MPS PLC (ControlLogix 1756)</t>
        </is>
      </c>
      <c r="C25" s="11" t="n">
        <v>30</v>
      </c>
      <c r="D25" s="11" t="n">
        <v>0.5</v>
      </c>
      <c r="E25" s="11" t="n">
        <v>174</v>
      </c>
      <c r="F25" s="11" t="n">
        <v>204</v>
      </c>
      <c r="G25" s="11" t="inlineStr">
        <is>
          <t>H</t>
        </is>
      </c>
      <c r="H25" s="11" t="inlineStr">
        <is>
          <t>AB ControlLogix PLC: $22k/set (detailed BOM in TaskListRev3: 5069-L320ER $3.7k, OF8 $1.5k x3, OX41 $451 x10, etc). SSA needs expanded I/O for 16 modules. +$8k for additional I/O modules. 0.5 FTE PLC programming + EPICS IOC.</t>
        </is>
      </c>
    </row>
    <row r="26">
      <c r="A26" s="11" t="inlineStr">
        <is>
          <t>3.4</t>
        </is>
      </c>
      <c r="B26" s="11" t="inlineStr">
        <is>
          <t>Arc Detection System</t>
        </is>
      </c>
      <c r="C26" s="11" t="n">
        <v>20</v>
      </c>
      <c r="D26" s="11" t="n">
        <v>0.3</v>
      </c>
      <c r="E26" s="11" t="n">
        <v>104.4</v>
      </c>
      <c r="F26" s="11" t="n">
        <v>124.4</v>
      </c>
      <c r="G26" s="11" t="inlineStr">
        <is>
          <t>H</t>
        </is>
      </c>
      <c r="H26" s="11" t="inlineStr">
        <is>
          <t>Microstep-MIS sensors 470EUR x10=$5.1k, receivers 635EUR x6=$4.1k, cables=$1.1k, DB25=$200, mech adapters=$7k. Per TaskListRev3 quote from Erik Bystricky Nov 2024. 10 sensors (8 cavity + 1 kly + 1 circ), 5+1 receivers. Arc Detection Chassis: OR-gate + 10-bit latch.</t>
        </is>
      </c>
    </row>
    <row r="27">
      <c r="A27" s="11" t="inlineStr">
        <is>
          <t>3.5</t>
        </is>
      </c>
      <c r="B27" s="11" t="inlineStr">
        <is>
          <t>Waveform Buffer System</t>
        </is>
      </c>
      <c r="C27" s="11" t="n">
        <v>15</v>
      </c>
      <c r="D27" s="11" t="n">
        <v>0.5</v>
      </c>
      <c r="E27" s="11" t="n">
        <v>174</v>
      </c>
      <c r="F27" s="11" t="n">
        <v>189</v>
      </c>
      <c r="G27" s="11" t="inlineStr">
        <is>
          <t>M</t>
        </is>
      </c>
      <c r="H27" s="11" t="inlineStr">
        <is>
          <t>Custom chassis: 8 RF + 4 HVPS channels, circular buffers, analog comparator trips, enhanced collector power protection algorithm. MCL ZX47-40LN-S+ detectors ($1.7k) + signal conditioning opamps + ADCs + chassis. Per WaveformBuffersforLLRFUpgrade.docx (Sebek, Jan 2026).</t>
        </is>
      </c>
    </row>
    <row r="28">
      <c r="A28" s="11" t="inlineStr">
        <is>
          <t>3.6</t>
        </is>
      </c>
      <c r="B28" s="11" t="inlineStr">
        <is>
          <t>SSA Module Status Monitoring</t>
        </is>
      </c>
      <c r="C28" s="11" t="n">
        <v>15</v>
      </c>
      <c r="D28" s="11" t="n">
        <v>0.25</v>
      </c>
      <c r="E28" s="11" t="n">
        <v>87</v>
      </c>
      <c r="F28" s="11" t="n">
        <v>102</v>
      </c>
      <c r="G28" s="11" t="inlineStr">
        <is>
          <t>M</t>
        </is>
      </c>
      <c r="H28" s="11" t="inlineStr">
        <is>
          <t>Per-module monitoring: VSWR, output power, temperature, fault status x16 modules. Ethernet/serial polling + analog readback. May be integrated into MPS PLC I/O or dedicated monitoring chassis.</t>
        </is>
      </c>
    </row>
    <row r="29">
      <c r="A29" s="11" t="inlineStr">
        <is>
          <t>3.7</t>
        </is>
      </c>
      <c r="B29" s="11" t="inlineStr">
        <is>
          <t>Tuner Motor Controllers (4 x Galil DMC-4143)</t>
        </is>
      </c>
      <c r="C29" s="11" t="n">
        <v>10</v>
      </c>
      <c r="D29" s="11" t="n">
        <v>0.3</v>
      </c>
      <c r="E29" s="11" t="n">
        <v>104.4</v>
      </c>
      <c r="F29" s="11" t="n">
        <v>114.4</v>
      </c>
      <c r="G29" s="11" t="inlineStr">
        <is>
          <t>M</t>
        </is>
      </c>
      <c r="H29" s="11" t="inlineStr">
        <is>
          <t>Galil DMC-4143 4-axis controller $1,675 each x2 (1 operational + 1 spare). Motor drivers, cables, encoder interfaces. EPICS motor record support. Per galil/ commissioning docs. RISK: reliability TBD - test on booster tuners first (Sec 10.6).</t>
        </is>
      </c>
    </row>
    <row r="30">
      <c r="A30" s="11" t="inlineStr">
        <is>
          <t>3.8</t>
        </is>
      </c>
      <c r="B30" s="11" t="inlineStr">
        <is>
          <t>PPS Interface Box</t>
        </is>
      </c>
      <c r="C30" s="11" t="n">
        <v>5</v>
      </c>
      <c r="D30" s="11" t="n">
        <v>0.2</v>
      </c>
      <c r="E30" s="11" t="n">
        <v>69.59999999999999</v>
      </c>
      <c r="F30" s="11" t="n">
        <v>74.59999999999999</v>
      </c>
      <c r="G30" s="11" t="inlineStr">
        <is>
          <t>H</t>
        </is>
      </c>
      <c r="H30" s="11" t="inlineStr">
        <is>
          <t>Small Bud enclosure ~6x5x4in, 4 relays, status LEDs, inhibit buttons. Proven design per Ben Morris 3/5/2026 (pps_Ben.md). Identical to gallery/6575 modulator systems. Requires PPS group review and RSWCF. $2-5k materials.</t>
        </is>
      </c>
    </row>
    <row r="31">
      <c r="A31" s="11" t="inlineStr">
        <is>
          <t>3.9</t>
        </is>
      </c>
      <c r="B31" s="11" t="inlineStr">
        <is>
          <t>Cables, Connectors, Integration Materials</t>
        </is>
      </c>
      <c r="C31" s="11" t="n">
        <v>40</v>
      </c>
      <c r="D31" s="11" t="n"/>
      <c r="E31" s="11" t="n"/>
      <c r="F31" s="11" t="n">
        <v>40</v>
      </c>
      <c r="G31" s="11" t="inlineStr">
        <is>
          <t>M</t>
        </is>
      </c>
      <c r="H31" s="11" t="inlineStr">
        <is>
          <t>RF cables (SMA, Type-N), fiber optic links (HFBR-1412/2412), LEMO interlock cables, multi-conductor digital cables, power supplies, rack hardware, PDUs, labels. ~10% of WBS 3.1-3.8 hardware.</t>
        </is>
      </c>
    </row>
    <row r="32">
      <c r="A32" s="12" t="inlineStr"/>
      <c r="B32" s="12" t="inlineStr">
        <is>
          <t>Subtotal WBS 3.0</t>
        </is>
      </c>
      <c r="C32" s="12">
        <f>SUM(C23:C31)</f>
        <v/>
      </c>
      <c r="D32" s="12" t="n"/>
      <c r="E32" s="12">
        <f>SUM(E23:E31)</f>
        <v/>
      </c>
      <c r="F32" s="12">
        <f>SUM(F23:F31)</f>
        <v/>
      </c>
      <c r="G32" s="12" t="n"/>
      <c r="H32" s="12" t="n"/>
    </row>
    <row r="34">
      <c r="A34" s="10" t="inlineStr">
        <is>
          <t>4.0</t>
        </is>
      </c>
      <c r="B34" s="10" t="inlineStr">
        <is>
          <t>SOFTWARE &amp; INTEGRATION</t>
        </is>
      </c>
      <c r="C34" s="10" t="n"/>
      <c r="D34" s="10" t="n"/>
      <c r="E34" s="10" t="n"/>
      <c r="F34" s="10" t="n"/>
      <c r="G34" s="10" t="n"/>
      <c r="H34" s="10" t="n"/>
    </row>
    <row r="35">
      <c r="A35" s="11" t="inlineStr">
        <is>
          <t>4.1</t>
        </is>
      </c>
      <c r="B35" s="11" t="inlineStr">
        <is>
          <t>EPICS IOC Development</t>
        </is>
      </c>
      <c r="C35" s="11" t="n">
        <v>10</v>
      </c>
      <c r="D35" s="11" t="n">
        <v>0.75</v>
      </c>
      <c r="E35" s="11" t="n">
        <v>261</v>
      </c>
      <c r="F35" s="11" t="n">
        <v>271</v>
      </c>
      <c r="G35" s="11" t="inlineStr">
        <is>
          <t>M</t>
        </is>
      </c>
      <c r="H35" s="11" t="inlineStr">
        <is>
          <t>IOCs for: LLRF9 (Dimtel provides baseline, SPEAR customization), MPS ControlLogix (EtherIP/pycomm3), SSA module monitoring (ASYN/StreamDevice), Waveform Buffer, Chroma heater ASYN driver. Dev tools + test licenses.</t>
        </is>
      </c>
    </row>
    <row r="36">
      <c r="A36" s="11" t="inlineStr">
        <is>
          <t>4.2</t>
        </is>
      </c>
      <c r="B36" s="11" t="inlineStr">
        <is>
          <t>State Machine / EPICS Coordinator</t>
        </is>
      </c>
      <c r="C36" s="11" t="n"/>
      <c r="D36" s="11" t="n">
        <v>1</v>
      </c>
      <c r="E36" s="11" t="n">
        <v>348</v>
      </c>
      <c r="F36" s="11" t="n">
        <v>348</v>
      </c>
      <c r="G36" s="11" t="inlineStr">
        <is>
          <t>M</t>
        </is>
      </c>
      <c r="H36" s="11" t="inlineStr">
        <is>
          <t>Python/MATLAB supervisory control ~1 Hz. States: OFF/PARK/TUNE/ON_CW. Fault handling, auto-recovery, HVPS ramp control, heater warm-up/cooldown sequences. Load angle offset loop (balance 4 cavity fields). CRITICAL: largest untouched software scope per Sec 19.3.</t>
        </is>
      </c>
    </row>
    <row r="37">
      <c r="A37" s="11" t="inlineStr">
        <is>
          <t>4.3</t>
        </is>
      </c>
      <c r="B37" s="11" t="inlineStr">
        <is>
          <t>Operator Interface (EDM/CSS Panels)</t>
        </is>
      </c>
      <c r="C37" s="11" t="n"/>
      <c r="D37" s="11" t="n">
        <v>0.25</v>
      </c>
      <c r="E37" s="11" t="n">
        <v>87</v>
      </c>
      <c r="F37" s="11" t="n">
        <v>87</v>
      </c>
      <c r="G37" s="11" t="inlineStr">
        <is>
          <t>M</t>
        </is>
      </c>
      <c r="H37" s="11" t="inlineStr">
        <is>
          <t>EDM/CSS operator displays: station overview, per-module SSA status, LLRF9 summary, MPS fault tree, waveform displays, tuner positions, HVPS status. Based on existing rf_station_4CVSPR.edl pattern.</t>
        </is>
      </c>
    </row>
    <row r="38">
      <c r="A38" s="11" t="inlineStr">
        <is>
          <t>4.4</t>
        </is>
      </c>
      <c r="B38" s="11" t="inlineStr">
        <is>
          <t>Commissioning Tools &amp; Scripts</t>
        </is>
      </c>
      <c r="C38" s="11" t="n">
        <v>5</v>
      </c>
      <c r="D38" s="11" t="n">
        <v>0.25</v>
      </c>
      <c r="E38" s="11" t="n">
        <v>87</v>
      </c>
      <c r="F38" s="11" t="n">
        <v>92</v>
      </c>
      <c r="G38" s="11" t="inlineStr">
        <is>
          <t>M</t>
        </is>
      </c>
      <c r="H38" s="11" t="inlineStr">
        <is>
          <t>MATLAB/Python tools for: SSA phase calibration, combiner efficiency optimization, interlock chain verification, automated fault injection testing, performance logging. Per legacy rf_calib.st (2,800+ lines).</t>
        </is>
      </c>
    </row>
    <row r="39">
      <c r="A39" s="11" t="inlineStr">
        <is>
          <t>4.5</t>
        </is>
      </c>
      <c r="B39" s="11" t="inlineStr">
        <is>
          <t>Documentation &amp; Training</t>
        </is>
      </c>
      <c r="C39" s="11" t="n"/>
      <c r="D39" s="11" t="n">
        <v>0.25</v>
      </c>
      <c r="E39" s="11" t="n">
        <v>87</v>
      </c>
      <c r="F39" s="11" t="n">
        <v>87</v>
      </c>
      <c r="G39" s="11" t="inlineStr">
        <is>
          <t>M</t>
        </is>
      </c>
      <c r="H39" s="11" t="inlineStr">
        <is>
          <t>System documentation, as-built drawings, operator training materials, maintenance procedures. ~25 schematics for MPS + ~25 for HVPS (per TaskListRev3). Training for operations staff on new SSA system.</t>
        </is>
      </c>
    </row>
    <row r="40">
      <c r="A40" s="12" t="inlineStr"/>
      <c r="B40" s="12" t="inlineStr">
        <is>
          <t>Subtotal WBS 4.0</t>
        </is>
      </c>
      <c r="C40" s="12">
        <f>SUM(C35:C39)</f>
        <v/>
      </c>
      <c r="D40" s="12" t="n"/>
      <c r="E40" s="12">
        <f>SUM(E35:E39)</f>
        <v/>
      </c>
      <c r="F40" s="12">
        <f>SUM(F35:F39)</f>
        <v/>
      </c>
      <c r="G40" s="12" t="n"/>
      <c r="H40" s="12" t="n"/>
    </row>
    <row r="42">
      <c r="A42" s="10" t="inlineStr">
        <is>
          <t>5.0</t>
        </is>
      </c>
      <c r="B42" s="10" t="inlineStr">
        <is>
          <t>INSTALLATION &amp; COMMISSIONING</t>
        </is>
      </c>
      <c r="C42" s="10" t="n"/>
      <c r="D42" s="10" t="n"/>
      <c r="E42" s="10" t="n"/>
      <c r="F42" s="10" t="n"/>
      <c r="G42" s="10" t="n"/>
      <c r="H42" s="10" t="n"/>
    </row>
    <row r="43">
      <c r="A43" s="11" t="inlineStr">
        <is>
          <t>5.1</t>
        </is>
      </c>
      <c r="B43" s="11" t="inlineStr">
        <is>
          <t>SSA Module Installation (4 stations)</t>
        </is>
      </c>
      <c r="C43" s="11" t="n">
        <v>50</v>
      </c>
      <c r="D43" s="11" t="n">
        <v>1.38</v>
      </c>
      <c r="E43" s="11" t="n">
        <v>480</v>
      </c>
      <c r="F43" s="11" t="n">
        <v>530</v>
      </c>
      <c r="G43" s="11" t="inlineStr">
        <is>
          <t>M</t>
        </is>
      </c>
      <c r="H43" s="11" t="inlineStr">
        <is>
          <t>4 person-3 weeks/station x 4 stations = 12 person-months. Rack mounting, 480V power connections, LCW plumbing to each module, RF output cabling, control/interlock wiring. $50k for tools, rigging, consumables. Per cover page row 8.</t>
        </is>
      </c>
    </row>
    <row r="44">
      <c r="A44" s="11" t="inlineStr">
        <is>
          <t>5.2</t>
        </is>
      </c>
      <c r="B44" s="11" t="inlineStr">
        <is>
          <t>RF Distribution Installation</t>
        </is>
      </c>
      <c r="C44" s="11" t="n">
        <v>30</v>
      </c>
      <c r="D44" s="11" t="n">
        <v>0.75</v>
      </c>
      <c r="E44" s="11" t="n">
        <v>261</v>
      </c>
      <c r="F44" s="11" t="n">
        <v>291</v>
      </c>
      <c r="G44" s="11" t="inlineStr">
        <is>
          <t>M</t>
        </is>
      </c>
      <c r="H44" s="11" t="inlineStr">
        <is>
          <t>Waveguide assembly, circulator installation (vertical orientation per 2/24 mtg), combiner hookup, load installation. Requires crane for heavy components. Waveguide alignment and RF leak testing.</t>
        </is>
      </c>
    </row>
    <row r="45">
      <c r="A45" s="11" t="inlineStr">
        <is>
          <t>5.3</t>
        </is>
      </c>
      <c r="B45" s="11" t="inlineStr">
        <is>
          <t>Controls &amp; Cabling Installation</t>
        </is>
      </c>
      <c r="C45" s="11" t="n">
        <v>20</v>
      </c>
      <c r="D45" s="11" t="n">
        <v>0.5</v>
      </c>
      <c r="E45" s="11" t="n">
        <v>174</v>
      </c>
      <c r="F45" s="11" t="n">
        <v>194</v>
      </c>
      <c r="G45" s="11" t="inlineStr">
        <is>
          <t>M</t>
        </is>
      </c>
      <c r="H45" s="11" t="inlineStr">
        <is>
          <t>LLRF9 rack mounting, MPS PLC wiring, Interface Chassis installation, arc detector fiber routing, interlock cabling, Ethernet network, fiber-optic links to HVPS (HFBR-1412/2412).</t>
        </is>
      </c>
    </row>
    <row r="46">
      <c r="A46" s="11" t="inlineStr">
        <is>
          <t>5.4</t>
        </is>
      </c>
      <c r="B46" s="11" t="inlineStr">
        <is>
          <t>System Integration Testing</t>
        </is>
      </c>
      <c r="C46" s="11" t="n"/>
      <c r="D46" s="11" t="n">
        <v>0.5</v>
      </c>
      <c r="E46" s="11" t="n">
        <v>174</v>
      </c>
      <c r="F46" s="11" t="n">
        <v>174</v>
      </c>
      <c r="G46" s="11" t="inlineStr">
        <is>
          <t>M</t>
        </is>
      </c>
      <c r="H46" s="11" t="inlineStr">
        <is>
          <t>End-to-end interlock chain testing (Layer 1-4), EPICS PV verification, fault injection testing, waveform capture validation. Limited window due to SPEAR operations (per Sec 19.1 constraint).</t>
        </is>
      </c>
    </row>
    <row r="47">
      <c r="A47" s="11" t="inlineStr">
        <is>
          <t>5.5</t>
        </is>
      </c>
      <c r="B47" s="11" t="inlineStr">
        <is>
          <t>Phased Commissioning (per-station turn-on)</t>
        </is>
      </c>
      <c r="C47" s="11" t="n">
        <v>20</v>
      </c>
      <c r="D47" s="11" t="n">
        <v>0.6899999999999999</v>
      </c>
      <c r="E47" s="11" t="n">
        <v>240</v>
      </c>
      <c r="F47" s="11" t="n">
        <v>260</v>
      </c>
      <c r="G47" s="11" t="inlineStr">
        <is>
          <t>M</t>
        </is>
      </c>
      <c r="H47" s="11" t="inlineStr">
        <is>
          <t>6 person-2 months commissioning (per cover page row 8). Incremental power ramp per station. Performance validation: amplitude stability &lt;0.1%, phase &lt;0.1 deg. Includes Dimtel 1-week on-site support per LLRF9.</t>
        </is>
      </c>
    </row>
    <row r="48">
      <c r="A48" s="12" t="inlineStr"/>
      <c r="B48" s="12" t="inlineStr">
        <is>
          <t>Subtotal WBS 5.0</t>
        </is>
      </c>
      <c r="C48" s="12">
        <f>SUM(C43:C47)</f>
        <v/>
      </c>
      <c r="D48" s="12" t="n"/>
      <c r="E48" s="12">
        <f>SUM(E43:E47)</f>
        <v/>
      </c>
      <c r="F48" s="12">
        <f>SUM(F43:F47)</f>
        <v/>
      </c>
      <c r="G48" s="12" t="n"/>
      <c r="H48" s="12" t="n"/>
    </row>
    <row r="50">
      <c r="A50" s="10" t="inlineStr">
        <is>
          <t>6.0</t>
        </is>
      </c>
      <c r="B50" s="10" t="inlineStr">
        <is>
          <t>SITE PREPARATION &amp; REMOVAL</t>
        </is>
      </c>
      <c r="C50" s="10" t="n"/>
      <c r="D50" s="10" t="n"/>
      <c r="E50" s="10" t="n"/>
      <c r="F50" s="10" t="n"/>
      <c r="G50" s="10" t="n"/>
      <c r="H50" s="10" t="n"/>
    </row>
    <row r="51">
      <c r="A51" s="11" t="inlineStr">
        <is>
          <t>6.1</t>
        </is>
      </c>
      <c r="B51" s="11" t="inlineStr">
        <is>
          <t>Existing Waveguide Removal</t>
        </is>
      </c>
      <c r="C51" s="11" t="n">
        <v>5</v>
      </c>
      <c r="D51" s="11" t="n">
        <v>0.12</v>
      </c>
      <c r="E51" s="11" t="n">
        <v>41.8</v>
      </c>
      <c r="F51" s="11" t="n">
        <v>46.8</v>
      </c>
      <c r="G51" s="11" t="inlineStr">
        <is>
          <t>H</t>
        </is>
      </c>
      <c r="H51" s="11" t="inlineStr">
        <is>
          <t>Remove existing klystron waveguide (magic tee splitters, existing WR2100 run). Roof waveguide splitters removed; direct 1:1 SSA-to-cavity runs replace them (per 2/24 mtg).</t>
        </is>
      </c>
    </row>
    <row r="52">
      <c r="A52" s="11" t="inlineStr">
        <is>
          <t>6.2</t>
        </is>
      </c>
      <c r="B52" s="11" t="inlineStr">
        <is>
          <t>Cable Tray Relocation</t>
        </is>
      </c>
      <c r="C52" s="11" t="n">
        <v>10</v>
      </c>
      <c r="D52" s="11" t="n">
        <v>0.25</v>
      </c>
      <c r="E52" s="11" t="n">
        <v>87</v>
      </c>
      <c r="F52" s="11" t="n">
        <v>97</v>
      </c>
      <c r="G52" s="11" t="inlineStr">
        <is>
          <t>M</t>
        </is>
      </c>
      <c r="H52" s="11" t="inlineStr">
        <is>
          <t>Straighten S-shaped cable trays for 4 waveguide runs on roof (per 2/24 mtg). Relocate cable trays between 118 and ring ~10 ft outward for clearance. 4 person-1 month per cover page row 9.</t>
        </is>
      </c>
    </row>
    <row r="53">
      <c r="A53" s="11" t="inlineStr">
        <is>
          <t>6.3</t>
        </is>
      </c>
      <c r="B53" s="11" t="inlineStr">
        <is>
          <t>Equipment Relocation</t>
        </is>
      </c>
      <c r="C53" s="11" t="n">
        <v>15</v>
      </c>
      <c r="D53" s="11" t="n">
        <v>0.25</v>
      </c>
      <c r="E53" s="11" t="n">
        <v>87</v>
      </c>
      <c r="F53" s="11" t="n">
        <v>102</v>
      </c>
      <c r="G53" s="11" t="inlineStr">
        <is>
          <t>M</t>
        </is>
      </c>
      <c r="H53" s="11" t="inlineStr">
        <is>
          <t>Relocate transformers (2-3), distribution panels, MPS controls cabinets during downtime. Remove old air-handler/chiller behind 507 (per 2/24 mtg). Relocate condensing unit 5-10 ft.</t>
        </is>
      </c>
    </row>
    <row r="54">
      <c r="A54" s="12" t="inlineStr"/>
      <c r="B54" s="12" t="inlineStr">
        <is>
          <t>Subtotal WBS 6.0</t>
        </is>
      </c>
      <c r="C54" s="12">
        <f>SUM(C51:C53)</f>
        <v/>
      </c>
      <c r="D54" s="12" t="n"/>
      <c r="E54" s="12">
        <f>SUM(E51:E53)</f>
        <v/>
      </c>
      <c r="F54" s="12">
        <f>SUM(F51:F53)</f>
        <v/>
      </c>
      <c r="G54" s="12" t="n"/>
      <c r="H54" s="12" t="n"/>
    </row>
    <row r="56">
      <c r="A56" s="10" t="inlineStr">
        <is>
          <t>7.0</t>
        </is>
      </c>
      <c r="B56" s="10" t="inlineStr">
        <is>
          <t>PROJECT MANAGEMENT</t>
        </is>
      </c>
      <c r="C56" s="10" t="n"/>
      <c r="D56" s="10" t="n"/>
      <c r="E56" s="10" t="n"/>
      <c r="F56" s="10" t="n"/>
      <c r="G56" s="10" t="n"/>
      <c r="H56" s="10" t="n"/>
    </row>
    <row r="57">
      <c r="A57" s="11" t="inlineStr">
        <is>
          <t>7.1</t>
        </is>
      </c>
      <c r="B57" s="11" t="inlineStr">
        <is>
          <t>Technical Program Management</t>
        </is>
      </c>
      <c r="C57" s="11" t="n">
        <v>20</v>
      </c>
      <c r="D57" s="11" t="n">
        <v>2.5</v>
      </c>
      <c r="E57" s="11" t="n">
        <v>870</v>
      </c>
      <c r="F57" s="11" t="n">
        <v>890</v>
      </c>
      <c r="G57" s="11" t="inlineStr">
        <is>
          <t>M</t>
        </is>
      </c>
      <c r="H57" s="11" t="inlineStr">
        <is>
          <t>~0.5 FTE/yr average over ~5-year project. Schedule management, resource coordination, vendor management (R&amp;K, Dimtel), progress reporting. M&amp;S for travel to vendor sites, DOE reviews.</t>
        </is>
      </c>
    </row>
    <row r="58">
      <c r="A58" s="11" t="inlineStr">
        <is>
          <t>7.2</t>
        </is>
      </c>
      <c r="B58" s="11" t="inlineStr">
        <is>
          <t>Safety Reviews &amp; PPS Coordination</t>
        </is>
      </c>
      <c r="C58" s="11" t="n">
        <v>10</v>
      </c>
      <c r="D58" s="11" t="n">
        <v>0.5</v>
      </c>
      <c r="E58" s="11" t="n">
        <v>174</v>
      </c>
      <c r="F58" s="11" t="n">
        <v>184</v>
      </c>
      <c r="G58" s="11" t="inlineStr">
        <is>
          <t>M</t>
        </is>
      </c>
      <c r="H58" s="11" t="inlineStr">
        <is>
          <t>PPS review/approval with SLAC AD Safety Division. LOTO procedures, arc flash analysis, OSHA compliance for building/stairway. Formal change control documentation, RSWCF. Early engagement critical (Sec 9.4).</t>
        </is>
      </c>
    </row>
    <row r="59">
      <c r="A59" s="12" t="inlineStr"/>
      <c r="B59" s="12" t="inlineStr">
        <is>
          <t>Subtotal WBS 7.0</t>
        </is>
      </c>
      <c r="C59" s="12">
        <f>SUM(C57:C58)</f>
        <v/>
      </c>
      <c r="D59" s="12" t="n"/>
      <c r="E59" s="12">
        <f>SUM(E57:E58)</f>
        <v/>
      </c>
      <c r="F59" s="12">
        <f>SUM(F57:F58)</f>
        <v/>
      </c>
      <c r="G59" s="12" t="n"/>
      <c r="H59" s="12" t="n"/>
    </row>
    <row r="61">
      <c r="A61" s="10" t="inlineStr">
        <is>
          <t>8.0</t>
        </is>
      </c>
      <c r="B61" s="10" t="inlineStr">
        <is>
          <t>INFRASTRUCTURE (Reference - other groups may provide independent estimates)</t>
        </is>
      </c>
      <c r="C61" s="10" t="n"/>
      <c r="D61" s="10" t="n"/>
      <c r="E61" s="10" t="n"/>
      <c r="F61" s="10" t="n"/>
      <c r="G61" s="10" t="n"/>
      <c r="H61" s="10" t="n"/>
    </row>
    <row r="62">
      <c r="A62" s="13" t="inlineStr">
        <is>
          <t>8.1</t>
        </is>
      </c>
      <c r="B62" s="13" t="inlineStr">
        <is>
          <t>480 VAC Distribution System</t>
        </is>
      </c>
      <c r="C62" s="13" t="n">
        <v>900</v>
      </c>
      <c r="D62" s="13" t="n">
        <v>2</v>
      </c>
      <c r="E62" s="13" t="n">
        <v>696</v>
      </c>
      <c r="F62" s="13" t="n">
        <v>1596</v>
      </c>
      <c r="G62" s="13" t="inlineStr">
        <is>
          <t>L</t>
        </is>
      </c>
      <c r="H62" s="13" t="inlineStr">
        <is>
          <t>REFERENCE: Substation 507 option ($1-2M per 1/27 mtg). 2.5-3 MVA transformer 12kV-480V (~$150-200k); 12kV feed + switchgear (~$300k); 480V panels/breakers 4-8 buckets/SSA (~$200k); civil/cable (~$200k). F&amp;O/Andi scope. Alt: Sub 502 = $8-9M.</t>
        </is>
      </c>
    </row>
    <row r="63">
      <c r="A63" s="13" t="inlineStr">
        <is>
          <t>8.2</t>
        </is>
      </c>
      <c r="B63" s="13" t="inlineStr">
        <is>
          <t>Cooling Water (LCW/HCW)</t>
        </is>
      </c>
      <c r="C63" s="13" t="n">
        <v>250</v>
      </c>
      <c r="D63" s="13" t="n">
        <v>1.5</v>
      </c>
      <c r="E63" s="13" t="n">
        <v>522</v>
      </c>
      <c r="F63" s="13" t="n">
        <v>772</v>
      </c>
      <c r="G63" s="13" t="inlineStr">
        <is>
          <t>L</t>
        </is>
      </c>
      <c r="H63" s="13" t="inlineStr">
        <is>
          <t>REFERENCE: 400 GPM LCW for 4 SSA stations. Option B: new 6"+ connection to main header (per 3/10 mtg). 4"-&gt;6"+ piping upgrade ($100-150k); manifolds/valves/controls ($50-75k); HCW for loads ($25-50k). Javier/F&amp;O scope. Summer shutdown required.</t>
        </is>
      </c>
    </row>
    <row r="64">
      <c r="A64" s="13" t="inlineStr">
        <is>
          <t>8.3</t>
        </is>
      </c>
      <c r="B64" s="13" t="inlineStr">
        <is>
          <t>Building Extension &amp; Mezzanine</t>
        </is>
      </c>
      <c r="C64" s="13" t="n">
        <v>500</v>
      </c>
      <c r="D64" s="13" t="n">
        <v>2</v>
      </c>
      <c r="E64" s="13" t="n">
        <v>696</v>
      </c>
      <c r="F64" s="13" t="n">
        <v>1196</v>
      </c>
      <c r="G64" s="13" t="inlineStr">
        <is>
          <t>L</t>
        </is>
      </c>
      <c r="H64" s="13" t="inlineStr">
        <is>
          <t>REFERENCE: ~636 sqft extension + ~300 sqft mezzanine @ 27 ft. Two-story layout (per 2/24 mtg). OSHA stairway (~25 risers). Roll-up doors. HVAC for SSA heat. Seismic. F&amp;O prior test facility estimate: $1.3M (per 1/27 mtg). Javier/F&amp;O scope.</t>
        </is>
      </c>
    </row>
    <row r="65">
      <c r="A65" s="12" t="inlineStr"/>
      <c r="B65" s="12" t="inlineStr">
        <is>
          <t>Subtotal WBS 8.0 (Reference)</t>
        </is>
      </c>
      <c r="C65" s="12">
        <f>SUM(C62:C64)</f>
        <v/>
      </c>
      <c r="D65" s="12" t="n"/>
      <c r="E65" s="12">
        <f>SUM(E62:E64)</f>
        <v/>
      </c>
      <c r="F65" s="12">
        <f>SUM(F62:F64)</f>
        <v/>
      </c>
      <c r="G65" s="12" t="n"/>
      <c r="H65" s="12" t="n"/>
    </row>
    <row r="67">
      <c r="A67" s="14" t="inlineStr"/>
      <c r="B67" s="14" t="inlineStr">
        <is>
          <t>RF/CONTROLS SCOPE SUBTOTAL (WBS 1-7)</t>
        </is>
      </c>
      <c r="C67" s="15">
        <f>C11+C20+C32+C40+C48+C54+C59</f>
        <v/>
      </c>
      <c r="D67" s="14" t="n"/>
      <c r="E67" s="14">
        <f>E11+E20+E32+E40+E48+E54+E59</f>
        <v/>
      </c>
      <c r="F67" s="14">
        <f>F11+F20+F32+F40+F48+F54+F59</f>
        <v/>
      </c>
      <c r="G67" s="14" t="n"/>
      <c r="H67" s="14" t="n"/>
    </row>
    <row r="68">
      <c r="A68" s="14" t="n"/>
      <c r="B68" s="14" t="inlineStr">
        <is>
          <t>INFRASTRUCTURE REFERENCE (WBS 8)</t>
        </is>
      </c>
      <c r="C68" s="14">
        <f>C65</f>
        <v/>
      </c>
      <c r="D68" s="14" t="n"/>
      <c r="E68" s="14">
        <f>E65</f>
        <v/>
      </c>
      <c r="F68" s="14">
        <f>F65</f>
        <v/>
      </c>
      <c r="G68" s="14" t="n"/>
      <c r="H68" s="14" t="n"/>
    </row>
    <row r="69">
      <c r="A69" s="16" t="n"/>
      <c r="B69" s="16" t="inlineStr">
        <is>
          <t>PROJECT BASE ESTIMATE (WBS 1-8)</t>
        </is>
      </c>
      <c r="C69" s="16">
        <f>C67+C68</f>
        <v/>
      </c>
      <c r="D69" s="16" t="n"/>
      <c r="E69" s="16">
        <f>E67+E68</f>
        <v/>
      </c>
      <c r="F69" s="16">
        <f>F67+F68</f>
        <v/>
      </c>
      <c r="G69" s="16" t="n"/>
      <c r="H69" s="16" t="n"/>
    </row>
    <row r="71">
      <c r="A71" s="14" t="inlineStr"/>
      <c r="B71" s="14" t="inlineStr">
        <is>
          <t>CONTINGENCY (30% of base, per DOE 413.3B / AACE Class 4)</t>
        </is>
      </c>
      <c r="C71" s="14" t="n"/>
      <c r="D71" s="14" t="n"/>
      <c r="E71" s="14" t="n"/>
      <c r="F71" s="14">
        <f>F69*0.30</f>
        <v/>
      </c>
      <c r="G71" s="14" t="n"/>
      <c r="H71" s="14" t="inlineStr">
        <is>
          <t>AACE 18R-97 Class 4: typical accuracy range -15% to +30%. DOE Order 413.3B requires contingency at conceptual design. 30% applied to full project base.</t>
        </is>
      </c>
    </row>
    <row r="72">
      <c r="A72" s="16" t="n"/>
      <c r="B72" s="16" t="inlineStr">
        <is>
          <t>TOTAL ESTIMATED COST (Base + Contingency)</t>
        </is>
      </c>
      <c r="C72" s="16" t="n"/>
      <c r="D72" s="16" t="n"/>
      <c r="E72" s="16" t="n"/>
      <c r="F72" s="16">
        <f>F69+F71</f>
        <v/>
      </c>
      <c r="G72" s="16" t="n"/>
      <c r="H72" s="16" t="n"/>
    </row>
    <row r="74">
      <c r="A74" s="17" t="inlineStr">
        <is>
          <t>KEY ASSUMPTIONS &amp; RISKS</t>
        </is>
      </c>
    </row>
    <row r="75">
      <c r="A75" t="inlineStr">
        <is>
          <t>A1</t>
        </is>
      </c>
      <c r="B75" t="inlineStr">
        <is>
          <t>Electrical based on Substation 507 option. Substation 502 option would add ~$7M to WBS 8.1.</t>
        </is>
      </c>
    </row>
    <row r="76">
      <c r="A76" t="inlineStr">
        <is>
          <t>A2</t>
        </is>
      </c>
      <c r="B76" t="inlineStr">
        <is>
          <t>Circulator cost assumes new procurement. PEP-II 1.5 MW circulators may be reusable (saves ~$400k in WBS 2.3).</t>
        </is>
      </c>
    </row>
    <row r="77">
      <c r="A77" t="inlineStr">
        <is>
          <t>A3</t>
        </is>
      </c>
      <c r="B77" t="inlineStr">
        <is>
          <t>SSA spares (WBS 1.2) assume 2 units. Could be reduced to 1 (saves $312k) or increased per ops requirements.</t>
        </is>
      </c>
    </row>
    <row r="78">
      <c r="A78" t="inlineStr">
        <is>
          <t>A4</t>
        </is>
      </c>
      <c r="B78" t="inlineStr">
        <is>
          <t>Labor rate: $200/hr burdened (SLAC lab rate including overhead). 1 FTE = 1,740 hrs/yr.</t>
        </is>
      </c>
    </row>
    <row r="79">
      <c r="A79" t="inlineStr">
        <is>
          <t>R1</t>
        </is>
      </c>
      <c r="B79" t="inlineStr">
        <is>
          <t>RISK: Interface Chassis on critical path (design not started). PCB iteration may add 3-6 months and $10-20k.</t>
        </is>
      </c>
    </row>
    <row r="80">
      <c r="A80" t="inlineStr">
        <is>
          <t>R2</t>
        </is>
      </c>
      <c r="B80" t="inlineStr">
        <is>
          <t>RISK: Tuner motor controller reliability unproven. May require redesign (adds $20-50k and 0.5 FTE).</t>
        </is>
      </c>
    </row>
    <row r="81">
      <c r="A81" t="inlineStr">
        <is>
          <t>R3</t>
        </is>
      </c>
      <c r="B81" t="inlineStr">
        <is>
          <t>RISK: EPICS Coordinator software is largest untouched scope. Schedule risk if parallel development insufficient.</t>
        </is>
      </c>
    </row>
    <row r="82">
      <c r="A82" t="inlineStr">
        <is>
          <t>R4</t>
        </is>
      </c>
      <c r="B82" t="inlineStr">
        <is>
          <t>RISK: PPS regulatory approval timeline uncertain. Early engagement with AD Safety Division required.</t>
        </is>
      </c>
    </row>
    <row r="83">
      <c r="A83" t="inlineStr">
        <is>
          <t>R5</t>
        </is>
      </c>
      <c r="B83" t="inlineStr">
        <is>
          <t>RISK: DOE lab construction costs typically 50-100% higher than commercial. WBS 8.3 may be significantly understated.</t>
        </is>
      </c>
    </row>
    <row r="84">
      <c r="A84" t="inlineStr">
        <is>
          <t>R6</t>
        </is>
      </c>
      <c r="B84" t="inlineStr">
        <is>
          <t>RISK: Limited SPEAR testing windows. Integration testing constrained to summer shutdowns and brief maintenance periods.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H30"/>
  <sheetViews>
    <sheetView tabSelected="1" workbookViewId="0">
      <selection activeCell="E21" sqref="E21"/>
    </sheetView>
  </sheetViews>
  <sheetFormatPr baseColWidth="8" defaultRowHeight="15"/>
  <cols>
    <col width="53.140625" customWidth="1" min="2" max="2"/>
    <col width="10.7109375" customWidth="1" min="3" max="3"/>
    <col width="15.7109375" customWidth="1" min="4" max="4"/>
    <col width="20" customWidth="1" min="5" max="5"/>
    <col width="9.85546875" customWidth="1" min="7" max="7"/>
    <col width="43.85546875" customWidth="1" min="8" max="8"/>
  </cols>
  <sheetData>
    <row r="3">
      <c r="B3" t="inlineStr">
        <is>
          <t>The SSA upgrade project includes follow items</t>
        </is>
      </c>
      <c r="G3" t="inlineStr">
        <is>
          <t>1 FTE(hr)/yr</t>
        </is>
      </c>
      <c r="H3" t="n">
        <v>1740</v>
      </c>
    </row>
    <row r="4">
      <c r="C4" t="inlineStr">
        <is>
          <t>M&amp;S (k$)</t>
        </is>
      </c>
      <c r="D4" t="inlineStr">
        <is>
          <t>Labor (hours)</t>
        </is>
      </c>
      <c r="E4" t="inlineStr">
        <is>
          <t>lablor rate ($/hr)</t>
        </is>
      </c>
      <c r="F4" t="inlineStr">
        <is>
          <t>labor (k$)</t>
        </is>
      </c>
      <c r="G4" t="inlineStr">
        <is>
          <t>Total ($k)</t>
        </is>
      </c>
      <c r="H4" t="inlineStr">
        <is>
          <t>Note</t>
        </is>
      </c>
    </row>
    <row r="5">
      <c r="B5" s="3" t="inlineStr">
        <is>
          <t>1 MW SSA</t>
        </is>
      </c>
    </row>
    <row r="6">
      <c r="B6" s="1" t="inlineStr">
        <is>
          <t>16 of 65kW unit</t>
        </is>
      </c>
      <c r="C6">
        <f>'SSA quote from R&amp;K'!C7/1000</f>
        <v/>
      </c>
      <c r="G6">
        <f>C6</f>
        <v/>
      </c>
      <c r="H6" t="inlineStr">
        <is>
          <t>based on one 65 kW unit quote from R&amp;K in July 2025</t>
        </is>
      </c>
    </row>
    <row r="7" ht="45" customHeight="1">
      <c r="B7" s="1" t="inlineStr">
        <is>
          <t>SSA design study</t>
        </is>
      </c>
      <c r="D7">
        <f>1*H3</f>
        <v/>
      </c>
      <c r="E7" t="n">
        <v>200</v>
      </c>
      <c r="F7">
        <f>D7*E7/1000</f>
        <v/>
      </c>
      <c r="G7">
        <f>F7</f>
        <v/>
      </c>
      <c r="H7" s="2" t="inlineStr">
        <is>
          <t>1) intial design 0.5 FTE for prototype, 2) 0.5 FTE for prototype test and design iteration with the vendor</t>
        </is>
      </c>
    </row>
    <row r="8" ht="45" customHeight="1">
      <c r="B8" s="1" t="inlineStr">
        <is>
          <t>SSA installation and commissioning</t>
        </is>
      </c>
      <c r="C8" t="n">
        <v>100</v>
      </c>
      <c r="D8">
        <f>24*160</f>
        <v/>
      </c>
      <c r="E8" t="n">
        <v>200</v>
      </c>
      <c r="F8">
        <f>D8*E8/1000</f>
        <v/>
      </c>
      <c r="G8">
        <f>C8+F8</f>
        <v/>
      </c>
      <c r="H8" s="2" t="inlineStr">
        <is>
          <t>1) MS for tools and parts; 2) 4 person-3 week per station for installation (12 person-month), 6 person-2-month for commissiong</t>
        </is>
      </c>
    </row>
    <row r="9">
      <c r="B9" s="4" t="inlineStr">
        <is>
          <t>Existing waveguide remove and Cable tray relocation</t>
        </is>
      </c>
      <c r="C9" t="n">
        <v>10</v>
      </c>
      <c r="D9">
        <f>4*160</f>
        <v/>
      </c>
      <c r="E9" t="n">
        <v>200</v>
      </c>
      <c r="F9">
        <f>D9*E9/1000</f>
        <v/>
      </c>
      <c r="G9">
        <f>C9+F9</f>
        <v/>
      </c>
      <c r="H9" t="inlineStr">
        <is>
          <t>1) MS for the extra cable tray; 2) 4 person-1moth work</t>
        </is>
      </c>
    </row>
    <row r="10">
      <c r="B10" s="3" t="inlineStr">
        <is>
          <t>Control Electronics</t>
        </is>
      </c>
    </row>
    <row r="11">
      <c r="B11" s="1" t="inlineStr">
        <is>
          <t>4LLRF9 units</t>
        </is>
      </c>
      <c r="C11" s="5" t="n">
        <v>398</v>
      </c>
      <c r="D11" s="5">
        <f>0.5*H3</f>
        <v/>
      </c>
      <c r="E11" s="5" t="n">
        <v>200</v>
      </c>
      <c r="F11" s="5">
        <f>D11*E11/1000</f>
        <v/>
      </c>
      <c r="G11">
        <f>C11+F11</f>
        <v/>
      </c>
      <c r="H11" s="5" t="inlineStr">
        <is>
          <t>4 × Dimtel LLRF9/500 @ $99.45k each (15% volume discount from $117k list); 0.5 FTE for integration &amp; EPICS IOC configuration</t>
        </is>
      </c>
    </row>
    <row r="12">
      <c r="B12" s="1" t="inlineStr">
        <is>
          <t>MPS</t>
        </is>
      </c>
      <c r="C12" s="5" t="n">
        <v>100</v>
      </c>
      <c r="D12" s="5">
        <f>1*H3</f>
        <v/>
      </c>
      <c r="E12" s="5" t="n">
        <v>200</v>
      </c>
      <c r="F12" s="5">
        <f>D12*E12/1000</f>
        <v/>
      </c>
      <c r="G12">
        <f>C12+F12</f>
        <v/>
      </c>
      <c r="H12" s="5" t="inlineStr">
        <is>
          <t>ControlLogix PLC hardware (~$22k/station × 4), interlock chassis, relay modules, arc detection sensors ($20k), and interface electronics; 1 FTE for design/assembly/testing</t>
        </is>
      </c>
    </row>
    <row r="13">
      <c r="B13" s="1" t="inlineStr">
        <is>
          <t>software</t>
        </is>
      </c>
      <c r="C13" s="5" t="n">
        <v>20</v>
      </c>
      <c r="D13" s="5">
        <f>2*H3</f>
        <v/>
      </c>
      <c r="E13" s="5" t="n">
        <v>200</v>
      </c>
      <c r="F13" s="5">
        <f>D13*E13/1000</f>
        <v/>
      </c>
      <c r="G13">
        <f>C13+F13</f>
        <v/>
      </c>
      <c r="H13" s="5" t="inlineStr">
        <is>
          <t>EPICS IOC development, state machine, fault handling, auto-recovery, operator EDM/CSS panels, MATLAB integration, SSA-specific commissioning tools; 2 FTE for development &amp; commissioning</t>
        </is>
      </c>
    </row>
    <row r="15">
      <c r="B15" s="6" t="inlineStr">
        <is>
          <t>Waveguide runs</t>
        </is>
      </c>
      <c r="C15" s="5" t="n">
        <v>1050</v>
      </c>
      <c r="D15" s="5">
        <f>2*H3</f>
        <v/>
      </c>
      <c r="E15" s="5" t="n">
        <v>200</v>
      </c>
      <c r="F15" s="5">
        <f>D15*E15/1000</f>
        <v/>
      </c>
      <c r="G15">
        <f>C15+F15</f>
        <v/>
      </c>
      <c r="H15" s="5" t="inlineStr">
        <is>
          <t>4 WR2100 waveguide runs to cavities (~$300k); 4 circulators 250kW@476MHz (~$400k); coaxial combiners 6-1/8" to WR2100 (~$200k); loads, transitions, supports/hangers (~$150k); 2 FTE design/install/test</t>
        </is>
      </c>
    </row>
    <row r="16">
      <c r="B16" s="5" t="inlineStr">
        <is>
          <t xml:space="preserve">  Circulators (4 × 250 kW)</t>
        </is>
      </c>
      <c r="H16" s="5" t="inlineStr">
        <is>
          <t>Existing PEP-II 1.5 MW circulators available (per 2/24 mtg notes) — if usable, saves ~$400k; alternative: smaller 250 kW units</t>
        </is>
      </c>
    </row>
    <row r="17">
      <c r="B17" s="5" t="inlineStr">
        <is>
          <t xml:space="preserve">  WR2100 + 6-1/8" coaxial combiner</t>
        </is>
      </c>
      <c r="H17" s="5" t="inlineStr">
        <is>
          <t>Each SSA cabinet outputs 6-1/8" coax → 8:1 coaxial combiner → WR2100 to cavity; waveguide λg ≈ 80.4 cm at 476.3 MHz; lengths must match to ±nλg</t>
        </is>
      </c>
    </row>
    <row r="18">
      <c r="B18" s="6" t="inlineStr">
        <is>
          <t>Project management</t>
        </is>
      </c>
      <c r="C18" s="5" t="n">
        <v>30</v>
      </c>
      <c r="D18" s="5">
        <f>3*H3</f>
        <v/>
      </c>
      <c r="E18" s="5" t="n">
        <v>200</v>
      </c>
      <c r="F18" s="5">
        <f>D18*E18/1000</f>
        <v/>
      </c>
      <c r="G18">
        <f>C18+F18</f>
        <v/>
      </c>
      <c r="H18" s="5" t="inlineStr">
        <is>
          <t>Project management, safety reviews (LOTO, OSHA), coordination with F&amp;O, DOE reviews; ~0.5 FTE avg over 6-year project; M&amp;S for travel/reviews/meetings</t>
        </is>
      </c>
    </row>
    <row r="20">
      <c r="B20" s="6" t="inlineStr">
        <is>
          <t>480 VAC Distribution System</t>
        </is>
      </c>
      <c r="C20" s="5" t="n">
        <v>900</v>
      </c>
      <c r="D20" s="5">
        <f>2*H3</f>
        <v/>
      </c>
      <c r="E20" s="5" t="n">
        <v>200</v>
      </c>
      <c r="F20" s="5">
        <f>D20*E20/1000</f>
        <v/>
      </c>
      <c r="G20">
        <f>C20+F20</f>
        <v/>
      </c>
      <c r="H20" s="5" t="inlineStr">
        <is>
          <t>Based on Substation 507 option ($1-2M per 1/27 mtg); 2.5-3 MVA transformer 12kV→480V outdoor (~$150-200k); 12kV feed from Bldg 507 + switchgear (~$300k); 480V distribution panels/breakers 4-8 buckets per SSA (~$200k); civil, cable, installation (~$200k); 2 FTE electrical engineering/oversight</t>
        </is>
      </c>
    </row>
    <row r="21">
      <c r="B21" s="5" t="inlineStr">
        <is>
          <t xml:space="preserve">  Transformer + 12kV feed</t>
        </is>
      </c>
      <c r="H21" s="5" t="inlineStr">
        <is>
          <t>Primary location: field near SPEAR tunnel entrance (per 2/24 mtg). 12kV from Bldg 507 → transformer → 480V back to SSA racks. Avoid reliance on Substation 502 (uncertain timeline)</t>
        </is>
      </c>
    </row>
    <row r="22">
      <c r="B22" s="6" t="inlineStr">
        <is>
          <t>Cooling water</t>
        </is>
      </c>
      <c r="C22" s="5" t="n">
        <v>250</v>
      </c>
      <c r="D22" s="5">
        <f>1.5*H3</f>
        <v/>
      </c>
      <c r="E22" s="5" t="n">
        <v>200</v>
      </c>
      <c r="F22" s="5">
        <f>D22*E22/1000</f>
        <v/>
      </c>
      <c r="G22">
        <f>C22+F22</f>
        <v/>
      </c>
      <c r="H22" s="5" t="inlineStr">
        <is>
          <t>400 GPM LCW for 4 SSA stations (~100 GPM each, ΔT~10K); upgrade 4" to 6"+ piping ($100-150k); manifolds, valves, flow meters, controls ($50-75k); HCW for loads separate ($25-50k); 1.5 FTE plumbing design + install during summer shutdown</t>
        </is>
      </c>
    </row>
    <row r="23">
      <c r="B23" s="5" t="inlineStr">
        <is>
          <t xml:space="preserve">  LCW piping upgrade</t>
        </is>
      </c>
      <c r="H23" s="5" t="inlineStr">
        <is>
          <t>Option B preferred (new 6"+ connection to main header, per 3/10 mtg). Plumbing mods targeted for 2-month summer downtime. Javier to coordinate with F&amp;O (Ota). Test lab Bldg 122 needs ~15 GPM separately.</t>
        </is>
      </c>
    </row>
    <row r="24">
      <c r="B24" s="6" t="inlineStr">
        <is>
          <t>Infrastructure</t>
        </is>
      </c>
      <c r="C24" s="5" t="n">
        <v>500</v>
      </c>
      <c r="D24" s="5">
        <f>2*H3</f>
        <v/>
      </c>
      <c r="E24" s="5" t="n">
        <v>200</v>
      </c>
      <c r="F24" s="5">
        <f>D24*E24/1000</f>
        <v/>
      </c>
      <c r="G24">
        <f>C24+F24</f>
        <v/>
      </c>
      <c r="H24" s="5" t="inlineStr">
        <is>
          <t>New SSA building extension ~636 sqft + ~300 sqft mezzanine @ ~27 ft height; OSHA-compliant stairway (~25 risers + landing); roll-up door(s) for forklift/rack delivery; HVAC for SSA heat rejection; relocate condensing unit, panels, existing equipment</t>
        </is>
      </c>
    </row>
    <row r="25">
      <c r="B25" s="5" t="inlineStr">
        <is>
          <t xml:space="preserve">  Building extension + mezzanine</t>
        </is>
      </c>
      <c r="H25" s="5" t="inlineStr">
        <is>
          <t>Two-story SSA layout per 2/24 mtg. 9 ft clear height under platform. Structural: remove non-structural shed walls, add new column/I-beam. Seismic compliance. F&amp;O prior estimate for test facility: $1.3M (per 1/27 mtg)</t>
        </is>
      </c>
    </row>
    <row r="26">
      <c r="B26" s="5" t="inlineStr">
        <is>
          <t xml:space="preserve">  Equipment relocation</t>
        </is>
      </c>
      <c r="H26" s="5" t="inlineStr">
        <is>
          <t>Remove old air-handler/chiller behind 507; relocate transformers (2-3), distribution panels, MPS controls cabinets during downtime; cable tray relocation ~10 ft outward between 118 and ring</t>
        </is>
      </c>
    </row>
    <row r="28">
      <c r="B28" s="6" t="inlineStr">
        <is>
          <t>TOTALS</t>
        </is>
      </c>
      <c r="C28" s="5">
        <f>C6+C8+C9+C11+C12+C13+C15+C18+C20+C22+C24</f>
        <v/>
      </c>
      <c r="D28" s="5">
        <f>D7+D8+D9+D11+D12+D13+D15+D18+D20+D22+D24</f>
        <v/>
      </c>
      <c r="F28" s="5">
        <f>F7+F8+F9+F11+F12+F13+F15+F18+F20+F22+F24</f>
        <v/>
      </c>
      <c r="G28" s="5">
        <f>C28+F28</f>
        <v/>
      </c>
      <c r="H28" s="5" t="inlineStr">
        <is>
          <t>Sum of all line items (M&amp;S + Labor)</t>
        </is>
      </c>
    </row>
    <row r="29">
      <c r="B29" s="5" t="inlineStr">
        <is>
          <t>Total FTE-years</t>
        </is>
      </c>
      <c r="D29" s="5">
        <f>D28/H3</f>
        <v/>
      </c>
      <c r="H29" s="5" t="inlineStr">
        <is>
          <t>Total labor expressed in FTE-years</t>
        </is>
      </c>
    </row>
    <row r="30">
      <c r="B30" s="6" t="inlineStr">
        <is>
          <t>Contingency (not included)</t>
        </is>
      </c>
      <c r="H30" s="5" t="inlineStr">
        <is>
          <t>Recommend 25-35% contingency at conceptual design stage per DOE Order 413.3B. Applied to grand total, this would add ~$3-5M.</t>
        </is>
      </c>
    </row>
  </sheetData>
  <pageMargins left="0.7" right="0.7" top="0.75" bottom="0.75" header="0.3" footer="0.3"/>
  <pageSetup orientation="portrait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4:C7"/>
  <sheetViews>
    <sheetView zoomScale="85" zoomScaleNormal="85" workbookViewId="0">
      <selection activeCell="C7" sqref="C7"/>
    </sheetView>
  </sheetViews>
  <sheetFormatPr baseColWidth="8" defaultRowHeight="15"/>
  <cols>
    <col width="13.5703125" customWidth="1" min="2" max="2"/>
  </cols>
  <sheetData>
    <row r="4">
      <c r="C4" t="inlineStr">
        <is>
          <t>$</t>
        </is>
      </c>
    </row>
    <row r="5">
      <c r="B5" t="inlineStr">
        <is>
          <t>1 65 kw unit</t>
        </is>
      </c>
      <c r="C5" t="n">
        <v>311600</v>
      </c>
    </row>
    <row r="7">
      <c r="B7" t="inlineStr">
        <is>
          <t>16 units</t>
        </is>
      </c>
      <c r="C7">
        <f>16*C5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Wang, Faya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2026-03-25T02:43:05Z</dcterms:modified>
  <cp:lastModifiedBy>Wang, Faya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0x010100162E8B9B8F494F4F9FA5AC6115F8BAFC</vt:lpwstr>
  </property>
  <property name="MediaServiceImageTags" fmtid="{D5CDD505-2E9C-101B-9397-08002B2CF9AE}" pid="3">
    <vt:lpwstr xmlns:vt="http://schemas.openxmlformats.org/officeDocument/2006/docPropsVTypes"/>
  </property>
</Properties>
</file>