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lac-my.sharepoint.com/personal/fywang_slac_stanford_edu/Documents/SLACR/pyCode/spearlegacyLLRF/SSA_upgrade/"/>
    </mc:Choice>
  </mc:AlternateContent>
  <xr:revisionPtr revIDLastSave="159" documentId="11_EAAD37AD85462FEEB881F6DDE1AE0B77A09C2A60" xr6:coauthVersionLast="47" xr6:coauthVersionMax="47" xr10:uidLastSave="{5ADAE416-0EBB-4229-A24B-34BB93D70700}"/>
  <bookViews>
    <workbookView xWindow="-110" yWindow="-110" windowWidth="38620" windowHeight="21100" xr2:uid="{00000000-000D-0000-FFFF-FFFF00000000}"/>
  </bookViews>
  <sheets>
    <sheet name="Project Scope" sheetId="1" r:id="rId1"/>
    <sheet name="Class 4 Estimate" sheetId="2" r:id="rId2"/>
    <sheet name="Reference Pricing" sheetId="3" r:id="rId3"/>
    <sheet name="cover page" sheetId="4" r:id="rId4"/>
    <sheet name="SSA quote from R&amp;K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5" i="5"/>
  <c r="C7" i="5" s="1"/>
  <c r="C8" i="2" s="1"/>
  <c r="A76" i="4" l="1" a="1"/>
  <c r="A76" i="4" s="1"/>
  <c r="D26" i="4" l="1"/>
  <c r="F26" i="4" s="1"/>
  <c r="G26" i="4" s="1"/>
  <c r="D24" i="4"/>
  <c r="D22" i="4"/>
  <c r="F22" i="4" s="1"/>
  <c r="G22" i="4" s="1"/>
  <c r="D19" i="4"/>
  <c r="F19" i="4" s="1"/>
  <c r="G19" i="4" s="1"/>
  <c r="D16" i="4"/>
  <c r="F16" i="4" s="1"/>
  <c r="G16" i="4" s="1"/>
  <c r="D14" i="4"/>
  <c r="F14" i="4" s="1"/>
  <c r="G14" i="4" s="1"/>
  <c r="D13" i="4"/>
  <c r="F13" i="4" s="1"/>
  <c r="G13" i="4" s="1"/>
  <c r="D12" i="4"/>
  <c r="F12" i="4" s="1"/>
  <c r="G12" i="4" s="1"/>
  <c r="D10" i="4"/>
  <c r="F10" i="4" s="1"/>
  <c r="G10" i="4" s="1"/>
  <c r="D9" i="4"/>
  <c r="F9" i="4" s="1"/>
  <c r="D8" i="4"/>
  <c r="F8" i="4" s="1"/>
  <c r="G8" i="4" s="1"/>
  <c r="C6" i="4"/>
  <c r="G6" i="4" s="1"/>
  <c r="E85" i="2"/>
  <c r="F77" i="2"/>
  <c r="F85" i="2" s="1"/>
  <c r="E77" i="2"/>
  <c r="C77" i="2"/>
  <c r="C85" i="2" s="1"/>
  <c r="F67" i="2"/>
  <c r="F84" i="2" s="1"/>
  <c r="E67" i="2"/>
  <c r="E84" i="2" s="1"/>
  <c r="C67" i="2"/>
  <c r="C84" i="2" s="1"/>
  <c r="F61" i="2"/>
  <c r="E61" i="2"/>
  <c r="C61" i="2"/>
  <c r="F56" i="2"/>
  <c r="E56" i="2"/>
  <c r="C56" i="2"/>
  <c r="F50" i="2"/>
  <c r="E50" i="2"/>
  <c r="C50" i="2"/>
  <c r="F42" i="2"/>
  <c r="E42" i="2"/>
  <c r="C42" i="2"/>
  <c r="F34" i="2"/>
  <c r="E34" i="2"/>
  <c r="C34" i="2"/>
  <c r="F21" i="2"/>
  <c r="E21" i="2"/>
  <c r="E83" i="2" s="1"/>
  <c r="E87" i="2" s="1"/>
  <c r="C21" i="2"/>
  <c r="F12" i="2"/>
  <c r="F83" i="2" s="1"/>
  <c r="F87" i="2" s="1"/>
  <c r="E12" i="2"/>
  <c r="C12" i="2"/>
  <c r="C83" i="2" s="1"/>
  <c r="C87" i="2" s="1"/>
  <c r="D30" i="4" l="1"/>
  <c r="D31" i="4" s="1"/>
  <c r="C30" i="4"/>
  <c r="F89" i="2"/>
  <c r="F90" i="2"/>
  <c r="G9" i="4"/>
  <c r="F24" i="4"/>
  <c r="G24" i="4" s="1"/>
  <c r="F30" i="4" l="1"/>
  <c r="G30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<sst xmlns="http://schemas.openxmlformats.org/spreadsheetml/2006/main" count="673" uniqueCount="554">
  <si>
    <t>SPEAR3 SSA Upgrade Project - Scope Description</t>
  </si>
  <si>
    <t>1. PROJECT OBJECTIVE</t>
  </si>
  <si>
    <t>Replace the existing single 1.2 MW klystron RF source at the SPEAR3 storage ring with a distributed</t>
  </si>
  <si>
    <t>delivering approximately 1,040 kW total RF power at 476.3 MHz to four RF cavities.</t>
  </si>
  <si>
    <t>This project directly improves reliability (no single-point klystron failure), maintainability</t>
  </si>
  <si>
    <t>(hot-swappable SSA modules), and operational flexibility (graceful degradation with N-1 capability).</t>
  </si>
  <si>
    <t>2. RELATED PROJECT (LLRF Upgrade — Independent, Separate Scope)</t>
  </si>
  <si>
    <t>The LLRF upgrade project (separate scope, separately funded) is underway independently.</t>
  </si>
  <si>
    <t>The LLRF upgrade modernizes the controls infrastructure from legacy VXI/PLC-5/SLC-500 to:</t>
  </si>
  <si>
    <t xml:space="preserve">  - Allen-Bradley CompactLogix/ControlLogix PLCs</t>
  </si>
  <si>
    <t xml:space="preserve">  - EPICS-based supervisory control software</t>
  </si>
  <si>
    <t>The SSA upgrade leverages shared hardware where practical but is not dependent on LLRF completion.</t>
  </si>
  <si>
    <t>3a. SSA RF Source (WBS 1.0)</t>
  </si>
  <si>
    <t xml:space="preserve">  - Procurement of 16 x 65 kW SSA modules + 2 hot-swap spares from R&amp;K Company</t>
  </si>
  <si>
    <t xml:space="preserve">  - Design study, acceptance test protocol development, vendor collaboration</t>
  </si>
  <si>
    <t xml:space="preserve">  - SSA test stand setup and commissioning at Building 122</t>
  </si>
  <si>
    <t>3b. RF Distribution &amp; Combining (WBS 2.0)</t>
  </si>
  <si>
    <t xml:space="preserve">  - 4 x 4:1 coaxial combiners (6-1/8" inputs to WR2100 output)</t>
  </si>
  <si>
    <t xml:space="preserve">  - 4 independent WR2100 waveguide runs from SSA building to cavities</t>
  </si>
  <si>
    <t xml:space="preserve">  - 4 high-power circulators (250+ kW CW @ 476 MHz)</t>
  </si>
  <si>
    <t xml:space="preserve">  - RF loads, directional couplers, transitions, waveguide supports</t>
  </si>
  <si>
    <t>3c. Control Electronics &amp; Protection Systems (WBS 3.0)</t>
  </si>
  <si>
    <t xml:space="preserve">  - NEW Interface Chassis design for SSA interlock topology</t>
  </si>
  <si>
    <t>3d. Software &amp; Integration (WBS 4.0)</t>
  </si>
  <si>
    <t xml:space="preserve">  - EPICS IOC development for SSA modules, NIP, PPS</t>
  </si>
  <si>
    <t xml:space="preserve">  - State machine / EPICS Coordinator extension for SSA operations</t>
  </si>
  <si>
    <t xml:space="preserve">  - Operator interface panels (EDM/CSS)</t>
  </si>
  <si>
    <t xml:space="preserve">  - Commissioning tools and scripts</t>
  </si>
  <si>
    <t xml:space="preserve">  - Documentation and operator training</t>
  </si>
  <si>
    <t>3e. Installation &amp; Commissioning (WBS 5.0)</t>
  </si>
  <si>
    <t xml:space="preserve">  - SSA module installation (4 stations, 4 modules each)</t>
  </si>
  <si>
    <t xml:space="preserve">  - RF distribution installation (waveguide, combiners, circulators)</t>
  </si>
  <si>
    <t xml:space="preserve">  - Controls and cabling installation</t>
  </si>
  <si>
    <t xml:space="preserve">  - System integration testing</t>
  </si>
  <si>
    <t xml:space="preserve">  - Phased commissioning (per-station turn-on)</t>
  </si>
  <si>
    <t>3f. Site Preparation &amp; Removal (WBS 6.0)</t>
  </si>
  <si>
    <t xml:space="preserve">  - Existing klystron and waveguide removal</t>
  </si>
  <si>
    <t xml:space="preserve">  - Cable tray relocation for new waveguide routing</t>
  </si>
  <si>
    <t xml:space="preserve">  - Equipment relocation (transformers, panels, cabinets)</t>
  </si>
  <si>
    <t xml:space="preserve">  - Technical program management (~0.5 FTE/yr over ~5-year project)</t>
  </si>
  <si>
    <t xml:space="preserve">  - Safety reviews and PPS/NIP coordination with SLAC AD Safety Division</t>
  </si>
  <si>
    <t xml:space="preserve">  - HVPS removal (2.5 MVA: SCR rectifier, oil-insulated 12.47 kV transformer, crowbar circuit)</t>
  </si>
  <si>
    <t xml:space="preserve">  - Waveguide network removal (WR2100 from klystron to tunnel, magic tee 4-way splitter on roof)</t>
  </si>
  <si>
    <t xml:space="preserve">  - Circulator and RF loads removal, HCW cooling system drain/flush</t>
  </si>
  <si>
    <t xml:space="preserve">  - Lead shielding removal and hazardous waste abatement (EPA/RCRA classified)</t>
  </si>
  <si>
    <t>4a. Infrastructure (WBS 8.0 - Included in SSA Project)</t>
  </si>
  <si>
    <t xml:space="preserve">  - 480 VAC distribution system (Substation 507 upgrade, 2.5-3 MVA transformer)</t>
  </si>
  <si>
    <t xml:space="preserve">  - Building extension and mezzanine (~636 + 300 sqft, two-story)</t>
  </si>
  <si>
    <t xml:space="preserve">  - Operating frequency: 476.3 MHz</t>
  </si>
  <si>
    <t xml:space="preserve">  - Total RF power: 16 x 65 kW = 1,040 kW</t>
  </si>
  <si>
    <t xml:space="preserve">  - RF cavities: 4 (SPEAR3 storage ring)</t>
  </si>
  <si>
    <t xml:space="preserve">  - Waveguide: WR2100 (lambda_g = 80.4 cm at 476.3 MHz)</t>
  </si>
  <si>
    <t xml:space="preserve">  - Cooling: LCW, 400 GPM total (~100 GPM/station, deltaT ~10K)</t>
  </si>
  <si>
    <t xml:space="preserve">  - Strongly dependent on Substation 507 upgrade schedule</t>
  </si>
  <si>
    <t xml:space="preserve">  - Facility design/construction constrained by engineering resources</t>
  </si>
  <si>
    <t>SPEAR3 SSA Upgrade Project - Class 4 Cost Estimate (AACE 18R-97)</t>
  </si>
  <si>
    <t>Design Maturity: 5-15% | Labor: $200/hr burdened | 1 FTE=1,740 hrs/yr | All costs in k$ | Base year: 2026</t>
  </si>
  <si>
    <t>NOTE: This estimate covers SSA upgrade scope including infrastructure and decommissioning (WBS 1-9). The LLRF upgrade is a separate, independent project with no dependency relationship.</t>
  </si>
  <si>
    <t>WBS</t>
  </si>
  <si>
    <t>Description</t>
  </si>
  <si>
    <t>M&amp;S (k$)</t>
  </si>
  <si>
    <t>Labor (FTE)</t>
  </si>
  <si>
    <t>Labor (k$)</t>
  </si>
  <si>
    <t>Total (k$)</t>
  </si>
  <si>
    <t>Conf.</t>
  </si>
  <si>
    <t>Basis of Estimate / Notes</t>
  </si>
  <si>
    <t>1.0</t>
  </si>
  <si>
    <t>SSA RF SOURCE</t>
  </si>
  <si>
    <t>1.1</t>
  </si>
  <si>
    <t>H</t>
  </si>
  <si>
    <t>1.2</t>
  </si>
  <si>
    <t>2 spares @ $311,600 each. Industry practice for 16-module system. Enables rapid replacement without vendor lead time.</t>
  </si>
  <si>
    <t>1.3</t>
  </si>
  <si>
    <t>SSA Design Study &amp; Prototype Test</t>
  </si>
  <si>
    <t>M</t>
  </si>
  <si>
    <t>0.5 FTE prototype design/acceptance protocol + 0.5 FTE vendor collaboration &amp; test iteration.</t>
  </si>
  <si>
    <t>1.4</t>
  </si>
  <si>
    <t>SSA Test Stand (Bldg 122)</t>
  </si>
  <si>
    <t>RF load (50 kW CW), power measurement, 480V service, LCW (~15 GPM). Existing Bldg 122 LCW connection usable (per 3/10 mtg).</t>
  </si>
  <si>
    <t>Subtotal WBS 1.0</t>
  </si>
  <si>
    <t>2.0</t>
  </si>
  <si>
    <t>RF DISTRIBUTION &amp; COMBINING</t>
  </si>
  <si>
    <t>2.1</t>
  </si>
  <si>
    <t>6-1/8" Coaxial Combiners (4 x 4:1)</t>
  </si>
  <si>
    <t>4 combiners, each combining 4 SSA outputs (6-1/8" coax) into WR2100. ~$40k each. See Ref Pricing tab for vendor links.</t>
  </si>
  <si>
    <t>2.2</t>
  </si>
  <si>
    <t>WR2100 Waveguide Runs (4 independent)</t>
  </si>
  <si>
    <t>4 runs from SSA bldg to 4 cavities. Straights, bends, flex sections. ~10 lb/ft, hangers every 8 ft. Lambda_g=80.4 cm. Mega Industries/Space Machine vendors.</t>
  </si>
  <si>
    <t>2.3</t>
  </si>
  <si>
    <t>Circulators (4 x 250+ kW @ 476 MHz)</t>
  </si>
  <si>
    <t>L</t>
  </si>
  <si>
    <t>4 ferrite circulators. $80-120k each NEW (AFT Microwave, Mega Industries). PEP-II 1.5 MW units available (per 2/24 mtg) - if reusable, saves ~$400k.</t>
  </si>
  <si>
    <t>2.4</t>
  </si>
  <si>
    <t>RF Loads (circulator loads, terminations)</t>
  </si>
  <si>
    <t>4 water-cooled circulator loads (~250 kW each), waveguide terminations. HCW-cooled (separate from SSA LCW per 3/10 mtg).</t>
  </si>
  <si>
    <t>2.5</t>
  </si>
  <si>
    <t>Directional Couplers &amp; Transitions</t>
  </si>
  <si>
    <t>Directional couplers at combined outputs (4), WR2100-to-coax transitions, phase trimmers for combining efficiency. See Ref Pricing tab.</t>
  </si>
  <si>
    <t>2.6</t>
  </si>
  <si>
    <t>Waveguide Supports, Hangers, Hardware</t>
  </si>
  <si>
    <t>Unistrut, beam clamps, hangers every 8 ft. Some supports from platform structure above (per 3/10 mtg).</t>
  </si>
  <si>
    <t>Subtotal WBS 2.0</t>
  </si>
  <si>
    <t>3.0</t>
  </si>
  <si>
    <t>CONTROL ELECTRONICS &amp; PROTECTION SYSTEMS</t>
  </si>
  <si>
    <t>3.1</t>
  </si>
  <si>
    <t>LLRF9 SSA Reconfiguration (4 units)</t>
  </si>
  <si>
    <t>LLRF9 hardware installed during LLRF upgrade (no new purchase). SSA reconfiguration: new vector sum for 4-module combining, interlock remapping, firmware update. $20k for Dimtel support/firmware license. 0.5 FTE integration labor.</t>
  </si>
  <si>
    <t>3.2</t>
  </si>
  <si>
    <t>Interface Chassis (NEW for SSA topology)</t>
  </si>
  <si>
    <t>New design required: SSA topology fundamentally different from klystron. Per-station permit logic, 16-module status aggregation, SSA-specific interlock sequencing. PCB design + fab + chassis. CRITICAL PATH.</t>
  </si>
  <si>
    <t>3.3</t>
  </si>
  <si>
    <t>RF MPS Upgrade (SSA topology)</t>
  </si>
  <si>
    <t>Upgrade ControlLogix MPS for 16-module fault detection: individual module trip/bypass, graceful degradation (N-1 operation), new I/O cards for expanded inputs. AB PLC ~$22k + $13k additional I/O modules.</t>
  </si>
  <si>
    <t>3.4</t>
  </si>
  <si>
    <t>Arc Detection System (carried over)</t>
  </si>
  <si>
    <t>Microstep-MIS: sensors 470EUR x10, receivers 635EUR x6, cables, adapters. Same scope as LLRF upgrade. Per TaskListRev3 quote (Erik Bystricky Nov 2024). No change for SSA.</t>
  </si>
  <si>
    <t>3.5</t>
  </si>
  <si>
    <t>Waveform Buffer System (reuse from LLRF)</t>
  </si>
  <si>
    <t>Reuse waveform buffer installed during LLRF upgrade. Minimal SSA adaptation: reconfigure channel assignments for SSA monitoring points. $5k for any additional detectors/cables.</t>
  </si>
  <si>
    <t>3.6</t>
  </si>
  <si>
    <t>SSA Module Status Monitoring</t>
  </si>
  <si>
    <t>Per-module monitoring: VSWR, output power, temperature, fault status x16 modules. Ethernet/serial polling + analog readback. New for SSA.</t>
  </si>
  <si>
    <t>3.7</t>
  </si>
  <si>
    <t>Tuner Motor Controllers (carried over)</t>
  </si>
  <si>
    <t>Galil DMC-4143 controllers installed during LLRF upgrade. Cavity-side hardware, independent of RF source type. Minimal reconfiguration for SSA. $5k for spare parts/cables.</t>
  </si>
  <si>
    <t>3.8</t>
  </si>
  <si>
    <t>PPS Redesign for SSA</t>
  </si>
  <si>
    <t>Redesign required: HVPS contactor/grounding switch eliminated. New SSA PPS chain: 16x 480V SSA power permits, building access interlocks, emergency stop integration. Requires SLAC AD Safety Division review, RSWCF, formal change control.</t>
  </si>
  <si>
    <t>3.9</t>
  </si>
  <si>
    <t>NIP System (Non-Ionizing Protection)</t>
  </si>
  <si>
    <t>NEW: Required per SLAC ESH Ch.50 for 1,040 kW RF in new SSA building. RF field monitors/sensors ($15-25k), door interlocks ($10-15k), warning beacons/signage ($5k), interlock controller ($10-15k). 0.75 FTE: hazard analysis, RFSP development, safety review, documentation.</t>
  </si>
  <si>
    <t>3.10</t>
  </si>
  <si>
    <t>Cables, Connectors, Integration Materials</t>
  </si>
  <si>
    <t>RF cables (SMA, Type-N), fiber optic links, LEMO interlock cables, Ethernet, 480V power cables to SSAs, rack hardware, PDUs. Higher than LLRF upgrade due to 16 distributed modules.</t>
  </si>
  <si>
    <t>Subtotal WBS 3.0</t>
  </si>
  <si>
    <t>4.0</t>
  </si>
  <si>
    <t>SOFTWARE &amp; INTEGRATION</t>
  </si>
  <si>
    <t>4.1</t>
  </si>
  <si>
    <t>EPICS IOC Development (SSA-specific)</t>
  </si>
  <si>
    <t>SSA module IOCs (ASYN/StreamDevice for R&amp;K Ethernet/serial), NIP system IOC, PPS status IOC. LLRF9 IOC carries over from LLRF upgrade. SSA-specific customization.</t>
  </si>
  <si>
    <t>4.2</t>
  </si>
  <si>
    <t>State Machine / EPICS Coordinator (SSA)</t>
  </si>
  <si>
    <t>Extend LLRF coordinator for SSA: module startup/shutdown sequencing, hot-swap logic, graceful degradation (N-1 mode), per-station state machine. CRITICAL: largest untouched software scope.</t>
  </si>
  <si>
    <t>4.3</t>
  </si>
  <si>
    <t>Operator Interface (EDM/CSS Panels)</t>
  </si>
  <si>
    <t>New displays: per-module SSA status, combining efficiency, NIP status, 16-channel fault tree. Extend existing panels from LLRF upgrade.</t>
  </si>
  <si>
    <t>4.4</t>
  </si>
  <si>
    <t>Commissioning Tools &amp; Scripts</t>
  </si>
  <si>
    <t>SSA phase calibration, combiner efficiency optimization, module acceptance test scripts, fault injection testing.</t>
  </si>
  <si>
    <t>4.5</t>
  </si>
  <si>
    <t>Documentation &amp; Training</t>
  </si>
  <si>
    <t>SSA system docs, NIP RFSP documentation, as-builts, operator training on SSA operations &amp; module replacement.</t>
  </si>
  <si>
    <t>Subtotal WBS 4.0</t>
  </si>
  <si>
    <t>5.0</t>
  </si>
  <si>
    <t>INSTALLATION &amp; COMMISSIONING</t>
  </si>
  <si>
    <t>5.1</t>
  </si>
  <si>
    <t>SSA Module Installation (4 stations)</t>
  </si>
  <si>
    <t>4 person x 3 weeks/station x 4 stations. Rack mounting, 480V power, LCW plumbing, RF cabling, control/interlock wiring. Per cover page row 8.</t>
  </si>
  <si>
    <t>5.2</t>
  </si>
  <si>
    <t>RF Distribution Installation</t>
  </si>
  <si>
    <t>Waveguide assembly, circulator installation (vertical per 2/24 mtg), combiner hookup, load installation. Crane required for heavy components.</t>
  </si>
  <si>
    <t>5.3</t>
  </si>
  <si>
    <t>Controls &amp; Cabling Installation</t>
  </si>
  <si>
    <t>MPS rewiring, Interface Chassis install, NIP sensor installation, interlock cabling, Ethernet network for 16 SSA modules.</t>
  </si>
  <si>
    <t>5.4</t>
  </si>
  <si>
    <t>System Integration Testing</t>
  </si>
  <si>
    <t>End-to-end interlock testing, NIP verification, EPICS PV verification, fault injection. Limited window due to SPEAR operations.</t>
  </si>
  <si>
    <t>5.5</t>
  </si>
  <si>
    <t>Phased Commissioning (per-station)</t>
  </si>
  <si>
    <t>6 person x 2 months commissioning. Incremental per-station power ramp. Performance: amplitude &lt;0.1%, phase &lt;0.1 deg.</t>
  </si>
  <si>
    <t>Subtotal WBS 5.0</t>
  </si>
  <si>
    <t>6.0</t>
  </si>
  <si>
    <t>SITE PREPARATION &amp; REMOVAL</t>
  </si>
  <si>
    <t>6.1</t>
  </si>
  <si>
    <t>Existing Klystron/Waveguide Removal</t>
  </si>
  <si>
    <t>Remove klystron, existing waveguide, magic tee splitters. Roof splitters removed; replaced by direct SSA-to-cavity runs (per 2/24 mtg).</t>
  </si>
  <si>
    <t>6.2</t>
  </si>
  <si>
    <t>Cable Tray Relocation</t>
  </si>
  <si>
    <t>Straighten S-shaped cable trays on roof (per 2/24 mtg). Relocate trays between 118 and ring ~10 ft outward.</t>
  </si>
  <si>
    <t>6.3</t>
  </si>
  <si>
    <t>Equipment Relocation</t>
  </si>
  <si>
    <t>Relocate transformers (2-3), panels, controls cabinets during downtime. Remove old air-handler/chiller behind 507 (per 2/24 mtg).</t>
  </si>
  <si>
    <t>Subtotal WBS 6.0</t>
  </si>
  <si>
    <t>7.0</t>
  </si>
  <si>
    <t>PROJECT MANAGEMENT</t>
  </si>
  <si>
    <t>7.1</t>
  </si>
  <si>
    <t>Technical Program Management</t>
  </si>
  <si>
    <t>~0.5 FTE/yr over ~5-year project. Schedule, resource, vendor management (R&amp;K, Dimtel). M&amp;S for travel, DOE reviews.</t>
  </si>
  <si>
    <t>7.2</t>
  </si>
  <si>
    <t>Safety Reviews &amp; PPS/NIP Coordination</t>
  </si>
  <si>
    <t>PPS + NIP review/approval with SLAC AD Safety Division. LOTO, arc flash, OSHA compliance. RSWCF, RFSP documentation.</t>
  </si>
  <si>
    <t>Subtotal WBS 7.0</t>
  </si>
  <si>
    <t>8.0</t>
  </si>
  <si>
    <t>INFRASTRUCTURE (Included in SSA Project Scope)</t>
  </si>
  <si>
    <t>8.1</t>
  </si>
  <si>
    <t>480 VAC Distribution System</t>
  </si>
  <si>
    <t>Sub 507 option ($1-2M per 1/27 mtg). 2.5-3 MVA transformer, 12kV feed, 480V panels for 16 SSAs. Alt: Sub 502 = $8-9M.</t>
  </si>
  <si>
    <t>8.2</t>
  </si>
  <si>
    <t>Cooling Water (LCW/HCW)</t>
  </si>
  <si>
    <t>400 GPM LCW for 4 SSA stations. Option B: new 6"+ connection (per 3/10 mtg). Summer shutdown required.</t>
  </si>
  <si>
    <t>8.3</t>
  </si>
  <si>
    <t>Building Extension &amp; Mezzanine</t>
  </si>
  <si>
    <t>~636 sqft + ~300 sqft mezzanine @ 27 ft. Two-story layout (per 2/24 mtg). OSHA stairway. Roll-up doors. Seismic. F&amp;O prior estimate $1.3M.</t>
  </si>
  <si>
    <t>Subtotal WBS 8.0 (Infrastructure)</t>
  </si>
  <si>
    <t>9.0</t>
  </si>
  <si>
    <t>DECOMMISSIONING — EXISTING RF STATION</t>
  </si>
  <si>
    <t>9.1</t>
  </si>
  <si>
    <t>Klystron Removal &amp; Disposal</t>
  </si>
  <si>
    <t>Remove Marconi K3512S 1.2 MW klystron (~8-10 tons with solenoid). LOTO, de-energize RF, disconnect WR2100 waveguide, LCW cooling, HV connections. Crane lift from klystron room. Disposal per SLAC waste procedures.</t>
  </si>
  <si>
    <t>9.2</t>
  </si>
  <si>
    <t>HVPS/Modulator Removal &amp; Oil Disposal</t>
  </si>
  <si>
    <t>Remove 2.5 MVA HVPS: SCR-controlled rectifier, 12.47 kV transformer (oil-insulated), crowbar circuit, HV bus. Drain/dispose transformer oil (~300-500 gal, test for PCBs). Disconnect 12.47 kV primary feed. Crane required for transformer (~5-10 tons).</t>
  </si>
  <si>
    <t>9.3</t>
  </si>
  <si>
    <t>Waveguide Network &amp; Magic Tee Removal</t>
  </si>
  <si>
    <t>Remove existing WR2100 waveguide from klystron to tunnel roof. Depressurize dry-air system. Remove magic tee 4-way splitter on roof (per 2/24 mtg: roof splitters removed). Disassemble flanged connections, lower sections. ~10 lb/ft waveguide.</t>
  </si>
  <si>
    <t>9.4</t>
  </si>
  <si>
    <t>Circulator, RF Loads &amp; Ancillary Components</t>
  </si>
  <si>
    <t>Remove existing AFT circulator (high-power ferrite, ~1-2 tons), HCW-cooled magic loads, circulator loads. Disconnect HCW cooling lines, drain/flush. Existing PEP-II circulators may be retained if usable for SSA (per 2/24 mtg).</t>
  </si>
  <si>
    <t>9.5</t>
  </si>
  <si>
    <t>Lead Shielding Removal &amp; Hazmat Abatement</t>
  </si>
  <si>
    <t>Remove lead shielding around klystron/HVPS area. Lead is classified hazardous waste (EPA/RCRA). Requires certified hazmat crew. Radiological survey of klystron area for activation products (per SLAC RP procedures). M&amp;S for disposal containers, transport.</t>
  </si>
  <si>
    <t>9.6</t>
  </si>
  <si>
    <t>Crane/Rigging Services &amp; Environmental Compliance</t>
  </si>
  <si>
    <t>Crane rental (100-ton, ~$5-15k/day for 3-5 days) for klystron, HVPS transformer, heavy waveguide. Rigging contractor. PCB testing of transformer oil. Radiological clearance survey. Environmental compliance documentation per SLAC ES&amp;H. Waste manifests.</t>
  </si>
  <si>
    <t>Subtotal WBS 9.0 (Decommissioning)</t>
  </si>
  <si>
    <t>RF/CONTROLS SCOPE (WBS 1-7)</t>
  </si>
  <si>
    <t>INFRASTRUCTURE SCOPE (WBS 8)</t>
  </si>
  <si>
    <t>DECOMMISSIONING SCOPE (WBS 9)</t>
  </si>
  <si>
    <t>PROJECT BASE ESTIMATE (WBS 1-9)</t>
  </si>
  <si>
    <t>CONTINGENCY (30% of base, per DOE 413.3B / AACE Class 4)</t>
  </si>
  <si>
    <t>AACE 18R-97 Class 4: -15% to +30% accuracy. DOE 413.3B requires contingency at conceptual design.</t>
  </si>
  <si>
    <t>TOTAL ESTIMATED COST (Base + Contingency)</t>
  </si>
  <si>
    <t>KEY ASSUMPTIONS</t>
  </si>
  <si>
    <t>A1</t>
  </si>
  <si>
    <t>Electrical based on Substation 507 option. Substation 502 would add ~$7M to WBS 8.1.</t>
  </si>
  <si>
    <t>A2</t>
  </si>
  <si>
    <t>Circulator cost assumes new procurement ($400k). PEP-II 1.5 MW circulators may be reusable (saves ~$400k).</t>
  </si>
  <si>
    <t>A3</t>
  </si>
  <si>
    <t>2 SSA hot-swap spares included ($623k). Could reduce to 1 (saves $312k) or increase per ops.</t>
  </si>
  <si>
    <t>A4</t>
  </si>
  <si>
    <t>Labor rate: $200/hr burdened (SLAC overhead-inclusive). 1 FTE = 1,740 hrs/yr.</t>
  </si>
  <si>
    <t>A5</t>
  </si>
  <si>
    <t>LLRF upgrade is a separate, independent project (not a prerequisite). LLRF9 controllers, arc detection, waveform buffer, and tuner controllers carry over to SSA scope.</t>
  </si>
  <si>
    <t>A6</t>
  </si>
  <si>
    <t>NIP system required per SLAC ESH Chapter 50 for new SSA building with &gt;1 kW RF sources.</t>
  </si>
  <si>
    <t>A7</t>
  </si>
  <si>
    <t>Decommissioning scope: Marconi K3512S klystron, 2.5 MVA HVPS (oil-insulated transformer, SCR rectifier, crowbar), AFT circulator, WR2100 waveguide/magic tee, lead shielding, HCW cooling. Per SLAC-PUB-10983.</t>
  </si>
  <si>
    <t>A8</t>
  </si>
  <si>
    <t>HVPS transformer oil assumed non-PCB. PCB testing required prior to disposal (pre-1979 oil would increase cost significantly).</t>
  </si>
  <si>
    <t>A9</t>
  </si>
  <si>
    <t>Scrap/salvage value of removed equipment not credited (conservative). Some copper, lead, steel may have modest scrap value.</t>
  </si>
  <si>
    <t>KEY RISKS</t>
  </si>
  <si>
    <t>R1</t>
  </si>
  <si>
    <t>Interface Chassis on critical path (new SSA-specific design not started). PCB iteration may add 3-6 months.</t>
  </si>
  <si>
    <t>R2</t>
  </si>
  <si>
    <t>PPS redesign scope uncertain. 16-channel SSA safety chain more complex than single-klystron PPS. Safety review timeline unknown.</t>
  </si>
  <si>
    <t>R3</t>
  </si>
  <si>
    <t>NIP system: first SSA installation at SPEAR. No prior RFSP template for this SSA configuration. Safety review may be lengthy.</t>
  </si>
  <si>
    <t>R4</t>
  </si>
  <si>
    <t>EPICS Coordinator software largest untouched scope. Hot-swap logic and N-1 degradation are new SSA-specific requirements.</t>
  </si>
  <si>
    <t>R5</t>
  </si>
  <si>
    <t>DOE lab construction costs typically 50-100% higher than commercial. WBS 8.3 building estimate based on F&amp;O prior study ($1.3M); actual cost TBD per CD-1 design.</t>
  </si>
  <si>
    <t>R6</t>
  </si>
  <si>
    <t>Limited SPEAR testing windows. Integration constrained to summer shutdowns and brief maintenance periods.</t>
  </si>
  <si>
    <t>R7</t>
  </si>
  <si>
    <t>Decommissioning: HVPS transformer oil may contain PCBs (pre-1979 equipment from PEP-II era). PCB disposal costs could be 3-5x non-PCB estimate.</t>
  </si>
  <si>
    <t>R8</t>
  </si>
  <si>
    <t>Decommissioning: Radiological activation of klystron/shielding requires RP survey. If contamination found, disposal costs increase substantially.</t>
  </si>
  <si>
    <t>SPEAR3 SSA Upgrade - Reference Pricing &amp; Vendor Links</t>
  </si>
  <si>
    <t>For procurement planning. Prices are indicative; formal quotes required before purchase.</t>
  </si>
  <si>
    <t>Component</t>
  </si>
  <si>
    <t>Vendor</t>
  </si>
  <si>
    <t>URL / Product Link</t>
  </si>
  <si>
    <t>Model / Part #</t>
  </si>
  <si>
    <t>Unit Price</t>
  </si>
  <si>
    <t>Date / Source</t>
  </si>
  <si>
    <t>Notes</t>
  </si>
  <si>
    <t>WBS 1.0 - SSA RF SOURCE</t>
  </si>
  <si>
    <t>65 kW SSA Module (476.3 MHz CW)</t>
  </si>
  <si>
    <t>R&amp;K Company (Japan)</t>
  </si>
  <si>
    <t>https://www.rk-microwave.com/</t>
  </si>
  <si>
    <t>Custom 65 kW SSA</t>
  </si>
  <si>
    <t>$311,600</t>
  </si>
  <si>
    <t>July 2025 quote</t>
  </si>
  <si>
    <t>Includes internal 480V PS, LCW cooling, VSWR protection, Ethernet/serial control</t>
  </si>
  <si>
    <t>SSA RF Dummy Load (250 kW CW, water-cooled)</t>
  </si>
  <si>
    <t>Ferrite Microwave Technologies (FMT)</t>
  </si>
  <si>
    <t>https://ferriteinc.com/high-power-waveguide-terminations/water-cooled-loads/</t>
  </si>
  <si>
    <t>Custom WR2100 water-cooled load</t>
  </si>
  <si>
    <t>$10-25k est.</t>
  </si>
  <si>
    <t>Vendor catalog (verified)</t>
  </si>
  <si>
    <t>FMT: WR28-WR2300 waveguide loads, 50 MHz-50 GHz. MIL-D-3954 compliant. Ultra-high temp refractory ceramic absorber. REPLACES Bird Technologies (max 20 kW, unsuitable).</t>
  </si>
  <si>
    <t>WBS 2.0 - RF DISTRIBUTION &amp; COMBINING</t>
  </si>
  <si>
    <t>WR2100 Waveguide (straight, bends, flex)</t>
  </si>
  <si>
    <t>Mega Industries</t>
  </si>
  <si>
    <t>https://www.megaind.com/products/waveguide-sizes/wr2100-waveguide/</t>
  </si>
  <si>
    <t>WR2100 (21x10.5 in)</t>
  </si>
  <si>
    <t>$50-150/ft est.</t>
  </si>
  <si>
    <t>Catalog</t>
  </si>
  <si>
    <t>0.35-0.53 GHz, 205-290 MW peak rating, 0.188" wall. Also: Space Machine (space-machine.com)</t>
  </si>
  <si>
    <t>WR2100 Waveguide (catalog/3D models)</t>
  </si>
  <si>
    <t>Microwave Techniques (Mega subsidiary)</t>
  </si>
  <si>
    <t>https://catalog.microwavetechniques.com/viewitems/by-waveguide-component-size/wr2100</t>
  </si>
  <si>
    <t>Various</t>
  </si>
  <si>
    <t>RFQ</t>
  </si>
  <si>
    <t>Full 3D CAD catalog for WR2100 components: straights, bends, couplers, transitions, windows</t>
  </si>
  <si>
    <t>WR2100 Directional Coupler</t>
  </si>
  <si>
    <t>WR2100 coupler</t>
  </si>
  <si>
    <t>$5-15k est.</t>
  </si>
  <si>
    <t>Various coupling ratios available. Also custom designs.</t>
  </si>
  <si>
    <t>WR2100 Circulator (250+ kW CW @ 476 MHz)</t>
  </si>
  <si>
    <t>https://ferriteinc.com/high-power-microwave-circulators-isolators/waveguide-circulators/</t>
  </si>
  <si>
    <t>Custom WR2100 3-port circulator</t>
  </si>
  <si>
    <t>$80-120k est.</t>
  </si>
  <si>
    <t>Vendor inquiry (verified)</t>
  </si>
  <si>
    <t>FMT: 1400+ circulator designs, WR28-WR2300, 50 MHz-50 GHz, 5W to 50+ MW. Scientific/accelerator specialist. AFT Microwave (aft-microwave.com) as alternate (L/S/C/X bands; confirm 476 MHz coverage before ordering).</t>
  </si>
  <si>
    <t>WR2100 High-Power Water-Cooled Load (circulator termination)</t>
  </si>
  <si>
    <t>Ferrite Microwave Technologies (FMT) / MCI Broadcast</t>
  </si>
  <si>
    <t>WR2100 water load, 250+ kW CW</t>
  </si>
  <si>
    <t>For circulator port 3 termination. FMT water-cooled loads: refractory ceramic absorber, welded aluminum housing. MCI Broadcast (mcibroadcast.com) also makes accelerator-specific waveguide loads 0.32-10 GHz.</t>
  </si>
  <si>
    <t>WR2100 Vacuum Window</t>
  </si>
  <si>
    <t>WR2100 MegaSeal</t>
  </si>
  <si>
    <t>If needed at waveguide-to-cavity interface</t>
  </si>
  <si>
    <t>4:1 High-Power Waveguide Combiner (320 kW @ 476 MHz)</t>
  </si>
  <si>
    <t>https://www.megaind.com/high-power-waveguide-combiners-for-sspa/</t>
  </si>
  <si>
    <t>Custom WR2100 4:1 combiner (ref: WR1800 NSLS-II design)</t>
  </si>
  <si>
    <t>$30-50k est.</t>
  </si>
  <si>
    <t>Vendor reference (verified)</t>
  </si>
  <si>
    <t>PRECEDENT: Mega built WR1800 4:1 combiner for NSLS-II at Brookhaven (500 MHz, 4×80kW=320kW, &lt;0.12 dB loss, &lt;1.18:1 VSWR). Nearly identical to SPEAR3 application (476 MHz, 4×65kW=260kW). REPLACES SPINNER Group (max 8.8 kW broadcast-grade, unsuitable).</t>
  </si>
  <si>
    <t>WR2100-to-Coax Transition</t>
  </si>
  <si>
    <t>Mega Industries / Made-in-China</t>
  </si>
  <si>
    <t>WR2100 transition</t>
  </si>
  <si>
    <t>$500-5k</t>
  </si>
  <si>
    <t>WR2100 to 6-1/8" coax or N-type. Also: efinetech.en.made-in-china.com ($25-65 for adapter)</t>
  </si>
  <si>
    <t>Unistrut Channel &amp; Waveguide Hangers</t>
  </si>
  <si>
    <t>Unistrut / Atkore</t>
  </si>
  <si>
    <t>https://www.unistrut.us/</t>
  </si>
  <si>
    <t>P1000, P5500 series</t>
  </si>
  <si>
    <t>$5-15/ft</t>
  </si>
  <si>
    <t>Standard Unistrut for waveguide support every 8 ft. WR2100 ~10 lb/ft.</t>
  </si>
  <si>
    <t>WBS 3.0 - CONTROL ELECTRONICS &amp; PROTECTION</t>
  </si>
  <si>
    <t>Dimtel LLRF9/500 Controller</t>
  </si>
  <si>
    <t>Dimtel, Inc.</t>
  </si>
  <si>
    <t>https://www.dimtel.com/products/llrf9</t>
  </si>
  <si>
    <t>LLRF9/500</t>
  </si>
  <si>
    <t>$117,000 list</t>
  </si>
  <si>
    <t>Vendor quote</t>
  </si>
  <si>
    <t>9-ch LLRF controller. 15% vol discount = $99,450. SSA project: reconfiguration only (hardware from LLRF upgrade)</t>
  </si>
  <si>
    <t>Dimtel LLRF9/500 Specifications</t>
  </si>
  <si>
    <t>https://www.dimtel.com/products/specs/llrf9_500</t>
  </si>
  <si>
    <t>See above</t>
  </si>
  <si>
    <t>Spec sheet</t>
  </si>
  <si>
    <t>500 MHz center, 6 MHz BW, 9 RF inputs, FPGA interlocks, EPICS IOC built-in</t>
  </si>
  <si>
    <t>AB CompactLogix Controller</t>
  </si>
  <si>
    <t>Rockwell Automation</t>
  </si>
  <si>
    <t>https://www.rockwellautomation.com/</t>
  </si>
  <si>
    <t>5069-L320ER</t>
  </si>
  <si>
    <t>$3,692</t>
  </si>
  <si>
    <t>TaskListRev3</t>
  </si>
  <si>
    <t>2MB Ethernet controller. See IQElectro, IndustrialAutomationCo for distributor pricing.</t>
  </si>
  <si>
    <t>AB Output Module (8-pt analog)</t>
  </si>
  <si>
    <t>5069-OF8</t>
  </si>
  <si>
    <t>$1,536</t>
  </si>
  <si>
    <t>Analog output. Qty 3 per MPS set = $4,607</t>
  </si>
  <si>
    <t>AB Isolated Relay Output</t>
  </si>
  <si>
    <t>5069-OX41</t>
  </si>
  <si>
    <t>$452</t>
  </si>
  <si>
    <t>Qty 10 per MPS set = $4,516</t>
  </si>
  <si>
    <t>AB Universal Analog Input</t>
  </si>
  <si>
    <t>5069-IY4</t>
  </si>
  <si>
    <t>$521</t>
  </si>
  <si>
    <t>Qty 2 per set = $1,043</t>
  </si>
  <si>
    <t>AB Analog Input (8-ch)</t>
  </si>
  <si>
    <t>5069-IF8</t>
  </si>
  <si>
    <t>$876</t>
  </si>
  <si>
    <t>Qty 2 per set = $1,752</t>
  </si>
  <si>
    <t>AB DC Input (16-pt)</t>
  </si>
  <si>
    <t>5069-IB16</t>
  </si>
  <si>
    <t>$266</t>
  </si>
  <si>
    <t>Qty 4 per set = $1,063</t>
  </si>
  <si>
    <t>AB Spring RTB (18-pt)</t>
  </si>
  <si>
    <t>5069-RTB18-SPRING</t>
  </si>
  <si>
    <t>$62</t>
  </si>
  <si>
    <t>Removable terminal blocks. Qty 25 = $1,561</t>
  </si>
  <si>
    <t>Complete ControlLogix PLC Set</t>
  </si>
  <si>
    <t>See above BOM</t>
  </si>
  <si>
    <t>$21,994/set</t>
  </si>
  <si>
    <t>Detailed BOM from LLRFUpgradeTaskListRev3.docx. SSA needs expanded I/O.</t>
  </si>
  <si>
    <t>Galil 4-Axis Motion Controller</t>
  </si>
  <si>
    <t>Galil Motion Control</t>
  </si>
  <si>
    <t>https://www.galil.com/node/1486</t>
  </si>
  <si>
    <t>DMC-4143</t>
  </si>
  <si>
    <t>$1,675</t>
  </si>
  <si>
    <t>Galil website</t>
  </si>
  <si>
    <t>4-axis Ethernet/USB. 100-qty price: $1,115. For cavity tuner control.</t>
  </si>
  <si>
    <t>Microstep-MIS Arc Sensor</t>
  </si>
  <si>
    <t>MicroStep-MIS</t>
  </si>
  <si>
    <t>https://microstep-mis.com/web/products?category=radiation+&amp;product=waveguide_arc_detector</t>
  </si>
  <si>
    <t>Optical sensor</t>
  </si>
  <si>
    <t>470 EUR ea</t>
  </si>
  <si>
    <t>Nov 2024 quote</t>
  </si>
  <si>
    <t>10 sensors needed. Quote from Erik Bystricky.</t>
  </si>
  <si>
    <t>Microstep-MIS Arc Receiver</t>
  </si>
  <si>
    <t>Process unit</t>
  </si>
  <si>
    <t>635 EUR ea</t>
  </si>
  <si>
    <t>6 receivers (5 active + 1 spare). Handles 2 sensors each.</t>
  </si>
  <si>
    <t>Microstep-MIS Interconnect Cable (2m)</t>
  </si>
  <si>
    <t>https://microstep-mis.com/</t>
  </si>
  <si>
    <t>Fiber cable</t>
  </si>
  <si>
    <t>186 EUR ea</t>
  </si>
  <si>
    <t>5 cables needed. Sensor-to-receiver connection.</t>
  </si>
  <si>
    <t>MCL RF Power Detector</t>
  </si>
  <si>
    <t>Mini-Circuits</t>
  </si>
  <si>
    <t>https://www.minicircuits.com/</t>
  </si>
  <si>
    <t>ZX47-40LN-S+</t>
  </si>
  <si>
    <t>$105 ea</t>
  </si>
  <si>
    <t>Log detector for waveform buffer. 10 qty = $1,050. SMA connectors.</t>
  </si>
  <si>
    <t>MCL SMA Adapter</t>
  </si>
  <si>
    <t>SF-SF50+ / NFFL-SF50+</t>
  </si>
  <si>
    <t>$6-30 ea</t>
  </si>
  <si>
    <t>SMA bulkhead adapters, N-to-SMA adapters</t>
  </si>
  <si>
    <t>WBS 3.8-3.9 - SAFETY SYSTEMS (PPS, NIP)</t>
  </si>
  <si>
    <t>RF Field Monitor / Sensor</t>
  </si>
  <si>
    <t>Narda Safety Test Solutions</t>
  </si>
  <si>
    <t>https://www.narda-sts.com/</t>
  </si>
  <si>
    <t>RadMan 2 / Area Monitor</t>
  </si>
  <si>
    <t>$3-8k ea</t>
  </si>
  <si>
    <t>Estimate</t>
  </si>
  <si>
    <t>Personal/area RF exposure monitors. For NIP system per SLAC ESH Ch.50.</t>
  </si>
  <si>
    <t>RF Safety Interlock Controller</t>
  </si>
  <si>
    <t>Various / Custom</t>
  </si>
  <si>
    <t>PLC-based or dedicated</t>
  </si>
  <si>
    <t>$10-15k</t>
  </si>
  <si>
    <t>Door interlocks, emergency stops, RF enable/disable logic. May use AB CompactLogix.</t>
  </si>
  <si>
    <t>RF Warning Beacons &amp; Signage</t>
  </si>
  <si>
    <t>Federal Signal / OSHA-compliant</t>
  </si>
  <si>
    <t>Warning lights + signs</t>
  </si>
  <si>
    <t>$2-5k</t>
  </si>
  <si>
    <t>SLAC ESH Ch.50 requires visible/audible warnings when RF active in accessible areas</t>
  </si>
  <si>
    <t>SLAC ESH Chapter 50 (RF Safety)</t>
  </si>
  <si>
    <t>SLAC ES&amp;H Division</t>
  </si>
  <si>
    <t>https://esh.slac.stanford.edu/hazardous_activities/rf</t>
  </si>
  <si>
    <t>Reference</t>
  </si>
  <si>
    <t>N/A</t>
  </si>
  <si>
    <t>May 2024</t>
  </si>
  <si>
    <t>Program manager: Mike McDaniel. Governs all RF sources &gt;1W at SLAC. IEEE C95.1 based.</t>
  </si>
  <si>
    <t>OSHA 1910.97 (Nonionizing Radiation)</t>
  </si>
  <si>
    <t>OSHA</t>
  </si>
  <si>
    <t>https://www.osha.gov/laws-regs/regulations/standardnumber/1910/1910.97</t>
  </si>
  <si>
    <t>Federal reg</t>
  </si>
  <si>
    <t>Federal standard for electromagnetic radiation exposure limits</t>
  </si>
  <si>
    <t>VENDOR VERIFICATION NOTES (March 2026)</t>
  </si>
  <si>
    <t>Bird Technologies</t>
  </si>
  <si>
    <t>REMOVED — Max power 20 kW (8740 Series). Unsuitable for 250+ kW circulator loads. Replaced by FMT.</t>
  </si>
  <si>
    <t>SPINNER Group</t>
  </si>
  <si>
    <t>REMOVED — Broadcast-grade combiners (8.8 kW max @ 80.5 MHz). Unsuitable for 260 kW @ 476 MHz. Replaced by Mega Industries.</t>
  </si>
  <si>
    <t>AFT Microwave</t>
  </si>
  <si>
    <t>CAUTION — Products focus L/S/C/X bands (GHz range). Confirm 476 MHz coverage before ordering. FMT is preferred.</t>
  </si>
  <si>
    <t>ADDED — WR28-WR2300, 50 MHz-50 GHz, 1400+ designs. Accelerator specialist. Loads + circulators.</t>
  </si>
  <si>
    <t>Mega Industries SSPA Combiner</t>
  </si>
  <si>
    <t>ADDED — NSLS-II precedent: 4×80kW=320kW @ 500 MHz (Brookhaven). Nearly identical to SPEAR3.</t>
  </si>
  <si>
    <t>MCI Broadcast</t>
  </si>
  <si>
    <t>ADDED — Micro Communications waveguide loads for particle accelerators, 0.32-10 GHz.</t>
  </si>
  <si>
    <t>All other vendors</t>
  </si>
  <si>
    <t>VERIFIED — Links confirmed active, components confirmed suitable for 476.3 MHz / WR2100 / high-power CW.</t>
  </si>
  <si>
    <t>The SSA upgrade project includes follow items</t>
  </si>
  <si>
    <t>1 FTE(hr)/yr</t>
  </si>
  <si>
    <t>Labor (hours)</t>
  </si>
  <si>
    <t>lablor rate ($/hr)</t>
  </si>
  <si>
    <t>labor (k$)</t>
  </si>
  <si>
    <t>Total ($k)</t>
  </si>
  <si>
    <t>Note</t>
  </si>
  <si>
    <t>1 MW SSA</t>
  </si>
  <si>
    <t>16 of 65kW unit</t>
  </si>
  <si>
    <t>based on one 65 kW unit quote from R&amp;K in July 2025</t>
  </si>
  <si>
    <t>SSA design study</t>
  </si>
  <si>
    <t>1) intial design 0.5 FTE for prototype, 2) 0.5 FTE for prototype test and design iteration with the vendor</t>
  </si>
  <si>
    <t>SSA installation and commissioning</t>
  </si>
  <si>
    <t>1) MS for tools and parts; 2) 4 person-3 week per station for installation (12 person-month), 6 person-2-month for commissiong</t>
  </si>
  <si>
    <t>Existing waveguide remove and Cable tray relocation</t>
  </si>
  <si>
    <t>1) MS for the extra cable tray; 2) 4 person-1moth work</t>
  </si>
  <si>
    <t>Control Electronics</t>
  </si>
  <si>
    <t>4LLRF9 units</t>
  </si>
  <si>
    <t>4 × Dimtel LLRF9/500 @ $99.45k each (15% volume discount from $117k list); 0.5 FTE for integration &amp; EPICS IOC configuration</t>
  </si>
  <si>
    <t>MPS</t>
  </si>
  <si>
    <t>ControlLogix PLC hardware (~$22k/station × 4), interlock chassis, relay modules, arc detection sensors ($20k), and interface electronics; 1 FTE for design/assembly/testing</t>
  </si>
  <si>
    <t>software</t>
  </si>
  <si>
    <t>EPICS IOC development, state machine, fault handling, auto-recovery, operator EDM/CSS panels, MATLAB integration, SSA-specific commissioning tools; 2 FTE for development &amp; commissioning</t>
  </si>
  <si>
    <t>Waveguide runs</t>
  </si>
  <si>
    <t>4 WR2100 waveguide runs to cavities (~$300k); 4 circulators 250kW@476MHz (~$400k); coaxial combiners 6-1/8" to WR2100 (~$200k); loads, transitions, supports/hangers (~$150k); 2 FTE design/install/test</t>
  </si>
  <si>
    <t xml:space="preserve">  Circulators (4 × 250 kW)</t>
  </si>
  <si>
    <t>Existing PEP-II 1.5 MW circulators available (per 2/24 mtg notes) — if usable, saves ~$400k; alternative: smaller 250 kW units</t>
  </si>
  <si>
    <t xml:space="preserve">  WR2100 + 6-1/8" coaxial combiner</t>
  </si>
  <si>
    <t>Each SSA cabinet outputs 6-1/8" coax → 8:1 coaxial combiner → WR2100 to cavity; waveguide λg ≈ 80.4 cm at 476.3 MHz; lengths must match to ±nλg</t>
  </si>
  <si>
    <t>Project management</t>
  </si>
  <si>
    <t>Project management, safety reviews (LOTO, OSHA), coordination with F&amp;O, DOE reviews; ~0.5 FTE avg over 6-year project; M&amp;S for travel/reviews/meetings</t>
  </si>
  <si>
    <t>Based on Substation 507 option ($1-2M per 1/27 mtg); 2.5-3 MVA transformer 12kV→480V outdoor (~$150-200k); 12kV feed from Bldg 507 + switchgear (~$300k); 480V distribution panels/breakers 4-8 buckets per SSA (~$200k); civil, cable, installation (~$200k); 2 FTE electrical engineering/oversight</t>
  </si>
  <si>
    <t xml:space="preserve">  Transformer + 12kV feed</t>
  </si>
  <si>
    <t>Primary location: field near SPEAR tunnel entrance (per 2/24 mtg). 12kV from Bldg 507 → transformer → 480V back to SSA racks. Avoid reliance on Substation 502 (uncertain timeline)</t>
  </si>
  <si>
    <t>Cooling water</t>
  </si>
  <si>
    <t>400 GPM LCW for 4 SSA stations (~100 GPM each, ΔT~10K); upgrade 4" to 6"+ piping ($100-150k); manifolds, valves, flow meters, controls ($50-75k); HCW for loads separate ($25-50k); 1.5 FTE plumbing design + install during summer shutdown</t>
  </si>
  <si>
    <t xml:space="preserve">  LCW piping upgrade</t>
  </si>
  <si>
    <t>Option B preferred (new 6"+ connection to main header, per 3/10 mtg). Plumbing mods targeted for 2-month summer downtime. Javier to coordinate with F&amp;O (Ota). Test lab Bldg 122 needs ~15 GPM separately.</t>
  </si>
  <si>
    <t>Infrastructure</t>
  </si>
  <si>
    <t>New SSA building extension ~636 sqft + ~300 sqft mezzanine @ ~27 ft height; OSHA-compliant stairway (~25 risers + landing); roll-up door(s) for forklift/rack delivery; HVAC for SSA heat rejection; relocate condensing unit, panels, existing equipment</t>
  </si>
  <si>
    <t xml:space="preserve">  Building extension + mezzanine</t>
  </si>
  <si>
    <t>Two-story SSA layout per 2/24 mtg. 9 ft clear height under platform. Structural: remove non-structural shed walls, add new column/I-beam. Seismic compliance. F&amp;O prior estimate for test facility: $1.3M (per 1/27 mtg)</t>
  </si>
  <si>
    <t xml:space="preserve">  Equipment relocation</t>
  </si>
  <si>
    <t>Remove old air-handler/chiller behind 507; relocate transformers (2-3), distribution panels, MPS controls cabinets during downtime; cable tray relocation ~10 ft outward between 118 and ring</t>
  </si>
  <si>
    <t>TOTALS</t>
  </si>
  <si>
    <t>Sum of all line items (M&amp;S + Labor)</t>
  </si>
  <si>
    <t>Total FTE-years</t>
  </si>
  <si>
    <t>Total labor expressed in FTE-years</t>
  </si>
  <si>
    <t>Contingency (not included)</t>
  </si>
  <si>
    <t>Recommend 25-35% contingency at conceptual design stage per DOE Order 413.3B. Applied to grand total, this would add ~$3-5M.</t>
  </si>
  <si>
    <t>1 65 kw unit</t>
  </si>
  <si>
    <t>16 units</t>
  </si>
  <si>
    <t xml:space="preserve">solid-state amplifier (SSA) system consisting of 16 x 65 kW modules </t>
  </si>
  <si>
    <t xml:space="preserve">  - Dimtel LLRF9 digital controllers (2 units, already procured)</t>
  </si>
  <si>
    <t xml:space="preserve">  - Few in-house chassises</t>
  </si>
  <si>
    <t>Meanwhile, the upgrade will need extra controls and modification of the upgraded LLRF control system.</t>
  </si>
  <si>
    <t xml:space="preserve">  - 2 more LLRF9 and  reconfiguration for SSA based High power system</t>
  </si>
  <si>
    <t xml:space="preserve">  - RF MPS upgrade </t>
  </si>
  <si>
    <t>for 16-module fault detection and N-1 graceful degradation</t>
  </si>
  <si>
    <t xml:space="preserve">  - Waveform buffer system </t>
  </si>
  <si>
    <t>upgrade or rebuild to include many more SSA rf channels</t>
  </si>
  <si>
    <t xml:space="preserve">  - SSA module status monitoring (VSWR/power/temperature/fan/power supply ect)</t>
  </si>
  <si>
    <t xml:space="preserve">  - PPS REDESIGN for SSA </t>
  </si>
  <si>
    <t xml:space="preserve">  - NIP system (Non-Ionizing Protection) </t>
  </si>
  <si>
    <t xml:space="preserve">  - Project management office support (~0.5 FTE/yr over ~ 5 year project)</t>
  </si>
  <si>
    <t xml:space="preserve">  - Klystron system removal (Marconi K3512S, 1.2 MW CW,  with solenoid,)</t>
  </si>
  <si>
    <t xml:space="preserve">  - Cooling water upgrade (~400 GPM LCW for SSA stations)</t>
  </si>
  <si>
    <t>3. SSA PROJECT SCOPE</t>
  </si>
  <si>
    <t xml:space="preserve">  - SSA per cavity: 4 modules combined via 4:1 combiner</t>
  </si>
  <si>
    <t xml:space="preserve">  - SSA building: two-story, ~936 sqft total, 27 ft height, 12 ft clear under platform</t>
  </si>
  <si>
    <t xml:space="preserve">  - Overall: ~5 years, completion ~2032-2033</t>
  </si>
  <si>
    <t xml:space="preserve">  - Facility support on LCW</t>
  </si>
  <si>
    <t xml:space="preserve">  - Integration testing limited to SPEAR summer shutdown windows (~8 weeks)</t>
  </si>
  <si>
    <t>A stand alone test station to fully evaluate the performance iterating the vendor on the design</t>
  </si>
  <si>
    <t>3i. SSA test station development - support a 32 kW SSA module test</t>
  </si>
  <si>
    <t xml:space="preserve">  - Equipments: rf source, waveguide components, circulator, rf load</t>
  </si>
  <si>
    <t xml:space="preserve">  - Control software</t>
  </si>
  <si>
    <t xml:space="preserve">  - Infrastructure (LCW, electricity, HVAC, </t>
  </si>
  <si>
    <t>3h. Infrastructure (WBS 8.0 - Included in SSA Project)</t>
  </si>
  <si>
    <t>3i. Decommissioning — Existing RF Station (WBS 9.0)</t>
  </si>
  <si>
    <t>4. KEY TECHNICAL PARAMETERS</t>
  </si>
  <si>
    <t>5. PROJECT TIMELINE (ESTIMATED)</t>
  </si>
  <si>
    <t xml:space="preserve">  - Vendor manufacturability</t>
  </si>
  <si>
    <t>SSA Spare Modules (1 hot-swap)</t>
  </si>
  <si>
    <t>SSA Modules (16 x 65 kW)</t>
  </si>
  <si>
    <t>R&amp;K quote July 2025: $311,600/unit x 16. 476.3 MHz CW.</t>
  </si>
  <si>
    <t>k$</t>
  </si>
  <si>
    <t>3g. SSA test station development - support a 32 kW SSA module test (WBS 7.0)</t>
  </si>
  <si>
    <t>3j. Project Management (WBS 10.0)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</si>
</sst>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b/>
      <sz val="14"/>
      <name val="Calibri"/>
    </font>
    <font>
      <i/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0"/>
      <name val="Calibri"/>
    </font>
    <font>
      <i/>
      <sz val="10"/>
      <color rgb="FF666666"/>
      <name val="Calibri"/>
    </font>
    <font>
      <b/>
      <sz val="12"/>
      <name val="Calibri"/>
    </font>
    <font>
      <b/>
      <i/>
      <sz val="10"/>
      <color rgb="FFCC0000"/>
      <name val="Calibri"/>
    </font>
    <font>
      <u/>
      <sz val="10"/>
      <color rgb="FF0563C1"/>
      <name val="Calibri"/>
    </font>
    <font>
      <sz val="11"/>
      <name val="Calibri"/>
    </font>
    <font>
      <i/>
      <sz val="11"/>
      <name val="Calibri"/>
    </font>
    <font>
      <i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6B8B7"/>
        <bgColor rgb="FFE6B8B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left" indent="2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2" xfId="0" applyFont="1" applyFill="1" applyBorder="1" applyAlignment="1">
      <alignment horizontal="center" wrapText="1"/>
    </xf>
    <xf numFmtId="0" fontId="7" fillId="3" borderId="2" xfId="0" applyFont="1" applyFill="1" applyBorder="1"/>
    <xf numFmtId="0" fontId="0" fillId="0" borderId="2" xfId="0" applyBorder="1"/>
    <xf numFmtId="0" fontId="8" fillId="4" borderId="2" xfId="0" applyFont="1" applyFill="1" applyBorder="1"/>
    <xf numFmtId="0" fontId="9" fillId="0" borderId="2" xfId="0" applyFont="1" applyBorder="1"/>
    <xf numFmtId="0" fontId="7" fillId="5" borderId="2" xfId="0" applyFont="1" applyFill="1" applyBorder="1"/>
    <xf numFmtId="0" fontId="10" fillId="6" borderId="2" xfId="0" applyFont="1" applyFill="1" applyBorder="1"/>
    <xf numFmtId="0" fontId="10" fillId="0" borderId="0" xfId="0" applyFont="1"/>
    <xf numFmtId="0" fontId="11" fillId="0" borderId="0" xfId="0" applyFont="1"/>
    <xf numFmtId="0" fontId="0" fillId="3" borderId="2" xfId="0" applyFill="1" applyBorder="1"/>
    <xf numFmtId="0" fontId="12" fillId="0" borderId="2" xfId="0" applyFont="1" applyBorder="1"/>
    <xf numFmtId="0" fontId="13" fillId="0" borderId="0" xfId="0" applyFont="1"/>
    <xf numFmtId="0" fontId="7" fillId="0" borderId="0" xfId="0" applyFont="1"/>
    <xf numFmtId="0" fontId="15" fillId="0" borderId="0" xfId="0" applyFont="1"/>
    <xf numFmtId="0" fontId="3" fillId="6" borderId="2" xfId="0" applyFont="1" applyFill="1" applyBorder="1"/>
    <xf numFmtId="0" fontId="3" fillId="5" borderId="2" xfId="0" applyFont="1" applyFill="1" applyBorder="1"/>
    <xf numFmtId="0" fontId="4" fillId="0" borderId="0" xfId="0" applyNumberFormat="1" applyFont="1"/>
    <xf numFmtId="0" fontId="10" fillId="0" borderId="0" xfId="0" applyNumberFormat="1" applyFont="1"/>
    <xf numFmtId="0" fontId="13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0" fillId="0" borderId="0" xfId="0" applyNumberFormat="1"/>
    <xf numFmtId="0" fontId="7" fillId="0" borderId="0" xfId="0" applyNumberFormat="1" applyFont="1"/>
    <xf numFmtId="0" fontId="1" fillId="0" borderId="0" xfId="0" applyNumberFormat="1" applyFont="1"/>
    <xf numFmtId="0" fontId="17" fillId="0" borderId="0" xfId="0" applyNumberFormat="1" applyFont="1"/>
    <xf numFmtId="0" fontId="14" fillId="0" borderId="0" xfId="0" applyNumberFormat="1" applyFont="1"/>
    <xf numFmtId="0" fontId="18" fillId="0" borderId="0" xfId="0" applyNumberFormat="1" applyFont="1"/>
    <xf numFmtId="0" fontId="19" fillId="0" borderId="0" xfId="0" applyNumberFormat="1" applyFont="1"/>
    <xf numFmtId="0" fontId="16" fillId="0" borderId="2" xfId="1" applyBorder="1"/>
    <xf numFmtId="0" fontId="17" fillId="3" borderId="2" xfId="0" applyFont="1" applyFill="1" applyBorder="1"/>
    <xf numFmtId="0" fontId="16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14</xdr:col>
      <xdr:colOff>443033</xdr:colOff>
      <xdr:row>70</xdr:row>
      <xdr:rowOff>108404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867AEE-720B-907C-F294-FEEA4B13F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2588" y="1867647"/>
          <a:ext cx="8742857" cy="11314286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11</xdr:row>
      <xdr:rowOff>0</xdr:rowOff>
    </xdr:from>
    <xdr:to>
      <xdr:col>31</xdr:col>
      <xdr:colOff>166621</xdr:colOff>
      <xdr:row>71</xdr:row>
      <xdr:rowOff>108404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184C2E-11AD-C093-7B41-A11595AEA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50176" y="2054412"/>
          <a:ext cx="8742857" cy="11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gaind.com/products/waveguide-sizes/wr2100-waveguide/" TargetMode="External"/><Relationship Id="rId13" Type="http://schemas.openxmlformats.org/officeDocument/2006/relationships/hyperlink" Target="https://www.dimtel.com/products/specs/llrf9_500" TargetMode="External"/><Relationship Id="rId18" Type="http://schemas.openxmlformats.org/officeDocument/2006/relationships/hyperlink" Target="https://www.rockwellautomation.com/" TargetMode="External"/><Relationship Id="rId26" Type="http://schemas.openxmlformats.org/officeDocument/2006/relationships/hyperlink" Target="https://www.minicircuits.com/" TargetMode="External"/><Relationship Id="rId3" Type="http://schemas.openxmlformats.org/officeDocument/2006/relationships/hyperlink" Target="https://www.megaind.com/products/waveguide-sizes/wr2100-waveguide/" TargetMode="External"/><Relationship Id="rId21" Type="http://schemas.openxmlformats.org/officeDocument/2006/relationships/hyperlink" Target="https://www.galil.com/node/1486" TargetMode="External"/><Relationship Id="rId7" Type="http://schemas.openxmlformats.org/officeDocument/2006/relationships/hyperlink" Target="https://www.megaind.com/products/waveguide-sizes/wr2100-waveguide/" TargetMode="External"/><Relationship Id="rId12" Type="http://schemas.openxmlformats.org/officeDocument/2006/relationships/hyperlink" Target="https://www.dimtel.com/products/llrf9" TargetMode="External"/><Relationship Id="rId17" Type="http://schemas.openxmlformats.org/officeDocument/2006/relationships/hyperlink" Target="https://www.rockwellautomation.com/" TargetMode="External"/><Relationship Id="rId25" Type="http://schemas.openxmlformats.org/officeDocument/2006/relationships/hyperlink" Target="https://www.minicircuits.com/" TargetMode="External"/><Relationship Id="rId2" Type="http://schemas.openxmlformats.org/officeDocument/2006/relationships/hyperlink" Target="https://www.birdrf.com/Products/RF-Loads.aspx" TargetMode="External"/><Relationship Id="rId16" Type="http://schemas.openxmlformats.org/officeDocument/2006/relationships/hyperlink" Target="https://www.rockwellautomation.com/" TargetMode="External"/><Relationship Id="rId20" Type="http://schemas.openxmlformats.org/officeDocument/2006/relationships/hyperlink" Target="https://www.rockwellautomation.com/" TargetMode="External"/><Relationship Id="rId29" Type="http://schemas.openxmlformats.org/officeDocument/2006/relationships/hyperlink" Target="https://www.osha.gov/laws-regs/regulations/standardnumber/1910/1910.97" TargetMode="External"/><Relationship Id="rId1" Type="http://schemas.openxmlformats.org/officeDocument/2006/relationships/hyperlink" Target="https://www.rk-microwave.com/" TargetMode="External"/><Relationship Id="rId6" Type="http://schemas.openxmlformats.org/officeDocument/2006/relationships/hyperlink" Target="https://www.megaind.com/products/waveguide-sizes/wr2100-waveguide/" TargetMode="External"/><Relationship Id="rId11" Type="http://schemas.openxmlformats.org/officeDocument/2006/relationships/hyperlink" Target="https://www.unistrut.us/" TargetMode="External"/><Relationship Id="rId24" Type="http://schemas.openxmlformats.org/officeDocument/2006/relationships/hyperlink" Target="https://microstep-mis.com/" TargetMode="External"/><Relationship Id="rId5" Type="http://schemas.openxmlformats.org/officeDocument/2006/relationships/hyperlink" Target="https://www.megaind.com/products/waveguide-sizes/wr2100-waveguide/" TargetMode="External"/><Relationship Id="rId15" Type="http://schemas.openxmlformats.org/officeDocument/2006/relationships/hyperlink" Target="https://www.rockwellautomation.com/" TargetMode="External"/><Relationship Id="rId23" Type="http://schemas.openxmlformats.org/officeDocument/2006/relationships/hyperlink" Target="https://microstep-mis.com/web/products?category=radiation+&amp;product=waveguide_arc_detector" TargetMode="External"/><Relationship Id="rId28" Type="http://schemas.openxmlformats.org/officeDocument/2006/relationships/hyperlink" Target="https://esh.slac.stanford.edu/hazardous_activities/rf" TargetMode="External"/><Relationship Id="rId10" Type="http://schemas.openxmlformats.org/officeDocument/2006/relationships/hyperlink" Target="https://www.megaind.com/products/waveguide-sizes/wr2100-waveguide/" TargetMode="External"/><Relationship Id="rId19" Type="http://schemas.openxmlformats.org/officeDocument/2006/relationships/hyperlink" Target="https://www.rockwellautomation.com/" TargetMode="External"/><Relationship Id="rId4" Type="http://schemas.openxmlformats.org/officeDocument/2006/relationships/hyperlink" Target="https://catalog.microwavetechniques.com/viewitems/by-waveguide-component-size/wr2100" TargetMode="External"/><Relationship Id="rId9" Type="http://schemas.openxmlformats.org/officeDocument/2006/relationships/hyperlink" Target="https://products.spinner-group.com/" TargetMode="External"/><Relationship Id="rId14" Type="http://schemas.openxmlformats.org/officeDocument/2006/relationships/hyperlink" Target="https://www.rockwellautomation.com/" TargetMode="External"/><Relationship Id="rId22" Type="http://schemas.openxmlformats.org/officeDocument/2006/relationships/hyperlink" Target="https://microstep-mis.com/web/products?category=radiation+&amp;product=waveguide_arc_detector" TargetMode="External"/><Relationship Id="rId27" Type="http://schemas.openxmlformats.org/officeDocument/2006/relationships/hyperlink" Target="https://www.narda-sts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topLeftCell="A18" workbookViewId="0">
      <selection activeCell="C36" sqref="C35:C36"/>
    </sheetView>
  </sheetViews>
  <sheetFormatPr defaultRowHeight="14.5" x14ac:dyDescent="0.35"/>
  <cols>
    <col min="1" max="1" width="90" style="30" customWidth="1"/>
  </cols>
  <sheetData>
    <row r="1" spans="1:1" ht="18.5" x14ac:dyDescent="0.45">
      <c r="A1" s="25" t="s">
        <v>0</v>
      </c>
    </row>
    <row r="3" spans="1:1" ht="15.5" x14ac:dyDescent="0.35">
      <c r="A3" s="26" t="s">
        <v>1</v>
      </c>
    </row>
    <row r="4" spans="1:1" x14ac:dyDescent="0.35">
      <c r="A4" s="27" t="s">
        <v>2</v>
      </c>
    </row>
    <row r="5" spans="1:1" x14ac:dyDescent="0.35">
      <c r="A5" s="28" t="s">
        <v>517</v>
      </c>
    </row>
    <row r="6" spans="1:1" x14ac:dyDescent="0.35">
      <c r="A6" s="27" t="s">
        <v>3</v>
      </c>
    </row>
    <row r="7" spans="1:1" x14ac:dyDescent="0.35">
      <c r="A7" s="28" t="s">
        <v>538</v>
      </c>
    </row>
    <row r="9" spans="1:1" x14ac:dyDescent="0.35">
      <c r="A9" s="27" t="s">
        <v>4</v>
      </c>
    </row>
    <row r="10" spans="1:1" x14ac:dyDescent="0.35">
      <c r="A10" s="27" t="s">
        <v>5</v>
      </c>
    </row>
    <row r="12" spans="1:1" ht="15.5" x14ac:dyDescent="0.35">
      <c r="A12" s="26" t="s">
        <v>6</v>
      </c>
    </row>
    <row r="13" spans="1:1" x14ac:dyDescent="0.35">
      <c r="A13" s="29" t="s">
        <v>7</v>
      </c>
    </row>
    <row r="14" spans="1:1" x14ac:dyDescent="0.35">
      <c r="A14" s="27" t="s">
        <v>8</v>
      </c>
    </row>
    <row r="15" spans="1:1" x14ac:dyDescent="0.35">
      <c r="A15" s="28" t="s">
        <v>518</v>
      </c>
    </row>
    <row r="16" spans="1:1" x14ac:dyDescent="0.35">
      <c r="A16" s="27" t="s">
        <v>9</v>
      </c>
    </row>
    <row r="17" spans="1:1" x14ac:dyDescent="0.35">
      <c r="A17" s="27" t="s">
        <v>10</v>
      </c>
    </row>
    <row r="18" spans="1:1" x14ac:dyDescent="0.35">
      <c r="A18" s="28" t="s">
        <v>519</v>
      </c>
    </row>
    <row r="19" spans="1:1" x14ac:dyDescent="0.35">
      <c r="A19" s="28" t="s">
        <v>11</v>
      </c>
    </row>
    <row r="20" spans="1:1" x14ac:dyDescent="0.35">
      <c r="A20" s="30" t="s">
        <v>520</v>
      </c>
    </row>
    <row r="22" spans="1:1" ht="15.5" x14ac:dyDescent="0.35">
      <c r="A22" s="26" t="s">
        <v>532</v>
      </c>
    </row>
    <row r="24" spans="1:1" x14ac:dyDescent="0.35">
      <c r="A24" s="39" t="s">
        <v>12</v>
      </c>
    </row>
    <row r="25" spans="1:1" x14ac:dyDescent="0.35">
      <c r="A25" s="27" t="s">
        <v>13</v>
      </c>
    </row>
    <row r="26" spans="1:1" x14ac:dyDescent="0.35">
      <c r="A26" s="27" t="s">
        <v>14</v>
      </c>
    </row>
    <row r="27" spans="1:1" x14ac:dyDescent="0.35">
      <c r="A27" s="27" t="s">
        <v>15</v>
      </c>
    </row>
    <row r="29" spans="1:1" x14ac:dyDescent="0.35">
      <c r="A29" s="31" t="s">
        <v>16</v>
      </c>
    </row>
    <row r="30" spans="1:1" x14ac:dyDescent="0.35">
      <c r="A30" s="27" t="s">
        <v>17</v>
      </c>
    </row>
    <row r="31" spans="1:1" x14ac:dyDescent="0.35">
      <c r="A31" s="27" t="s">
        <v>18</v>
      </c>
    </row>
    <row r="32" spans="1:1" x14ac:dyDescent="0.35">
      <c r="A32" s="27" t="s">
        <v>19</v>
      </c>
    </row>
    <row r="33" spans="1:2" x14ac:dyDescent="0.35">
      <c r="A33" s="27" t="s">
        <v>20</v>
      </c>
    </row>
    <row r="35" spans="1:2" x14ac:dyDescent="0.35">
      <c r="A35" s="31" t="s">
        <v>21</v>
      </c>
    </row>
    <row r="36" spans="1:2" x14ac:dyDescent="0.35">
      <c r="A36" s="28" t="s">
        <v>521</v>
      </c>
    </row>
    <row r="37" spans="1:2" x14ac:dyDescent="0.35">
      <c r="A37" s="27" t="s">
        <v>22</v>
      </c>
    </row>
    <row r="38" spans="1:2" x14ac:dyDescent="0.35">
      <c r="A38" s="28" t="s">
        <v>522</v>
      </c>
    </row>
    <row r="39" spans="1:2" x14ac:dyDescent="0.35">
      <c r="A39" s="28" t="s">
        <v>524</v>
      </c>
      <c r="B39" s="20"/>
    </row>
    <row r="40" spans="1:2" x14ac:dyDescent="0.35">
      <c r="A40" s="28" t="s">
        <v>526</v>
      </c>
    </row>
    <row r="41" spans="1:2" x14ac:dyDescent="0.35">
      <c r="A41" s="28" t="s">
        <v>527</v>
      </c>
    </row>
    <row r="42" spans="1:2" x14ac:dyDescent="0.35">
      <c r="A42" s="28" t="s">
        <v>528</v>
      </c>
      <c r="B42" s="20"/>
    </row>
    <row r="44" spans="1:2" x14ac:dyDescent="0.35">
      <c r="A44" s="31" t="s">
        <v>23</v>
      </c>
    </row>
    <row r="45" spans="1:2" x14ac:dyDescent="0.35">
      <c r="A45" s="27" t="s">
        <v>24</v>
      </c>
    </row>
    <row r="46" spans="1:2" x14ac:dyDescent="0.35">
      <c r="A46" s="27" t="s">
        <v>25</v>
      </c>
    </row>
    <row r="47" spans="1:2" x14ac:dyDescent="0.35">
      <c r="A47" s="27" t="s">
        <v>26</v>
      </c>
    </row>
    <row r="48" spans="1:2" x14ac:dyDescent="0.35">
      <c r="A48" s="27" t="s">
        <v>27</v>
      </c>
    </row>
    <row r="49" spans="1:1" x14ac:dyDescent="0.35">
      <c r="A49" s="27" t="s">
        <v>28</v>
      </c>
    </row>
    <row r="51" spans="1:1" x14ac:dyDescent="0.35">
      <c r="A51" s="31" t="s">
        <v>29</v>
      </c>
    </row>
    <row r="52" spans="1:1" x14ac:dyDescent="0.35">
      <c r="A52" s="27" t="s">
        <v>30</v>
      </c>
    </row>
    <row r="53" spans="1:1" x14ac:dyDescent="0.35">
      <c r="A53" s="27" t="s">
        <v>31</v>
      </c>
    </row>
    <row r="54" spans="1:1" x14ac:dyDescent="0.35">
      <c r="A54" s="27" t="s">
        <v>32</v>
      </c>
    </row>
    <row r="55" spans="1:1" x14ac:dyDescent="0.35">
      <c r="A55" s="27" t="s">
        <v>33</v>
      </c>
    </row>
    <row r="56" spans="1:1" x14ac:dyDescent="0.35">
      <c r="A56" s="27" t="s">
        <v>34</v>
      </c>
    </row>
    <row r="58" spans="1:1" x14ac:dyDescent="0.35">
      <c r="A58" s="31" t="s">
        <v>35</v>
      </c>
    </row>
    <row r="59" spans="1:1" x14ac:dyDescent="0.35">
      <c r="A59" s="27" t="s">
        <v>36</v>
      </c>
    </row>
    <row r="60" spans="1:1" x14ac:dyDescent="0.35">
      <c r="A60" s="27" t="s">
        <v>37</v>
      </c>
    </row>
    <row r="61" spans="1:1" x14ac:dyDescent="0.35">
      <c r="A61" s="28" t="s">
        <v>38</v>
      </c>
    </row>
    <row r="63" spans="1:1" x14ac:dyDescent="0.35">
      <c r="A63" s="32" t="s">
        <v>552</v>
      </c>
    </row>
    <row r="64" spans="1:1" x14ac:dyDescent="0.35">
      <c r="A64" s="30" t="s">
        <v>540</v>
      </c>
    </row>
    <row r="65" spans="1:1" x14ac:dyDescent="0.35">
      <c r="A65" s="30" t="s">
        <v>541</v>
      </c>
    </row>
    <row r="66" spans="1:1" x14ac:dyDescent="0.35">
      <c r="A66" s="30" t="s">
        <v>542</v>
      </c>
    </row>
    <row r="68" spans="1:1" x14ac:dyDescent="0.35">
      <c r="A68" s="33" t="s">
        <v>543</v>
      </c>
    </row>
    <row r="69" spans="1:1" x14ac:dyDescent="0.35">
      <c r="A69" s="27" t="s">
        <v>46</v>
      </c>
    </row>
    <row r="70" spans="1:1" x14ac:dyDescent="0.35">
      <c r="A70" s="28" t="s">
        <v>531</v>
      </c>
    </row>
    <row r="71" spans="1:1" x14ac:dyDescent="0.35">
      <c r="A71" s="27" t="s">
        <v>47</v>
      </c>
    </row>
    <row r="72" spans="1:1" x14ac:dyDescent="0.35">
      <c r="A72" s="27"/>
    </row>
    <row r="73" spans="1:1" x14ac:dyDescent="0.35">
      <c r="A73" s="32" t="s">
        <v>544</v>
      </c>
    </row>
    <row r="74" spans="1:1" x14ac:dyDescent="0.35">
      <c r="A74" s="30" t="s">
        <v>530</v>
      </c>
    </row>
    <row r="75" spans="1:1" x14ac:dyDescent="0.35">
      <c r="A75" s="30" t="s">
        <v>41</v>
      </c>
    </row>
    <row r="76" spans="1:1" x14ac:dyDescent="0.35">
      <c r="A76" s="30" t="s">
        <v>42</v>
      </c>
    </row>
    <row r="77" spans="1:1" x14ac:dyDescent="0.35">
      <c r="A77" s="30" t="s">
        <v>43</v>
      </c>
    </row>
    <row r="78" spans="1:1" x14ac:dyDescent="0.35">
      <c r="A78" s="30" t="s">
        <v>44</v>
      </c>
    </row>
    <row r="79" spans="1:1" x14ac:dyDescent="0.35">
      <c r="A79" s="27"/>
    </row>
    <row r="80" spans="1:1" x14ac:dyDescent="0.35">
      <c r="A80" s="33" t="s">
        <v>553</v>
      </c>
    </row>
    <row r="81" spans="1:5" x14ac:dyDescent="0.35">
      <c r="A81" s="27" t="s">
        <v>39</v>
      </c>
    </row>
    <row r="82" spans="1:5" x14ac:dyDescent="0.35">
      <c r="A82" s="27" t="s">
        <v>40</v>
      </c>
    </row>
    <row r="83" spans="1:5" x14ac:dyDescent="0.35">
      <c r="A83" s="28" t="s">
        <v>529</v>
      </c>
    </row>
    <row r="84" spans="1:5" x14ac:dyDescent="0.35">
      <c r="A84" s="34"/>
    </row>
    <row r="85" spans="1:5" ht="15.5" x14ac:dyDescent="0.35">
      <c r="A85" s="35" t="s">
        <v>545</v>
      </c>
    </row>
    <row r="86" spans="1:5" x14ac:dyDescent="0.35">
      <c r="A86" s="27" t="s">
        <v>48</v>
      </c>
      <c r="E86" s="21"/>
    </row>
    <row r="87" spans="1:5" x14ac:dyDescent="0.35">
      <c r="A87" s="27" t="s">
        <v>49</v>
      </c>
      <c r="E87" s="20"/>
    </row>
    <row r="88" spans="1:5" x14ac:dyDescent="0.35">
      <c r="A88" s="27" t="s">
        <v>50</v>
      </c>
      <c r="E88" s="20"/>
    </row>
    <row r="89" spans="1:5" x14ac:dyDescent="0.35">
      <c r="A89" s="28" t="s">
        <v>533</v>
      </c>
      <c r="E89" s="20"/>
    </row>
    <row r="90" spans="1:5" x14ac:dyDescent="0.35">
      <c r="A90" s="27" t="s">
        <v>51</v>
      </c>
      <c r="E90" s="20"/>
    </row>
    <row r="91" spans="1:5" x14ac:dyDescent="0.35">
      <c r="A91" s="27" t="s">
        <v>52</v>
      </c>
    </row>
    <row r="92" spans="1:5" x14ac:dyDescent="0.35">
      <c r="A92" s="28" t="s">
        <v>534</v>
      </c>
    </row>
    <row r="94" spans="1:5" ht="15.5" x14ac:dyDescent="0.35">
      <c r="A94" s="35" t="s">
        <v>546</v>
      </c>
    </row>
    <row r="95" spans="1:5" x14ac:dyDescent="0.35">
      <c r="A95" s="36" t="s">
        <v>535</v>
      </c>
    </row>
    <row r="96" spans="1:5" x14ac:dyDescent="0.35">
      <c r="A96" s="27" t="s">
        <v>53</v>
      </c>
    </row>
    <row r="97" spans="1:1" x14ac:dyDescent="0.35">
      <c r="A97" s="28" t="s">
        <v>536</v>
      </c>
    </row>
    <row r="98" spans="1:1" x14ac:dyDescent="0.35">
      <c r="A98" s="27" t="s">
        <v>54</v>
      </c>
    </row>
    <row r="99" spans="1:1" x14ac:dyDescent="0.35">
      <c r="A99" s="36" t="s">
        <v>547</v>
      </c>
    </row>
    <row r="100" spans="1:1" x14ac:dyDescent="0.35">
      <c r="A100" s="36" t="s">
        <v>537</v>
      </c>
    </row>
  </sheetData>
  <hyperlinks>
    <hyperlink ref="A24" location="'Class 4 Estimate'!A7" display="3a. SSA RF Source (WBS 1.0)" xr:uid="{CD80BC98-5646-4553-8C0D-9F9CBC6DE21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1"/>
  <sheetViews>
    <sheetView workbookViewId="0">
      <selection activeCell="A10" sqref="A10:XFD11"/>
    </sheetView>
  </sheetViews>
  <sheetFormatPr defaultRowHeight="14.5" x14ac:dyDescent="0.35"/>
  <cols>
    <col min="1" max="1" width="8" customWidth="1"/>
    <col min="2" max="2" width="55" customWidth="1"/>
    <col min="3" max="7" width="12" customWidth="1"/>
    <col min="8" max="8" width="60" customWidth="1"/>
  </cols>
  <sheetData>
    <row r="1" spans="1:8" ht="18.5" x14ac:dyDescent="0.45">
      <c r="A1" s="7" t="s">
        <v>55</v>
      </c>
    </row>
    <row r="2" spans="1:8" x14ac:dyDescent="0.35">
      <c r="A2" s="8" t="s">
        <v>56</v>
      </c>
    </row>
    <row r="3" spans="1:8" x14ac:dyDescent="0.35">
      <c r="A3" s="17" t="s">
        <v>57</v>
      </c>
    </row>
    <row r="5" spans="1:8" x14ac:dyDescent="0.35">
      <c r="A5" s="9" t="s">
        <v>58</v>
      </c>
      <c r="B5" s="9" t="s">
        <v>59</v>
      </c>
      <c r="C5" s="9" t="s">
        <v>60</v>
      </c>
      <c r="D5" s="9" t="s">
        <v>61</v>
      </c>
      <c r="E5" s="9" t="s">
        <v>62</v>
      </c>
      <c r="F5" s="9" t="s">
        <v>63</v>
      </c>
      <c r="G5" s="9" t="s">
        <v>64</v>
      </c>
      <c r="H5" s="9" t="s">
        <v>65</v>
      </c>
    </row>
    <row r="7" spans="1:8" x14ac:dyDescent="0.35">
      <c r="A7" s="10" t="s">
        <v>66</v>
      </c>
      <c r="B7" s="38" t="s">
        <v>67</v>
      </c>
      <c r="C7" s="10"/>
      <c r="D7" s="10"/>
      <c r="E7" s="10"/>
      <c r="F7" s="10"/>
      <c r="G7" s="10"/>
      <c r="H7" s="10"/>
    </row>
    <row r="8" spans="1:8" x14ac:dyDescent="0.35">
      <c r="A8" s="11" t="s">
        <v>68</v>
      </c>
      <c r="B8" s="11" t="s">
        <v>549</v>
      </c>
      <c r="C8" s="11">
        <f>'SSA quote from R&amp;K'!C7</f>
        <v>4985.6000000000004</v>
      </c>
      <c r="D8" s="11"/>
      <c r="E8" s="11"/>
      <c r="F8" s="11">
        <v>4985.6000000000004</v>
      </c>
      <c r="G8" s="11" t="s">
        <v>69</v>
      </c>
      <c r="H8" s="37" t="s">
        <v>550</v>
      </c>
    </row>
    <row r="9" spans="1:8" x14ac:dyDescent="0.35">
      <c r="A9" s="11" t="s">
        <v>70</v>
      </c>
      <c r="B9" s="11" t="s">
        <v>548</v>
      </c>
      <c r="C9" s="11">
        <f>'SSA quote from R&amp;K'!C5</f>
        <v>311.60000000000002</v>
      </c>
      <c r="D9" s="11"/>
      <c r="E9" s="11"/>
      <c r="F9" s="11">
        <v>623.20000000000005</v>
      </c>
      <c r="G9" s="11" t="s">
        <v>69</v>
      </c>
      <c r="H9" s="11" t="s">
        <v>71</v>
      </c>
    </row>
    <row r="10" spans="1:8" x14ac:dyDescent="0.35">
      <c r="A10" s="11" t="s">
        <v>72</v>
      </c>
      <c r="B10" s="11" t="s">
        <v>73</v>
      </c>
      <c r="C10" s="11"/>
      <c r="D10" s="11">
        <v>1</v>
      </c>
      <c r="E10" s="11">
        <v>348</v>
      </c>
      <c r="F10" s="11">
        <v>348</v>
      </c>
      <c r="G10" s="11" t="s">
        <v>74</v>
      </c>
      <c r="H10" s="11" t="s">
        <v>75</v>
      </c>
    </row>
    <row r="11" spans="1:8" x14ac:dyDescent="0.35">
      <c r="A11" s="11" t="s">
        <v>76</v>
      </c>
      <c r="B11" s="11" t="s">
        <v>77</v>
      </c>
      <c r="C11" s="11">
        <v>75</v>
      </c>
      <c r="D11" s="11">
        <v>0.5</v>
      </c>
      <c r="E11" s="11">
        <v>174</v>
      </c>
      <c r="F11" s="11">
        <v>249</v>
      </c>
      <c r="G11" s="11" t="s">
        <v>74</v>
      </c>
      <c r="H11" s="11" t="s">
        <v>78</v>
      </c>
    </row>
    <row r="12" spans="1:8" x14ac:dyDescent="0.35">
      <c r="A12" s="12"/>
      <c r="B12" s="12" t="s">
        <v>79</v>
      </c>
      <c r="C12" s="12">
        <f>SUM(C8:C11)</f>
        <v>5372.2000000000007</v>
      </c>
      <c r="D12" s="12"/>
      <c r="E12" s="12">
        <f>SUM(E8:E11)</f>
        <v>522</v>
      </c>
      <c r="F12" s="12">
        <f>SUM(F8:F11)</f>
        <v>6205.8</v>
      </c>
      <c r="G12" s="12"/>
      <c r="H12" s="12"/>
    </row>
    <row r="14" spans="1:8" x14ac:dyDescent="0.35">
      <c r="A14" s="10" t="s">
        <v>80</v>
      </c>
      <c r="B14" s="10" t="s">
        <v>81</v>
      </c>
      <c r="C14" s="10"/>
      <c r="D14" s="10"/>
      <c r="E14" s="10"/>
      <c r="F14" s="10"/>
      <c r="G14" s="10"/>
      <c r="H14" s="10"/>
    </row>
    <row r="15" spans="1:8" x14ac:dyDescent="0.35">
      <c r="A15" s="11" t="s">
        <v>82</v>
      </c>
      <c r="B15" s="11" t="s">
        <v>83</v>
      </c>
      <c r="C15" s="11">
        <v>160</v>
      </c>
      <c r="D15" s="11">
        <v>0.25</v>
      </c>
      <c r="E15" s="11">
        <v>87</v>
      </c>
      <c r="F15" s="11">
        <v>247</v>
      </c>
      <c r="G15" s="11" t="s">
        <v>74</v>
      </c>
      <c r="H15" s="11" t="s">
        <v>84</v>
      </c>
    </row>
    <row r="16" spans="1:8" x14ac:dyDescent="0.35">
      <c r="A16" s="11" t="s">
        <v>85</v>
      </c>
      <c r="B16" s="11" t="s">
        <v>86</v>
      </c>
      <c r="C16" s="11">
        <v>300</v>
      </c>
      <c r="D16" s="11">
        <v>0.5</v>
      </c>
      <c r="E16" s="11">
        <v>174</v>
      </c>
      <c r="F16" s="11">
        <v>474</v>
      </c>
      <c r="G16" s="11" t="s">
        <v>74</v>
      </c>
      <c r="H16" s="11" t="s">
        <v>87</v>
      </c>
    </row>
    <row r="17" spans="1:8" x14ac:dyDescent="0.35">
      <c r="A17" s="11" t="s">
        <v>88</v>
      </c>
      <c r="B17" s="11" t="s">
        <v>89</v>
      </c>
      <c r="C17" s="11">
        <v>400</v>
      </c>
      <c r="D17" s="11">
        <v>0.15</v>
      </c>
      <c r="E17" s="11">
        <v>52.2</v>
      </c>
      <c r="F17" s="11">
        <v>452.2</v>
      </c>
      <c r="G17" s="11" t="s">
        <v>90</v>
      </c>
      <c r="H17" s="11" t="s">
        <v>91</v>
      </c>
    </row>
    <row r="18" spans="1:8" x14ac:dyDescent="0.35">
      <c r="A18" s="11" t="s">
        <v>92</v>
      </c>
      <c r="B18" s="11" t="s">
        <v>93</v>
      </c>
      <c r="C18" s="11">
        <v>80</v>
      </c>
      <c r="D18" s="11"/>
      <c r="E18" s="11"/>
      <c r="F18" s="11">
        <v>80</v>
      </c>
      <c r="G18" s="11" t="s">
        <v>74</v>
      </c>
      <c r="H18" s="11" t="s">
        <v>94</v>
      </c>
    </row>
    <row r="19" spans="1:8" x14ac:dyDescent="0.35">
      <c r="A19" s="11" t="s">
        <v>95</v>
      </c>
      <c r="B19" s="11" t="s">
        <v>96</v>
      </c>
      <c r="C19" s="11">
        <v>60</v>
      </c>
      <c r="D19" s="11"/>
      <c r="E19" s="11"/>
      <c r="F19" s="11">
        <v>60</v>
      </c>
      <c r="G19" s="11" t="s">
        <v>74</v>
      </c>
      <c r="H19" s="11" t="s">
        <v>97</v>
      </c>
    </row>
    <row r="20" spans="1:8" x14ac:dyDescent="0.35">
      <c r="A20" s="11" t="s">
        <v>98</v>
      </c>
      <c r="B20" s="11" t="s">
        <v>99</v>
      </c>
      <c r="C20" s="11">
        <v>50</v>
      </c>
      <c r="D20" s="11">
        <v>0.25</v>
      </c>
      <c r="E20" s="11">
        <v>87</v>
      </c>
      <c r="F20" s="11">
        <v>137</v>
      </c>
      <c r="G20" s="11" t="s">
        <v>74</v>
      </c>
      <c r="H20" s="11" t="s">
        <v>100</v>
      </c>
    </row>
    <row r="21" spans="1:8" x14ac:dyDescent="0.35">
      <c r="A21" s="12"/>
      <c r="B21" s="12" t="s">
        <v>101</v>
      </c>
      <c r="C21" s="12">
        <f>SUM(C15:C20)</f>
        <v>1050</v>
      </c>
      <c r="D21" s="12"/>
      <c r="E21" s="12">
        <f>SUM(E15:E20)</f>
        <v>400.2</v>
      </c>
      <c r="F21" s="12">
        <f>SUM(F15:F20)</f>
        <v>1450.2</v>
      </c>
      <c r="G21" s="12"/>
      <c r="H21" s="12"/>
    </row>
    <row r="23" spans="1:8" x14ac:dyDescent="0.35">
      <c r="A23" s="10" t="s">
        <v>102</v>
      </c>
      <c r="B23" s="10" t="s">
        <v>103</v>
      </c>
      <c r="C23" s="10"/>
      <c r="D23" s="10"/>
      <c r="E23" s="10"/>
      <c r="F23" s="10"/>
      <c r="G23" s="10"/>
      <c r="H23" s="10"/>
    </row>
    <row r="24" spans="1:8" x14ac:dyDescent="0.35">
      <c r="A24" s="11" t="s">
        <v>104</v>
      </c>
      <c r="B24" s="11" t="s">
        <v>105</v>
      </c>
      <c r="C24" s="11">
        <v>20</v>
      </c>
      <c r="D24" s="11">
        <v>0.5</v>
      </c>
      <c r="E24" s="11">
        <v>174</v>
      </c>
      <c r="F24" s="11">
        <v>194</v>
      </c>
      <c r="G24" s="11" t="s">
        <v>74</v>
      </c>
      <c r="H24" s="11" t="s">
        <v>106</v>
      </c>
    </row>
    <row r="25" spans="1:8" x14ac:dyDescent="0.35">
      <c r="A25" s="11" t="s">
        <v>107</v>
      </c>
      <c r="B25" s="11" t="s">
        <v>108</v>
      </c>
      <c r="C25" s="11">
        <v>30</v>
      </c>
      <c r="D25" s="11">
        <v>1</v>
      </c>
      <c r="E25" s="11">
        <v>348</v>
      </c>
      <c r="F25" s="11">
        <v>378</v>
      </c>
      <c r="G25" s="11" t="s">
        <v>74</v>
      </c>
      <c r="H25" s="11" t="s">
        <v>109</v>
      </c>
    </row>
    <row r="26" spans="1:8" x14ac:dyDescent="0.35">
      <c r="A26" s="11" t="s">
        <v>110</v>
      </c>
      <c r="B26" s="11" t="s">
        <v>111</v>
      </c>
      <c r="C26" s="11">
        <v>35</v>
      </c>
      <c r="D26" s="11">
        <v>0.75</v>
      </c>
      <c r="E26" s="11">
        <v>261</v>
      </c>
      <c r="F26" s="11">
        <v>296</v>
      </c>
      <c r="G26" s="11" t="s">
        <v>74</v>
      </c>
      <c r="H26" s="11" t="s">
        <v>112</v>
      </c>
    </row>
    <row r="27" spans="1:8" x14ac:dyDescent="0.35">
      <c r="A27" s="11" t="s">
        <v>113</v>
      </c>
      <c r="B27" s="11" t="s">
        <v>114</v>
      </c>
      <c r="C27" s="11">
        <v>20</v>
      </c>
      <c r="D27" s="11">
        <v>0.3</v>
      </c>
      <c r="E27" s="11">
        <v>104.4</v>
      </c>
      <c r="F27" s="11">
        <v>124.4</v>
      </c>
      <c r="G27" s="11" t="s">
        <v>69</v>
      </c>
      <c r="H27" s="11" t="s">
        <v>115</v>
      </c>
    </row>
    <row r="28" spans="1:8" x14ac:dyDescent="0.35">
      <c r="A28" s="11" t="s">
        <v>116</v>
      </c>
      <c r="B28" s="11" t="s">
        <v>117</v>
      </c>
      <c r="C28" s="11">
        <v>5</v>
      </c>
      <c r="D28" s="11">
        <v>0.15</v>
      </c>
      <c r="E28" s="11">
        <v>52.2</v>
      </c>
      <c r="F28" s="11">
        <v>57.2</v>
      </c>
      <c r="G28" s="11" t="s">
        <v>69</v>
      </c>
      <c r="H28" s="11" t="s">
        <v>118</v>
      </c>
    </row>
    <row r="29" spans="1:8" x14ac:dyDescent="0.35">
      <c r="A29" s="11" t="s">
        <v>119</v>
      </c>
      <c r="B29" s="11" t="s">
        <v>120</v>
      </c>
      <c r="C29" s="11">
        <v>15</v>
      </c>
      <c r="D29" s="11">
        <v>0.25</v>
      </c>
      <c r="E29" s="11">
        <v>87</v>
      </c>
      <c r="F29" s="11">
        <v>102</v>
      </c>
      <c r="G29" s="11" t="s">
        <v>74</v>
      </c>
      <c r="H29" s="11" t="s">
        <v>121</v>
      </c>
    </row>
    <row r="30" spans="1:8" x14ac:dyDescent="0.35">
      <c r="A30" s="11" t="s">
        <v>122</v>
      </c>
      <c r="B30" s="11" t="s">
        <v>123</v>
      </c>
      <c r="C30" s="11">
        <v>5</v>
      </c>
      <c r="D30" s="11">
        <v>0.1</v>
      </c>
      <c r="E30" s="11">
        <v>34.799999999999997</v>
      </c>
      <c r="F30" s="11">
        <v>39.799999999999997</v>
      </c>
      <c r="G30" s="11" t="s">
        <v>69</v>
      </c>
      <c r="H30" s="11" t="s">
        <v>124</v>
      </c>
    </row>
    <row r="31" spans="1:8" x14ac:dyDescent="0.35">
      <c r="A31" s="11" t="s">
        <v>125</v>
      </c>
      <c r="B31" s="11" t="s">
        <v>126</v>
      </c>
      <c r="C31" s="11">
        <v>15</v>
      </c>
      <c r="D31" s="11">
        <v>0.75</v>
      </c>
      <c r="E31" s="11">
        <v>261</v>
      </c>
      <c r="F31" s="11">
        <v>276</v>
      </c>
      <c r="G31" s="11" t="s">
        <v>74</v>
      </c>
      <c r="H31" s="11" t="s">
        <v>127</v>
      </c>
    </row>
    <row r="32" spans="1:8" x14ac:dyDescent="0.35">
      <c r="A32" s="11" t="s">
        <v>128</v>
      </c>
      <c r="B32" s="11" t="s">
        <v>129</v>
      </c>
      <c r="C32" s="11">
        <v>60</v>
      </c>
      <c r="D32" s="11">
        <v>0.75</v>
      </c>
      <c r="E32" s="11">
        <v>261</v>
      </c>
      <c r="F32" s="11">
        <v>321</v>
      </c>
      <c r="G32" s="11" t="s">
        <v>90</v>
      </c>
      <c r="H32" s="11" t="s">
        <v>130</v>
      </c>
    </row>
    <row r="33" spans="1:8" x14ac:dyDescent="0.35">
      <c r="A33" s="11" t="s">
        <v>131</v>
      </c>
      <c r="B33" s="11" t="s">
        <v>132</v>
      </c>
      <c r="C33" s="11">
        <v>50</v>
      </c>
      <c r="D33" s="11"/>
      <c r="E33" s="11"/>
      <c r="F33" s="11">
        <v>50</v>
      </c>
      <c r="G33" s="11" t="s">
        <v>74</v>
      </c>
      <c r="H33" s="11" t="s">
        <v>133</v>
      </c>
    </row>
    <row r="34" spans="1:8" x14ac:dyDescent="0.35">
      <c r="A34" s="12"/>
      <c r="B34" s="12" t="s">
        <v>134</v>
      </c>
      <c r="C34" s="12">
        <f>SUM(C24:C33)</f>
        <v>255</v>
      </c>
      <c r="D34" s="12"/>
      <c r="E34" s="12">
        <f>SUM(E24:E33)</f>
        <v>1583.3999999999999</v>
      </c>
      <c r="F34" s="12">
        <f>SUM(F24:F33)</f>
        <v>1838.3999999999999</v>
      </c>
      <c r="G34" s="12"/>
      <c r="H34" s="12"/>
    </row>
    <row r="36" spans="1:8" x14ac:dyDescent="0.35">
      <c r="A36" s="10" t="s">
        <v>135</v>
      </c>
      <c r="B36" s="10" t="s">
        <v>136</v>
      </c>
      <c r="C36" s="10"/>
      <c r="D36" s="10"/>
      <c r="E36" s="10"/>
      <c r="F36" s="10"/>
      <c r="G36" s="10"/>
      <c r="H36" s="10"/>
    </row>
    <row r="37" spans="1:8" x14ac:dyDescent="0.35">
      <c r="A37" s="11" t="s">
        <v>137</v>
      </c>
      <c r="B37" s="11" t="s">
        <v>138</v>
      </c>
      <c r="C37" s="11">
        <v>10</v>
      </c>
      <c r="D37" s="11">
        <v>0.75</v>
      </c>
      <c r="E37" s="11">
        <v>261</v>
      </c>
      <c r="F37" s="11">
        <v>271</v>
      </c>
      <c r="G37" s="11" t="s">
        <v>74</v>
      </c>
      <c r="H37" s="11" t="s">
        <v>139</v>
      </c>
    </row>
    <row r="38" spans="1:8" x14ac:dyDescent="0.35">
      <c r="A38" s="11" t="s">
        <v>140</v>
      </c>
      <c r="B38" s="11" t="s">
        <v>141</v>
      </c>
      <c r="C38" s="11"/>
      <c r="D38" s="11">
        <v>1</v>
      </c>
      <c r="E38" s="11">
        <v>348</v>
      </c>
      <c r="F38" s="11">
        <v>348</v>
      </c>
      <c r="G38" s="11" t="s">
        <v>74</v>
      </c>
      <c r="H38" s="11" t="s">
        <v>142</v>
      </c>
    </row>
    <row r="39" spans="1:8" x14ac:dyDescent="0.35">
      <c r="A39" s="11" t="s">
        <v>143</v>
      </c>
      <c r="B39" s="11" t="s">
        <v>144</v>
      </c>
      <c r="C39" s="11"/>
      <c r="D39" s="11">
        <v>0.25</v>
      </c>
      <c r="E39" s="11">
        <v>87</v>
      </c>
      <c r="F39" s="11">
        <v>87</v>
      </c>
      <c r="G39" s="11" t="s">
        <v>74</v>
      </c>
      <c r="H39" s="11" t="s">
        <v>145</v>
      </c>
    </row>
    <row r="40" spans="1:8" x14ac:dyDescent="0.35">
      <c r="A40" s="11" t="s">
        <v>146</v>
      </c>
      <c r="B40" s="11" t="s">
        <v>147</v>
      </c>
      <c r="C40" s="11">
        <v>5</v>
      </c>
      <c r="D40" s="11">
        <v>0.25</v>
      </c>
      <c r="E40" s="11">
        <v>87</v>
      </c>
      <c r="F40" s="11">
        <v>92</v>
      </c>
      <c r="G40" s="11" t="s">
        <v>74</v>
      </c>
      <c r="H40" s="11" t="s">
        <v>148</v>
      </c>
    </row>
    <row r="41" spans="1:8" x14ac:dyDescent="0.35">
      <c r="A41" s="11" t="s">
        <v>149</v>
      </c>
      <c r="B41" s="11" t="s">
        <v>150</v>
      </c>
      <c r="C41" s="11"/>
      <c r="D41" s="11">
        <v>0.25</v>
      </c>
      <c r="E41" s="11">
        <v>87</v>
      </c>
      <c r="F41" s="11">
        <v>87</v>
      </c>
      <c r="G41" s="11" t="s">
        <v>74</v>
      </c>
      <c r="H41" s="11" t="s">
        <v>151</v>
      </c>
    </row>
    <row r="42" spans="1:8" x14ac:dyDescent="0.35">
      <c r="A42" s="12"/>
      <c r="B42" s="12" t="s">
        <v>152</v>
      </c>
      <c r="C42" s="12">
        <f>SUM(C37:C41)</f>
        <v>15</v>
      </c>
      <c r="D42" s="12"/>
      <c r="E42" s="12">
        <f>SUM(E37:E41)</f>
        <v>870</v>
      </c>
      <c r="F42" s="12">
        <f>SUM(F37:F41)</f>
        <v>885</v>
      </c>
      <c r="G42" s="12"/>
      <c r="H42" s="12"/>
    </row>
    <row r="44" spans="1:8" x14ac:dyDescent="0.35">
      <c r="A44" s="10" t="s">
        <v>153</v>
      </c>
      <c r="B44" s="10" t="s">
        <v>154</v>
      </c>
      <c r="C44" s="10"/>
      <c r="D44" s="10"/>
      <c r="E44" s="10"/>
      <c r="F44" s="10"/>
      <c r="G44" s="10"/>
      <c r="H44" s="10"/>
    </row>
    <row r="45" spans="1:8" x14ac:dyDescent="0.35">
      <c r="A45" s="11" t="s">
        <v>155</v>
      </c>
      <c r="B45" s="11" t="s">
        <v>156</v>
      </c>
      <c r="C45" s="11">
        <v>50</v>
      </c>
      <c r="D45" s="11">
        <v>1.38</v>
      </c>
      <c r="E45" s="11">
        <v>480</v>
      </c>
      <c r="F45" s="11">
        <v>530</v>
      </c>
      <c r="G45" s="11" t="s">
        <v>74</v>
      </c>
      <c r="H45" s="11" t="s">
        <v>157</v>
      </c>
    </row>
    <row r="46" spans="1:8" x14ac:dyDescent="0.35">
      <c r="A46" s="11" t="s">
        <v>158</v>
      </c>
      <c r="B46" s="11" t="s">
        <v>159</v>
      </c>
      <c r="C46" s="11">
        <v>30</v>
      </c>
      <c r="D46" s="11">
        <v>0.75</v>
      </c>
      <c r="E46" s="11">
        <v>261</v>
      </c>
      <c r="F46" s="11">
        <v>291</v>
      </c>
      <c r="G46" s="11" t="s">
        <v>74</v>
      </c>
      <c r="H46" s="11" t="s">
        <v>160</v>
      </c>
    </row>
    <row r="47" spans="1:8" x14ac:dyDescent="0.35">
      <c r="A47" s="11" t="s">
        <v>161</v>
      </c>
      <c r="B47" s="11" t="s">
        <v>162</v>
      </c>
      <c r="C47" s="11">
        <v>20</v>
      </c>
      <c r="D47" s="11">
        <v>0.5</v>
      </c>
      <c r="E47" s="11">
        <v>174</v>
      </c>
      <c r="F47" s="11">
        <v>194</v>
      </c>
      <c r="G47" s="11" t="s">
        <v>74</v>
      </c>
      <c r="H47" s="11" t="s">
        <v>163</v>
      </c>
    </row>
    <row r="48" spans="1:8" x14ac:dyDescent="0.35">
      <c r="A48" s="11" t="s">
        <v>164</v>
      </c>
      <c r="B48" s="11" t="s">
        <v>165</v>
      </c>
      <c r="C48" s="11"/>
      <c r="D48" s="11">
        <v>0.5</v>
      </c>
      <c r="E48" s="11">
        <v>174</v>
      </c>
      <c r="F48" s="11">
        <v>174</v>
      </c>
      <c r="G48" s="11" t="s">
        <v>74</v>
      </c>
      <c r="H48" s="11" t="s">
        <v>166</v>
      </c>
    </row>
    <row r="49" spans="1:8" x14ac:dyDescent="0.35">
      <c r="A49" s="11" t="s">
        <v>167</v>
      </c>
      <c r="B49" s="11" t="s">
        <v>168</v>
      </c>
      <c r="C49" s="11">
        <v>20</v>
      </c>
      <c r="D49" s="11">
        <v>0.69</v>
      </c>
      <c r="E49" s="11">
        <v>240</v>
      </c>
      <c r="F49" s="11">
        <v>260</v>
      </c>
      <c r="G49" s="11" t="s">
        <v>74</v>
      </c>
      <c r="H49" s="11" t="s">
        <v>169</v>
      </c>
    </row>
    <row r="50" spans="1:8" x14ac:dyDescent="0.35">
      <c r="A50" s="12"/>
      <c r="B50" s="12" t="s">
        <v>170</v>
      </c>
      <c r="C50" s="12">
        <f>SUM(C45:C49)</f>
        <v>120</v>
      </c>
      <c r="D50" s="12"/>
      <c r="E50" s="12">
        <f>SUM(E45:E49)</f>
        <v>1329</v>
      </c>
      <c r="F50" s="12">
        <f>SUM(F45:F49)</f>
        <v>1449</v>
      </c>
      <c r="G50" s="12"/>
      <c r="H50" s="12"/>
    </row>
    <row r="52" spans="1:8" x14ac:dyDescent="0.35">
      <c r="A52" s="10" t="s">
        <v>171</v>
      </c>
      <c r="B52" s="10" t="s">
        <v>172</v>
      </c>
      <c r="C52" s="10"/>
      <c r="D52" s="10"/>
      <c r="E52" s="10"/>
      <c r="F52" s="10"/>
      <c r="G52" s="10"/>
      <c r="H52" s="10"/>
    </row>
    <row r="53" spans="1:8" x14ac:dyDescent="0.35">
      <c r="A53" s="11" t="s">
        <v>173</v>
      </c>
      <c r="B53" s="11" t="s">
        <v>174</v>
      </c>
      <c r="C53" s="11">
        <v>5</v>
      </c>
      <c r="D53" s="11">
        <v>0.12</v>
      </c>
      <c r="E53" s="11">
        <v>41.8</v>
      </c>
      <c r="F53" s="11">
        <v>46.8</v>
      </c>
      <c r="G53" s="11" t="s">
        <v>69</v>
      </c>
      <c r="H53" s="11" t="s">
        <v>175</v>
      </c>
    </row>
    <row r="54" spans="1:8" x14ac:dyDescent="0.35">
      <c r="A54" s="11" t="s">
        <v>176</v>
      </c>
      <c r="B54" s="11" t="s">
        <v>177</v>
      </c>
      <c r="C54" s="11">
        <v>10</v>
      </c>
      <c r="D54" s="11">
        <v>0.25</v>
      </c>
      <c r="E54" s="11">
        <v>87</v>
      </c>
      <c r="F54" s="11">
        <v>97</v>
      </c>
      <c r="G54" s="11" t="s">
        <v>74</v>
      </c>
      <c r="H54" s="11" t="s">
        <v>178</v>
      </c>
    </row>
    <row r="55" spans="1:8" x14ac:dyDescent="0.35">
      <c r="A55" s="11" t="s">
        <v>179</v>
      </c>
      <c r="B55" s="11" t="s">
        <v>180</v>
      </c>
      <c r="C55" s="11">
        <v>15</v>
      </c>
      <c r="D55" s="11">
        <v>0.25</v>
      </c>
      <c r="E55" s="11">
        <v>87</v>
      </c>
      <c r="F55" s="11">
        <v>102</v>
      </c>
      <c r="G55" s="11" t="s">
        <v>74</v>
      </c>
      <c r="H55" s="11" t="s">
        <v>181</v>
      </c>
    </row>
    <row r="56" spans="1:8" x14ac:dyDescent="0.35">
      <c r="A56" s="12"/>
      <c r="B56" s="12" t="s">
        <v>182</v>
      </c>
      <c r="C56" s="12">
        <f>SUM(C53:C55)</f>
        <v>30</v>
      </c>
      <c r="D56" s="12"/>
      <c r="E56" s="12">
        <f>SUM(E53:E55)</f>
        <v>215.8</v>
      </c>
      <c r="F56" s="12">
        <f>SUM(F53:F55)</f>
        <v>245.8</v>
      </c>
      <c r="G56" s="12"/>
      <c r="H56" s="12"/>
    </row>
    <row r="58" spans="1:8" x14ac:dyDescent="0.35">
      <c r="A58" s="10" t="s">
        <v>183</v>
      </c>
      <c r="B58" s="10" t="s">
        <v>184</v>
      </c>
      <c r="C58" s="10"/>
      <c r="D58" s="10"/>
      <c r="E58" s="10"/>
      <c r="F58" s="10"/>
      <c r="G58" s="10"/>
      <c r="H58" s="10"/>
    </row>
    <row r="59" spans="1:8" x14ac:dyDescent="0.35">
      <c r="A59" s="11" t="s">
        <v>185</v>
      </c>
      <c r="B59" s="11" t="s">
        <v>186</v>
      </c>
      <c r="C59" s="11">
        <v>20</v>
      </c>
      <c r="D59" s="11">
        <v>2.5</v>
      </c>
      <c r="E59" s="11">
        <v>870</v>
      </c>
      <c r="F59" s="11">
        <v>890</v>
      </c>
      <c r="G59" s="11" t="s">
        <v>74</v>
      </c>
      <c r="H59" s="11" t="s">
        <v>187</v>
      </c>
    </row>
    <row r="60" spans="1:8" x14ac:dyDescent="0.35">
      <c r="A60" s="11" t="s">
        <v>188</v>
      </c>
      <c r="B60" s="11" t="s">
        <v>189</v>
      </c>
      <c r="C60" s="11">
        <v>10</v>
      </c>
      <c r="D60" s="11">
        <v>0.5</v>
      </c>
      <c r="E60" s="11">
        <v>174</v>
      </c>
      <c r="F60" s="11">
        <v>184</v>
      </c>
      <c r="G60" s="11" t="s">
        <v>74</v>
      </c>
      <c r="H60" s="11" t="s">
        <v>190</v>
      </c>
    </row>
    <row r="61" spans="1:8" x14ac:dyDescent="0.35">
      <c r="A61" s="12"/>
      <c r="B61" s="12" t="s">
        <v>191</v>
      </c>
      <c r="C61" s="12">
        <f>SUM(C59:C60)</f>
        <v>30</v>
      </c>
      <c r="D61" s="12"/>
      <c r="E61" s="12">
        <f>SUM(E59:E60)</f>
        <v>1044</v>
      </c>
      <c r="F61" s="12">
        <f>SUM(F59:F60)</f>
        <v>1074</v>
      </c>
      <c r="G61" s="12"/>
      <c r="H61" s="12"/>
    </row>
    <row r="63" spans="1:8" x14ac:dyDescent="0.35">
      <c r="A63" s="10" t="s">
        <v>192</v>
      </c>
      <c r="B63" s="10" t="s">
        <v>193</v>
      </c>
      <c r="C63" s="10"/>
      <c r="D63" s="10"/>
      <c r="E63" s="10"/>
      <c r="F63" s="10"/>
      <c r="G63" s="10"/>
      <c r="H63" s="10"/>
    </row>
    <row r="64" spans="1:8" x14ac:dyDescent="0.35">
      <c r="A64" s="13" t="s">
        <v>194</v>
      </c>
      <c r="B64" s="13" t="s">
        <v>195</v>
      </c>
      <c r="C64" s="13">
        <v>900</v>
      </c>
      <c r="D64" s="13">
        <v>2</v>
      </c>
      <c r="E64" s="13">
        <v>696</v>
      </c>
      <c r="F64" s="13">
        <v>1596</v>
      </c>
      <c r="G64" s="13" t="s">
        <v>90</v>
      </c>
      <c r="H64" s="13" t="s">
        <v>196</v>
      </c>
    </row>
    <row r="65" spans="1:8" x14ac:dyDescent="0.35">
      <c r="A65" s="13" t="s">
        <v>197</v>
      </c>
      <c r="B65" s="13" t="s">
        <v>198</v>
      </c>
      <c r="C65" s="13">
        <v>250</v>
      </c>
      <c r="D65" s="13">
        <v>1.5</v>
      </c>
      <c r="E65" s="13">
        <v>522</v>
      </c>
      <c r="F65" s="13">
        <v>772</v>
      </c>
      <c r="G65" s="13" t="s">
        <v>90</v>
      </c>
      <c r="H65" s="13" t="s">
        <v>199</v>
      </c>
    </row>
    <row r="66" spans="1:8" x14ac:dyDescent="0.35">
      <c r="A66" s="13" t="s">
        <v>200</v>
      </c>
      <c r="B66" s="13" t="s">
        <v>201</v>
      </c>
      <c r="C66" s="13">
        <v>500</v>
      </c>
      <c r="D66" s="13">
        <v>2</v>
      </c>
      <c r="E66" s="13">
        <v>696</v>
      </c>
      <c r="F66" s="13">
        <v>1196</v>
      </c>
      <c r="G66" s="13" t="s">
        <v>90</v>
      </c>
      <c r="H66" s="13" t="s">
        <v>202</v>
      </c>
    </row>
    <row r="67" spans="1:8" x14ac:dyDescent="0.35">
      <c r="A67" s="12"/>
      <c r="B67" s="12" t="s">
        <v>203</v>
      </c>
      <c r="C67" s="12">
        <f>SUM(C64:C66)</f>
        <v>1650</v>
      </c>
      <c r="D67" s="12"/>
      <c r="E67" s="12">
        <f>SUM(E64:E66)</f>
        <v>1914</v>
      </c>
      <c r="F67" s="12">
        <f>SUM(F64:F66)</f>
        <v>3564</v>
      </c>
      <c r="G67" s="12"/>
      <c r="H67" s="12"/>
    </row>
    <row r="69" spans="1:8" x14ac:dyDescent="0.35">
      <c r="A69" s="6" t="s">
        <v>204</v>
      </c>
      <c r="B69" s="6" t="s">
        <v>205</v>
      </c>
    </row>
    <row r="70" spans="1:8" x14ac:dyDescent="0.35">
      <c r="A70" t="s">
        <v>206</v>
      </c>
      <c r="B70" t="s">
        <v>207</v>
      </c>
      <c r="C70">
        <v>15</v>
      </c>
      <c r="D70">
        <v>0.25</v>
      </c>
      <c r="E70">
        <v>87</v>
      </c>
      <c r="F70">
        <v>102</v>
      </c>
      <c r="G70" t="s">
        <v>74</v>
      </c>
      <c r="H70" t="s">
        <v>208</v>
      </c>
    </row>
    <row r="71" spans="1:8" x14ac:dyDescent="0.35">
      <c r="A71" t="s">
        <v>209</v>
      </c>
      <c r="B71" t="s">
        <v>210</v>
      </c>
      <c r="C71">
        <v>20</v>
      </c>
      <c r="D71">
        <v>0.25</v>
      </c>
      <c r="E71">
        <v>87</v>
      </c>
      <c r="F71">
        <v>107</v>
      </c>
      <c r="G71" t="s">
        <v>74</v>
      </c>
      <c r="H71" t="s">
        <v>211</v>
      </c>
    </row>
    <row r="72" spans="1:8" x14ac:dyDescent="0.35">
      <c r="A72" t="s">
        <v>212</v>
      </c>
      <c r="B72" t="s">
        <v>213</v>
      </c>
      <c r="C72">
        <v>10</v>
      </c>
      <c r="D72">
        <v>0.15</v>
      </c>
      <c r="E72">
        <v>52.2</v>
      </c>
      <c r="F72">
        <v>62.2</v>
      </c>
      <c r="G72" t="s">
        <v>74</v>
      </c>
      <c r="H72" t="s">
        <v>214</v>
      </c>
    </row>
    <row r="73" spans="1:8" x14ac:dyDescent="0.35">
      <c r="A73" t="s">
        <v>215</v>
      </c>
      <c r="B73" t="s">
        <v>216</v>
      </c>
      <c r="C73">
        <v>5</v>
      </c>
      <c r="D73">
        <v>0.1</v>
      </c>
      <c r="E73">
        <v>34.799999999999997</v>
      </c>
      <c r="F73">
        <v>39.799999999999997</v>
      </c>
      <c r="G73" t="s">
        <v>74</v>
      </c>
      <c r="H73" t="s">
        <v>217</v>
      </c>
    </row>
    <row r="74" spans="1:8" x14ac:dyDescent="0.35">
      <c r="A74" t="s">
        <v>218</v>
      </c>
      <c r="B74" t="s">
        <v>219</v>
      </c>
      <c r="C74">
        <v>25</v>
      </c>
      <c r="D74">
        <v>0.1</v>
      </c>
      <c r="E74">
        <v>34.799999999999997</v>
      </c>
      <c r="F74">
        <v>59.8</v>
      </c>
      <c r="G74" t="s">
        <v>90</v>
      </c>
      <c r="H74" t="s">
        <v>220</v>
      </c>
    </row>
    <row r="75" spans="1:8" x14ac:dyDescent="0.35">
      <c r="A75" t="s">
        <v>221</v>
      </c>
      <c r="B75" t="s">
        <v>222</v>
      </c>
      <c r="C75">
        <v>50</v>
      </c>
      <c r="D75">
        <v>0.1</v>
      </c>
      <c r="E75">
        <v>34.799999999999997</v>
      </c>
      <c r="F75">
        <v>84.8</v>
      </c>
      <c r="G75" t="s">
        <v>74</v>
      </c>
      <c r="H75" t="s">
        <v>223</v>
      </c>
    </row>
    <row r="77" spans="1:8" x14ac:dyDescent="0.35">
      <c r="B77" s="6" t="s">
        <v>224</v>
      </c>
      <c r="C77">
        <f>SUM(C70:C75)</f>
        <v>125</v>
      </c>
      <c r="E77">
        <f>SUM(E70:E75)</f>
        <v>330.6</v>
      </c>
      <c r="F77">
        <f>SUM(F70:F75)</f>
        <v>455.6</v>
      </c>
    </row>
    <row r="83" spans="1:8" x14ac:dyDescent="0.35">
      <c r="A83" s="14"/>
      <c r="B83" s="14" t="s">
        <v>225</v>
      </c>
      <c r="C83" s="14">
        <f>C12+C21+C34+C42+C50+C56+C61</f>
        <v>6872.2000000000007</v>
      </c>
      <c r="D83" s="14"/>
      <c r="E83" s="14">
        <f>E12+E21+E34+E42+E50+E56+E61</f>
        <v>5964.4000000000005</v>
      </c>
      <c r="F83" s="14">
        <f>F12+F21+F34+F42+F50+F56+F61</f>
        <v>13148.199999999999</v>
      </c>
      <c r="G83" s="14"/>
      <c r="H83" s="14"/>
    </row>
    <row r="84" spans="1:8" x14ac:dyDescent="0.35">
      <c r="A84" s="14"/>
      <c r="B84" s="14" t="s">
        <v>226</v>
      </c>
      <c r="C84" s="14">
        <f>C67</f>
        <v>1650</v>
      </c>
      <c r="D84" s="14"/>
      <c r="E84" s="14">
        <f>E67</f>
        <v>1914</v>
      </c>
      <c r="F84" s="14">
        <f>F67</f>
        <v>3564</v>
      </c>
      <c r="G84" s="14"/>
      <c r="H84" s="14"/>
    </row>
    <row r="85" spans="1:8" ht="15.5" x14ac:dyDescent="0.35">
      <c r="A85" s="15"/>
      <c r="B85" s="23" t="s">
        <v>227</v>
      </c>
      <c r="C85" s="15">
        <f>C77</f>
        <v>125</v>
      </c>
      <c r="D85" s="15"/>
      <c r="E85" s="15">
        <f>E77</f>
        <v>330.6</v>
      </c>
      <c r="F85" s="15">
        <f>F77</f>
        <v>455.6</v>
      </c>
      <c r="G85" s="15"/>
      <c r="H85" s="15"/>
    </row>
    <row r="87" spans="1:8" x14ac:dyDescent="0.35">
      <c r="A87" s="14"/>
      <c r="B87" s="24" t="s">
        <v>228</v>
      </c>
      <c r="C87" s="14">
        <f>C83+C84+C85</f>
        <v>8647.2000000000007</v>
      </c>
      <c r="D87" s="14"/>
      <c r="E87" s="14">
        <f>E83+E84+E85</f>
        <v>8209</v>
      </c>
      <c r="F87" s="14">
        <f>F83+F84+F85</f>
        <v>17167.799999999996</v>
      </c>
      <c r="G87" s="14"/>
      <c r="H87" s="14"/>
    </row>
    <row r="88" spans="1:8" ht="15.5" x14ac:dyDescent="0.35">
      <c r="A88" s="15"/>
      <c r="B88" s="15"/>
      <c r="C88" s="15"/>
      <c r="D88" s="15"/>
      <c r="E88" s="15"/>
      <c r="F88" s="15"/>
      <c r="G88" s="15"/>
      <c r="H88" s="15"/>
    </row>
    <row r="89" spans="1:8" x14ac:dyDescent="0.35">
      <c r="B89" t="s">
        <v>229</v>
      </c>
      <c r="F89">
        <f>F87*0.3</f>
        <v>5150.3399999999983</v>
      </c>
      <c r="H89" t="s">
        <v>230</v>
      </c>
    </row>
    <row r="90" spans="1:8" ht="15.5" x14ac:dyDescent="0.35">
      <c r="A90" s="16"/>
      <c r="B90" s="16" t="s">
        <v>231</v>
      </c>
      <c r="F90">
        <f>F87+F89</f>
        <v>22318.139999999992</v>
      </c>
    </row>
    <row r="92" spans="1:8" x14ac:dyDescent="0.35">
      <c r="A92" s="21" t="s">
        <v>232</v>
      </c>
    </row>
    <row r="93" spans="1:8" x14ac:dyDescent="0.35">
      <c r="A93" t="s">
        <v>233</v>
      </c>
      <c r="B93" t="s">
        <v>234</v>
      </c>
    </row>
    <row r="94" spans="1:8" x14ac:dyDescent="0.35">
      <c r="A94" t="s">
        <v>235</v>
      </c>
      <c r="B94" t="s">
        <v>236</v>
      </c>
    </row>
    <row r="95" spans="1:8" x14ac:dyDescent="0.35">
      <c r="A95" t="s">
        <v>237</v>
      </c>
      <c r="B95" t="s">
        <v>238</v>
      </c>
    </row>
    <row r="96" spans="1:8" x14ac:dyDescent="0.35">
      <c r="A96" t="s">
        <v>239</v>
      </c>
      <c r="B96" t="s">
        <v>240</v>
      </c>
    </row>
    <row r="97" spans="1:2" ht="15.5" x14ac:dyDescent="0.35">
      <c r="A97" s="16" t="s">
        <v>241</v>
      </c>
      <c r="B97" t="s">
        <v>242</v>
      </c>
    </row>
    <row r="98" spans="1:2" x14ac:dyDescent="0.35">
      <c r="A98" t="s">
        <v>243</v>
      </c>
      <c r="B98" t="s">
        <v>244</v>
      </c>
    </row>
    <row r="99" spans="1:2" x14ac:dyDescent="0.35">
      <c r="A99" t="s">
        <v>245</v>
      </c>
      <c r="B99" t="s">
        <v>246</v>
      </c>
    </row>
    <row r="100" spans="1:2" x14ac:dyDescent="0.35">
      <c r="A100" t="s">
        <v>247</v>
      </c>
      <c r="B100" t="s">
        <v>248</v>
      </c>
    </row>
    <row r="101" spans="1:2" x14ac:dyDescent="0.35">
      <c r="A101" t="s">
        <v>249</v>
      </c>
      <c r="B101" t="s">
        <v>250</v>
      </c>
    </row>
    <row r="103" spans="1:2" x14ac:dyDescent="0.35">
      <c r="A103" s="21" t="s">
        <v>251</v>
      </c>
    </row>
    <row r="104" spans="1:2" x14ac:dyDescent="0.35">
      <c r="A104" t="s">
        <v>252</v>
      </c>
      <c r="B104" t="s">
        <v>253</v>
      </c>
    </row>
    <row r="105" spans="1:2" x14ac:dyDescent="0.35">
      <c r="A105" t="s">
        <v>254</v>
      </c>
      <c r="B105" t="s">
        <v>255</v>
      </c>
    </row>
    <row r="106" spans="1:2" x14ac:dyDescent="0.35">
      <c r="A106" t="s">
        <v>256</v>
      </c>
      <c r="B106" t="s">
        <v>257</v>
      </c>
    </row>
    <row r="107" spans="1:2" x14ac:dyDescent="0.35">
      <c r="A107" t="s">
        <v>258</v>
      </c>
      <c r="B107" t="s">
        <v>259</v>
      </c>
    </row>
    <row r="108" spans="1:2" x14ac:dyDescent="0.35">
      <c r="A108" t="s">
        <v>260</v>
      </c>
      <c r="B108" t="s">
        <v>261</v>
      </c>
    </row>
    <row r="109" spans="1:2" x14ac:dyDescent="0.35">
      <c r="A109" t="s">
        <v>262</v>
      </c>
      <c r="B109" t="s">
        <v>263</v>
      </c>
    </row>
    <row r="110" spans="1:2" x14ac:dyDescent="0.35">
      <c r="A110" t="s">
        <v>264</v>
      </c>
      <c r="B110" t="s">
        <v>265</v>
      </c>
    </row>
    <row r="111" spans="1:2" x14ac:dyDescent="0.35">
      <c r="A111" t="s">
        <v>266</v>
      </c>
      <c r="B111" t="s">
        <v>267</v>
      </c>
    </row>
  </sheetData>
  <hyperlinks>
    <hyperlink ref="H8" location="'SSA quote from R&amp;K'!A1" display="R&amp;K quote July 2025: $311,600/unit x 16. 476.3 MHz CW." xr:uid="{F8C3BB3A-4A02-4DD8-BD61-9B761CA1DE88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3"/>
  <sheetViews>
    <sheetView workbookViewId="0"/>
  </sheetViews>
  <sheetFormatPr defaultRowHeight="14.5" x14ac:dyDescent="0.35"/>
  <cols>
    <col min="1" max="1" width="35" customWidth="1"/>
    <col min="2" max="2" width="25" customWidth="1"/>
    <col min="3" max="3" width="60" customWidth="1"/>
    <col min="4" max="4" width="18" customWidth="1"/>
    <col min="5" max="6" width="15" customWidth="1"/>
    <col min="7" max="7" width="45" customWidth="1"/>
  </cols>
  <sheetData>
    <row r="1" spans="1:7" ht="18.5" x14ac:dyDescent="0.45">
      <c r="A1" s="7" t="s">
        <v>268</v>
      </c>
    </row>
    <row r="2" spans="1:7" x14ac:dyDescent="0.35">
      <c r="A2" s="8" t="s">
        <v>269</v>
      </c>
    </row>
    <row r="4" spans="1:7" x14ac:dyDescent="0.35">
      <c r="A4" s="9" t="s">
        <v>270</v>
      </c>
      <c r="B4" s="9" t="s">
        <v>271</v>
      </c>
      <c r="C4" s="9" t="s">
        <v>272</v>
      </c>
      <c r="D4" s="9" t="s">
        <v>273</v>
      </c>
      <c r="E4" s="9" t="s">
        <v>274</v>
      </c>
      <c r="F4" s="9" t="s">
        <v>275</v>
      </c>
      <c r="G4" s="9" t="s">
        <v>276</v>
      </c>
    </row>
    <row r="6" spans="1:7" x14ac:dyDescent="0.35">
      <c r="A6" s="10" t="s">
        <v>277</v>
      </c>
      <c r="B6" s="18"/>
      <c r="C6" s="18"/>
      <c r="D6" s="18"/>
      <c r="E6" s="18"/>
      <c r="F6" s="18"/>
      <c r="G6" s="18"/>
    </row>
    <row r="7" spans="1:7" x14ac:dyDescent="0.35">
      <c r="A7" s="11" t="s">
        <v>278</v>
      </c>
      <c r="B7" s="11" t="s">
        <v>279</v>
      </c>
      <c r="C7" s="19" t="s">
        <v>280</v>
      </c>
      <c r="D7" s="11" t="s">
        <v>281</v>
      </c>
      <c r="E7" s="11" t="s">
        <v>282</v>
      </c>
      <c r="F7" s="11" t="s">
        <v>283</v>
      </c>
      <c r="G7" s="11" t="s">
        <v>284</v>
      </c>
    </row>
    <row r="8" spans="1:7" x14ac:dyDescent="0.35">
      <c r="A8" s="11" t="s">
        <v>285</v>
      </c>
      <c r="B8" s="11" t="s">
        <v>286</v>
      </c>
      <c r="C8" s="19" t="s">
        <v>287</v>
      </c>
      <c r="D8" s="11" t="s">
        <v>288</v>
      </c>
      <c r="E8" s="11" t="s">
        <v>289</v>
      </c>
      <c r="F8" s="11" t="s">
        <v>290</v>
      </c>
      <c r="G8" s="11" t="s">
        <v>291</v>
      </c>
    </row>
    <row r="10" spans="1:7" x14ac:dyDescent="0.35">
      <c r="A10" s="10" t="s">
        <v>292</v>
      </c>
      <c r="B10" s="18"/>
      <c r="C10" s="18"/>
      <c r="D10" s="18"/>
      <c r="E10" s="18"/>
      <c r="F10" s="18"/>
      <c r="G10" s="18"/>
    </row>
    <row r="11" spans="1:7" x14ac:dyDescent="0.35">
      <c r="A11" s="11" t="s">
        <v>293</v>
      </c>
      <c r="B11" s="11" t="s">
        <v>294</v>
      </c>
      <c r="C11" s="19" t="s">
        <v>295</v>
      </c>
      <c r="D11" s="11" t="s">
        <v>296</v>
      </c>
      <c r="E11" s="11" t="s">
        <v>297</v>
      </c>
      <c r="F11" s="11" t="s">
        <v>298</v>
      </c>
      <c r="G11" s="11" t="s">
        <v>299</v>
      </c>
    </row>
    <row r="12" spans="1:7" x14ac:dyDescent="0.35">
      <c r="A12" s="11" t="s">
        <v>300</v>
      </c>
      <c r="B12" s="11" t="s">
        <v>301</v>
      </c>
      <c r="C12" s="19" t="s">
        <v>302</v>
      </c>
      <c r="D12" s="11" t="s">
        <v>303</v>
      </c>
      <c r="E12" s="11" t="s">
        <v>304</v>
      </c>
      <c r="F12" s="11" t="s">
        <v>298</v>
      </c>
      <c r="G12" s="11" t="s">
        <v>305</v>
      </c>
    </row>
    <row r="13" spans="1:7" x14ac:dyDescent="0.35">
      <c r="A13" s="11" t="s">
        <v>306</v>
      </c>
      <c r="B13" s="11" t="s">
        <v>294</v>
      </c>
      <c r="C13" s="19" t="s">
        <v>295</v>
      </c>
      <c r="D13" s="11" t="s">
        <v>307</v>
      </c>
      <c r="E13" s="11" t="s">
        <v>308</v>
      </c>
      <c r="F13" s="11" t="s">
        <v>298</v>
      </c>
      <c r="G13" s="11" t="s">
        <v>309</v>
      </c>
    </row>
    <row r="14" spans="1:7" x14ac:dyDescent="0.35">
      <c r="A14" s="11" t="s">
        <v>310</v>
      </c>
      <c r="B14" s="11" t="s">
        <v>286</v>
      </c>
      <c r="C14" s="19" t="s">
        <v>311</v>
      </c>
      <c r="D14" s="11" t="s">
        <v>312</v>
      </c>
      <c r="E14" s="11" t="s">
        <v>313</v>
      </c>
      <c r="F14" s="11" t="s">
        <v>314</v>
      </c>
      <c r="G14" s="11" t="s">
        <v>315</v>
      </c>
    </row>
    <row r="15" spans="1:7" x14ac:dyDescent="0.35">
      <c r="A15" s="11" t="s">
        <v>316</v>
      </c>
      <c r="B15" s="11" t="s">
        <v>317</v>
      </c>
      <c r="C15" s="19" t="s">
        <v>287</v>
      </c>
      <c r="D15" s="11" t="s">
        <v>318</v>
      </c>
      <c r="E15" s="11" t="s">
        <v>289</v>
      </c>
      <c r="F15" s="11" t="s">
        <v>290</v>
      </c>
      <c r="G15" s="11" t="s">
        <v>319</v>
      </c>
    </row>
    <row r="16" spans="1:7" x14ac:dyDescent="0.35">
      <c r="A16" s="11" t="s">
        <v>320</v>
      </c>
      <c r="B16" s="11" t="s">
        <v>294</v>
      </c>
      <c r="C16" s="19" t="s">
        <v>295</v>
      </c>
      <c r="D16" s="11" t="s">
        <v>321</v>
      </c>
      <c r="E16" s="11" t="s">
        <v>304</v>
      </c>
      <c r="F16" s="11" t="s">
        <v>298</v>
      </c>
      <c r="G16" s="11" t="s">
        <v>322</v>
      </c>
    </row>
    <row r="17" spans="1:7" x14ac:dyDescent="0.35">
      <c r="A17" s="11" t="s">
        <v>323</v>
      </c>
      <c r="B17" s="11" t="s">
        <v>294</v>
      </c>
      <c r="C17" s="19" t="s">
        <v>324</v>
      </c>
      <c r="D17" s="11" t="s">
        <v>325</v>
      </c>
      <c r="E17" s="11" t="s">
        <v>326</v>
      </c>
      <c r="F17" s="11" t="s">
        <v>327</v>
      </c>
      <c r="G17" s="11" t="s">
        <v>328</v>
      </c>
    </row>
    <row r="18" spans="1:7" x14ac:dyDescent="0.35">
      <c r="A18" s="11" t="s">
        <v>329</v>
      </c>
      <c r="B18" s="11" t="s">
        <v>330</v>
      </c>
      <c r="C18" s="19" t="s">
        <v>295</v>
      </c>
      <c r="D18" s="11" t="s">
        <v>331</v>
      </c>
      <c r="E18" s="11" t="s">
        <v>332</v>
      </c>
      <c r="F18" s="11" t="s">
        <v>298</v>
      </c>
      <c r="G18" s="11" t="s">
        <v>333</v>
      </c>
    </row>
    <row r="19" spans="1:7" x14ac:dyDescent="0.35">
      <c r="A19" s="11" t="s">
        <v>334</v>
      </c>
      <c r="B19" s="11" t="s">
        <v>335</v>
      </c>
      <c r="C19" s="19" t="s">
        <v>336</v>
      </c>
      <c r="D19" s="11" t="s">
        <v>337</v>
      </c>
      <c r="E19" s="11" t="s">
        <v>338</v>
      </c>
      <c r="F19" s="11" t="s">
        <v>298</v>
      </c>
      <c r="G19" s="11" t="s">
        <v>339</v>
      </c>
    </row>
    <row r="21" spans="1:7" x14ac:dyDescent="0.35">
      <c r="A21" s="10" t="s">
        <v>340</v>
      </c>
      <c r="B21" s="18"/>
      <c r="C21" s="18"/>
      <c r="D21" s="18"/>
      <c r="E21" s="18"/>
      <c r="F21" s="18"/>
      <c r="G21" s="18"/>
    </row>
    <row r="22" spans="1:7" x14ac:dyDescent="0.35">
      <c r="A22" s="11" t="s">
        <v>341</v>
      </c>
      <c r="B22" s="11" t="s">
        <v>342</v>
      </c>
      <c r="C22" s="19" t="s">
        <v>343</v>
      </c>
      <c r="D22" s="11" t="s">
        <v>344</v>
      </c>
      <c r="E22" s="11" t="s">
        <v>345</v>
      </c>
      <c r="F22" s="11" t="s">
        <v>346</v>
      </c>
      <c r="G22" s="11" t="s">
        <v>347</v>
      </c>
    </row>
    <row r="23" spans="1:7" x14ac:dyDescent="0.35">
      <c r="A23" s="11" t="s">
        <v>348</v>
      </c>
      <c r="B23" s="11" t="s">
        <v>342</v>
      </c>
      <c r="C23" s="19" t="s">
        <v>349</v>
      </c>
      <c r="D23" s="11" t="s">
        <v>344</v>
      </c>
      <c r="E23" s="11" t="s">
        <v>350</v>
      </c>
      <c r="F23" s="11" t="s">
        <v>351</v>
      </c>
      <c r="G23" s="11" t="s">
        <v>352</v>
      </c>
    </row>
    <row r="24" spans="1:7" x14ac:dyDescent="0.35">
      <c r="A24" s="11" t="s">
        <v>353</v>
      </c>
      <c r="B24" s="11" t="s">
        <v>354</v>
      </c>
      <c r="C24" s="19" t="s">
        <v>355</v>
      </c>
      <c r="D24" s="11" t="s">
        <v>356</v>
      </c>
      <c r="E24" s="11" t="s">
        <v>357</v>
      </c>
      <c r="F24" s="11" t="s">
        <v>358</v>
      </c>
      <c r="G24" s="11" t="s">
        <v>359</v>
      </c>
    </row>
    <row r="25" spans="1:7" x14ac:dyDescent="0.35">
      <c r="A25" s="11" t="s">
        <v>360</v>
      </c>
      <c r="B25" s="11" t="s">
        <v>354</v>
      </c>
      <c r="C25" s="19" t="s">
        <v>355</v>
      </c>
      <c r="D25" s="11" t="s">
        <v>361</v>
      </c>
      <c r="E25" s="11" t="s">
        <v>362</v>
      </c>
      <c r="F25" s="11" t="s">
        <v>358</v>
      </c>
      <c r="G25" s="11" t="s">
        <v>363</v>
      </c>
    </row>
    <row r="26" spans="1:7" x14ac:dyDescent="0.35">
      <c r="A26" s="11" t="s">
        <v>364</v>
      </c>
      <c r="B26" s="11" t="s">
        <v>354</v>
      </c>
      <c r="C26" s="19" t="s">
        <v>355</v>
      </c>
      <c r="D26" s="11" t="s">
        <v>365</v>
      </c>
      <c r="E26" s="11" t="s">
        <v>366</v>
      </c>
      <c r="F26" s="11" t="s">
        <v>358</v>
      </c>
      <c r="G26" s="11" t="s">
        <v>367</v>
      </c>
    </row>
    <row r="27" spans="1:7" x14ac:dyDescent="0.35">
      <c r="A27" s="11" t="s">
        <v>368</v>
      </c>
      <c r="B27" s="11" t="s">
        <v>354</v>
      </c>
      <c r="C27" s="19" t="s">
        <v>355</v>
      </c>
      <c r="D27" s="11" t="s">
        <v>369</v>
      </c>
      <c r="E27" s="11" t="s">
        <v>370</v>
      </c>
      <c r="F27" s="11" t="s">
        <v>358</v>
      </c>
      <c r="G27" s="11" t="s">
        <v>371</v>
      </c>
    </row>
    <row r="28" spans="1:7" x14ac:dyDescent="0.35">
      <c r="A28" s="11" t="s">
        <v>372</v>
      </c>
      <c r="B28" s="11" t="s">
        <v>354</v>
      </c>
      <c r="C28" s="19" t="s">
        <v>355</v>
      </c>
      <c r="D28" s="11" t="s">
        <v>373</v>
      </c>
      <c r="E28" s="11" t="s">
        <v>374</v>
      </c>
      <c r="F28" s="11" t="s">
        <v>358</v>
      </c>
      <c r="G28" s="11" t="s">
        <v>375</v>
      </c>
    </row>
    <row r="29" spans="1:7" x14ac:dyDescent="0.35">
      <c r="A29" s="11" t="s">
        <v>376</v>
      </c>
      <c r="B29" s="11" t="s">
        <v>354</v>
      </c>
      <c r="C29" s="19" t="s">
        <v>355</v>
      </c>
      <c r="D29" s="11" t="s">
        <v>377</v>
      </c>
      <c r="E29" s="11" t="s">
        <v>378</v>
      </c>
      <c r="F29" s="11" t="s">
        <v>358</v>
      </c>
      <c r="G29" s="11" t="s">
        <v>379</v>
      </c>
    </row>
    <row r="30" spans="1:7" x14ac:dyDescent="0.35">
      <c r="A30" s="11" t="s">
        <v>380</v>
      </c>
      <c r="B30" s="11" t="s">
        <v>354</v>
      </c>
      <c r="C30" s="19" t="s">
        <v>355</v>
      </c>
      <c r="D30" s="11" t="s">
        <v>381</v>
      </c>
      <c r="E30" s="11" t="s">
        <v>382</v>
      </c>
      <c r="F30" s="11" t="s">
        <v>358</v>
      </c>
      <c r="G30" s="11" t="s">
        <v>383</v>
      </c>
    </row>
    <row r="31" spans="1:7" x14ac:dyDescent="0.35">
      <c r="A31" s="11" t="s">
        <v>384</v>
      </c>
      <c r="B31" s="11" t="s">
        <v>354</v>
      </c>
      <c r="C31" s="11"/>
      <c r="D31" s="11" t="s">
        <v>385</v>
      </c>
      <c r="E31" s="11" t="s">
        <v>386</v>
      </c>
      <c r="F31" s="11" t="s">
        <v>358</v>
      </c>
      <c r="G31" s="11" t="s">
        <v>387</v>
      </c>
    </row>
    <row r="32" spans="1:7" x14ac:dyDescent="0.35">
      <c r="A32" s="11" t="s">
        <v>388</v>
      </c>
      <c r="B32" s="11" t="s">
        <v>389</v>
      </c>
      <c r="C32" s="19" t="s">
        <v>390</v>
      </c>
      <c r="D32" s="11" t="s">
        <v>391</v>
      </c>
      <c r="E32" s="11" t="s">
        <v>392</v>
      </c>
      <c r="F32" s="11" t="s">
        <v>393</v>
      </c>
      <c r="G32" s="11" t="s">
        <v>394</v>
      </c>
    </row>
    <row r="33" spans="1:7" x14ac:dyDescent="0.35">
      <c r="A33" s="11" t="s">
        <v>395</v>
      </c>
      <c r="B33" s="11" t="s">
        <v>396</v>
      </c>
      <c r="C33" s="19" t="s">
        <v>397</v>
      </c>
      <c r="D33" s="11" t="s">
        <v>398</v>
      </c>
      <c r="E33" s="11" t="s">
        <v>399</v>
      </c>
      <c r="F33" s="11" t="s">
        <v>400</v>
      </c>
      <c r="G33" s="11" t="s">
        <v>401</v>
      </c>
    </row>
    <row r="34" spans="1:7" x14ac:dyDescent="0.35">
      <c r="A34" s="11" t="s">
        <v>402</v>
      </c>
      <c r="B34" s="11" t="s">
        <v>396</v>
      </c>
      <c r="C34" s="19" t="s">
        <v>397</v>
      </c>
      <c r="D34" s="11" t="s">
        <v>403</v>
      </c>
      <c r="E34" s="11" t="s">
        <v>404</v>
      </c>
      <c r="F34" s="11" t="s">
        <v>400</v>
      </c>
      <c r="G34" s="11" t="s">
        <v>405</v>
      </c>
    </row>
    <row r="35" spans="1:7" x14ac:dyDescent="0.35">
      <c r="A35" s="11" t="s">
        <v>406</v>
      </c>
      <c r="B35" s="11" t="s">
        <v>396</v>
      </c>
      <c r="C35" s="19" t="s">
        <v>407</v>
      </c>
      <c r="D35" s="11" t="s">
        <v>408</v>
      </c>
      <c r="E35" s="11" t="s">
        <v>409</v>
      </c>
      <c r="F35" s="11" t="s">
        <v>400</v>
      </c>
      <c r="G35" s="11" t="s">
        <v>410</v>
      </c>
    </row>
    <row r="36" spans="1:7" x14ac:dyDescent="0.35">
      <c r="A36" s="11" t="s">
        <v>411</v>
      </c>
      <c r="B36" s="11" t="s">
        <v>412</v>
      </c>
      <c r="C36" s="19" t="s">
        <v>413</v>
      </c>
      <c r="D36" s="11" t="s">
        <v>414</v>
      </c>
      <c r="E36" s="11" t="s">
        <v>415</v>
      </c>
      <c r="F36" s="11" t="s">
        <v>358</v>
      </c>
      <c r="G36" s="11" t="s">
        <v>416</v>
      </c>
    </row>
    <row r="37" spans="1:7" x14ac:dyDescent="0.35">
      <c r="A37" s="11" t="s">
        <v>417</v>
      </c>
      <c r="B37" s="11" t="s">
        <v>412</v>
      </c>
      <c r="C37" s="19" t="s">
        <v>413</v>
      </c>
      <c r="D37" s="11" t="s">
        <v>418</v>
      </c>
      <c r="E37" s="11" t="s">
        <v>419</v>
      </c>
      <c r="F37" s="11" t="s">
        <v>358</v>
      </c>
      <c r="G37" s="11" t="s">
        <v>420</v>
      </c>
    </row>
    <row r="39" spans="1:7" x14ac:dyDescent="0.35">
      <c r="A39" s="10" t="s">
        <v>421</v>
      </c>
      <c r="B39" s="18"/>
      <c r="C39" s="18"/>
      <c r="D39" s="18"/>
      <c r="E39" s="18"/>
      <c r="F39" s="18"/>
      <c r="G39" s="18"/>
    </row>
    <row r="40" spans="1:7" x14ac:dyDescent="0.35">
      <c r="A40" s="11" t="s">
        <v>422</v>
      </c>
      <c r="B40" s="11" t="s">
        <v>423</v>
      </c>
      <c r="C40" s="19" t="s">
        <v>424</v>
      </c>
      <c r="D40" s="11" t="s">
        <v>425</v>
      </c>
      <c r="E40" s="11" t="s">
        <v>426</v>
      </c>
      <c r="F40" s="11" t="s">
        <v>427</v>
      </c>
      <c r="G40" s="11" t="s">
        <v>428</v>
      </c>
    </row>
    <row r="41" spans="1:7" x14ac:dyDescent="0.35">
      <c r="A41" s="11" t="s">
        <v>429</v>
      </c>
      <c r="B41" s="11" t="s">
        <v>430</v>
      </c>
      <c r="C41" s="11"/>
      <c r="D41" s="11" t="s">
        <v>431</v>
      </c>
      <c r="E41" s="11" t="s">
        <v>432</v>
      </c>
      <c r="F41" s="11" t="s">
        <v>427</v>
      </c>
      <c r="G41" s="11" t="s">
        <v>433</v>
      </c>
    </row>
    <row r="42" spans="1:7" x14ac:dyDescent="0.35">
      <c r="A42" s="11" t="s">
        <v>434</v>
      </c>
      <c r="B42" s="11" t="s">
        <v>435</v>
      </c>
      <c r="C42" s="11"/>
      <c r="D42" s="11" t="s">
        <v>436</v>
      </c>
      <c r="E42" s="11" t="s">
        <v>437</v>
      </c>
      <c r="F42" s="11" t="s">
        <v>427</v>
      </c>
      <c r="G42" s="11" t="s">
        <v>438</v>
      </c>
    </row>
    <row r="43" spans="1:7" x14ac:dyDescent="0.35">
      <c r="A43" s="11" t="s">
        <v>439</v>
      </c>
      <c r="B43" s="11" t="s">
        <v>440</v>
      </c>
      <c r="C43" s="19" t="s">
        <v>441</v>
      </c>
      <c r="D43" s="11" t="s">
        <v>442</v>
      </c>
      <c r="E43" s="11" t="s">
        <v>443</v>
      </c>
      <c r="F43" s="11" t="s">
        <v>444</v>
      </c>
      <c r="G43" s="11" t="s">
        <v>445</v>
      </c>
    </row>
    <row r="44" spans="1:7" x14ac:dyDescent="0.35">
      <c r="A44" s="11" t="s">
        <v>446</v>
      </c>
      <c r="B44" s="11" t="s">
        <v>447</v>
      </c>
      <c r="C44" s="19" t="s">
        <v>448</v>
      </c>
      <c r="D44" s="11" t="s">
        <v>442</v>
      </c>
      <c r="E44" s="11" t="s">
        <v>443</v>
      </c>
      <c r="F44" s="11" t="s">
        <v>449</v>
      </c>
      <c r="G44" s="11" t="s">
        <v>450</v>
      </c>
    </row>
    <row r="46" spans="1:7" x14ac:dyDescent="0.35">
      <c r="A46" s="21" t="s">
        <v>451</v>
      </c>
    </row>
    <row r="47" spans="1:7" x14ac:dyDescent="0.35">
      <c r="A47" s="22" t="s">
        <v>452</v>
      </c>
      <c r="B47" t="s">
        <v>453</v>
      </c>
    </row>
    <row r="48" spans="1:7" x14ac:dyDescent="0.35">
      <c r="A48" s="22" t="s">
        <v>454</v>
      </c>
      <c r="B48" t="s">
        <v>455</v>
      </c>
    </row>
    <row r="49" spans="1:2" x14ac:dyDescent="0.35">
      <c r="A49" s="22" t="s">
        <v>456</v>
      </c>
      <c r="B49" t="s">
        <v>457</v>
      </c>
    </row>
    <row r="50" spans="1:2" x14ac:dyDescent="0.35">
      <c r="A50" s="22" t="s">
        <v>286</v>
      </c>
      <c r="B50" t="s">
        <v>458</v>
      </c>
    </row>
    <row r="51" spans="1:2" x14ac:dyDescent="0.35">
      <c r="A51" s="22" t="s">
        <v>459</v>
      </c>
      <c r="B51" t="s">
        <v>460</v>
      </c>
    </row>
    <row r="52" spans="1:2" x14ac:dyDescent="0.35">
      <c r="A52" s="22" t="s">
        <v>461</v>
      </c>
      <c r="B52" t="s">
        <v>462</v>
      </c>
    </row>
    <row r="53" spans="1:2" x14ac:dyDescent="0.35">
      <c r="A53" s="22" t="s">
        <v>463</v>
      </c>
      <c r="B53" t="s">
        <v>464</v>
      </c>
    </row>
  </sheetData>
  <hyperlinks>
    <hyperlink ref="C7" r:id="rId1" xr:uid="{00000000-0004-0000-0200-000000000000}"/>
    <hyperlink ref="C8" r:id="rId2" xr:uid="{00000000-0004-0000-0200-000001000000}"/>
    <hyperlink ref="C11" r:id="rId3" xr:uid="{00000000-0004-0000-0200-000002000000}"/>
    <hyperlink ref="C12" r:id="rId4" xr:uid="{00000000-0004-0000-0200-000003000000}"/>
    <hyperlink ref="C13" r:id="rId5" xr:uid="{00000000-0004-0000-0200-000004000000}"/>
    <hyperlink ref="C14" r:id="rId6" xr:uid="{00000000-0004-0000-0200-000005000000}"/>
    <hyperlink ref="C15" r:id="rId7" xr:uid="{00000000-0004-0000-0200-000006000000}"/>
    <hyperlink ref="C16" r:id="rId8" xr:uid="{00000000-0004-0000-0200-000007000000}"/>
    <hyperlink ref="C17" r:id="rId9" xr:uid="{00000000-0004-0000-0200-000008000000}"/>
    <hyperlink ref="C18" r:id="rId10" xr:uid="{00000000-0004-0000-0200-000009000000}"/>
    <hyperlink ref="C19" r:id="rId11" xr:uid="{00000000-0004-0000-0200-00000A000000}"/>
    <hyperlink ref="C22" r:id="rId12" xr:uid="{00000000-0004-0000-0200-00000B000000}"/>
    <hyperlink ref="C23" r:id="rId13" xr:uid="{00000000-0004-0000-0200-00000C000000}"/>
    <hyperlink ref="C24" r:id="rId14" xr:uid="{00000000-0004-0000-0200-00000D000000}"/>
    <hyperlink ref="C25" r:id="rId15" xr:uid="{00000000-0004-0000-0200-00000E000000}"/>
    <hyperlink ref="C26" r:id="rId16" xr:uid="{00000000-0004-0000-0200-00000F000000}"/>
    <hyperlink ref="C27" r:id="rId17" xr:uid="{00000000-0004-0000-0200-000010000000}"/>
    <hyperlink ref="C28" r:id="rId18" xr:uid="{00000000-0004-0000-0200-000011000000}"/>
    <hyperlink ref="C29" r:id="rId19" xr:uid="{00000000-0004-0000-0200-000012000000}"/>
    <hyperlink ref="C30" r:id="rId20" xr:uid="{00000000-0004-0000-0200-000013000000}"/>
    <hyperlink ref="C32" r:id="rId21" xr:uid="{00000000-0004-0000-0200-000014000000}"/>
    <hyperlink ref="C33" r:id="rId22" xr:uid="{00000000-0004-0000-0200-000015000000}"/>
    <hyperlink ref="C34" r:id="rId23" xr:uid="{00000000-0004-0000-0200-000016000000}"/>
    <hyperlink ref="C35" r:id="rId24" xr:uid="{00000000-0004-0000-0200-000017000000}"/>
    <hyperlink ref="C36" r:id="rId25" xr:uid="{00000000-0004-0000-0200-000018000000}"/>
    <hyperlink ref="C37" r:id="rId26" xr:uid="{00000000-0004-0000-0200-000019000000}"/>
    <hyperlink ref="C40" r:id="rId27" xr:uid="{00000000-0004-0000-0200-00001A000000}"/>
    <hyperlink ref="C43" r:id="rId28" xr:uid="{00000000-0004-0000-0200-00001B000000}"/>
    <hyperlink ref="C44" r:id="rId29" xr:uid="{00000000-0004-0000-0200-00001C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H98"/>
  <sheetViews>
    <sheetView workbookViewId="0">
      <selection activeCell="A76" sqref="A76"/>
    </sheetView>
  </sheetViews>
  <sheetFormatPr defaultRowHeight="14.5" x14ac:dyDescent="0.35"/>
  <cols>
    <col min="2" max="2" width="53.1796875" customWidth="1"/>
    <col min="3" max="3" width="10.7265625" customWidth="1"/>
    <col min="4" max="4" width="15.7265625" customWidth="1"/>
    <col min="5" max="5" width="20" customWidth="1"/>
    <col min="7" max="7" width="9.81640625" customWidth="1"/>
    <col min="8" max="8" width="43.81640625" customWidth="1"/>
  </cols>
  <sheetData>
    <row r="3" spans="1:8" x14ac:dyDescent="0.35">
      <c r="B3" t="s">
        <v>465</v>
      </c>
      <c r="G3" t="s">
        <v>466</v>
      </c>
      <c r="H3">
        <v>1740</v>
      </c>
    </row>
    <row r="4" spans="1:8" x14ac:dyDescent="0.35">
      <c r="C4" t="s">
        <v>60</v>
      </c>
      <c r="D4" t="s">
        <v>467</v>
      </c>
      <c r="E4" t="s">
        <v>468</v>
      </c>
      <c r="F4" t="s">
        <v>469</v>
      </c>
      <c r="G4" t="s">
        <v>470</v>
      </c>
      <c r="H4" t="s">
        <v>471</v>
      </c>
    </row>
    <row r="5" spans="1:8" x14ac:dyDescent="0.35">
      <c r="A5" t="s">
        <v>517</v>
      </c>
      <c r="B5" s="3" t="s">
        <v>472</v>
      </c>
    </row>
    <row r="6" spans="1:8" x14ac:dyDescent="0.35">
      <c r="B6" s="1" t="s">
        <v>473</v>
      </c>
      <c r="C6">
        <f>'SSA quote from R&amp;K'!C7/1000</f>
        <v>4.9856000000000007</v>
      </c>
      <c r="G6">
        <f>C6</f>
        <v>4.9856000000000007</v>
      </c>
      <c r="H6" t="s">
        <v>474</v>
      </c>
    </row>
    <row r="7" spans="1:8" x14ac:dyDescent="0.35">
      <c r="A7" t="s">
        <v>538</v>
      </c>
      <c r="B7" s="1"/>
    </row>
    <row r="8" spans="1:8" ht="45" customHeight="1" x14ac:dyDescent="0.35">
      <c r="B8" s="1" t="s">
        <v>475</v>
      </c>
      <c r="D8">
        <f>1*H3</f>
        <v>1740</v>
      </c>
      <c r="E8">
        <v>200</v>
      </c>
      <c r="F8">
        <f>D8*E8/1000</f>
        <v>348</v>
      </c>
      <c r="G8">
        <f>F8</f>
        <v>348</v>
      </c>
      <c r="H8" s="2" t="s">
        <v>476</v>
      </c>
    </row>
    <row r="9" spans="1:8" ht="45" customHeight="1" x14ac:dyDescent="0.35">
      <c r="B9" s="1" t="s">
        <v>477</v>
      </c>
      <c r="C9">
        <v>100</v>
      </c>
      <c r="D9">
        <f>24*160</f>
        <v>3840</v>
      </c>
      <c r="E9">
        <v>200</v>
      </c>
      <c r="F9">
        <f>D9*E9/1000</f>
        <v>768</v>
      </c>
      <c r="G9">
        <f>C9+F9</f>
        <v>868</v>
      </c>
      <c r="H9" s="2" t="s">
        <v>478</v>
      </c>
    </row>
    <row r="10" spans="1:8" x14ac:dyDescent="0.35">
      <c r="B10" s="4" t="s">
        <v>479</v>
      </c>
      <c r="C10">
        <v>10</v>
      </c>
      <c r="D10">
        <f>4*160</f>
        <v>640</v>
      </c>
      <c r="E10">
        <v>200</v>
      </c>
      <c r="F10">
        <f>D10*E10/1000</f>
        <v>128</v>
      </c>
      <c r="G10">
        <f>C10+F10</f>
        <v>138</v>
      </c>
      <c r="H10" t="s">
        <v>480</v>
      </c>
    </row>
    <row r="11" spans="1:8" x14ac:dyDescent="0.35">
      <c r="B11" s="3" t="s">
        <v>481</v>
      </c>
    </row>
    <row r="12" spans="1:8" x14ac:dyDescent="0.35">
      <c r="B12" s="1" t="s">
        <v>482</v>
      </c>
      <c r="C12" s="5">
        <v>398</v>
      </c>
      <c r="D12" s="5">
        <f>0.5*H3</f>
        <v>870</v>
      </c>
      <c r="E12" s="5">
        <v>200</v>
      </c>
      <c r="F12" s="5">
        <f>D12*E12/1000</f>
        <v>174</v>
      </c>
      <c r="G12">
        <f>C12+F12</f>
        <v>572</v>
      </c>
      <c r="H12" s="5" t="s">
        <v>483</v>
      </c>
    </row>
    <row r="13" spans="1:8" x14ac:dyDescent="0.35">
      <c r="A13" t="s">
        <v>7</v>
      </c>
      <c r="B13" s="1" t="s">
        <v>484</v>
      </c>
      <c r="C13" s="5">
        <v>100</v>
      </c>
      <c r="D13" s="5">
        <f>1*H3</f>
        <v>1740</v>
      </c>
      <c r="E13" s="5">
        <v>200</v>
      </c>
      <c r="F13" s="5">
        <f>D13*E13/1000</f>
        <v>348</v>
      </c>
      <c r="G13">
        <f>C13+F13</f>
        <v>448</v>
      </c>
      <c r="H13" s="5" t="s">
        <v>485</v>
      </c>
    </row>
    <row r="14" spans="1:8" x14ac:dyDescent="0.35">
      <c r="B14" s="1" t="s">
        <v>486</v>
      </c>
      <c r="C14" s="5">
        <v>20</v>
      </c>
      <c r="D14" s="5">
        <f>2*H3</f>
        <v>3480</v>
      </c>
      <c r="E14" s="5">
        <v>200</v>
      </c>
      <c r="F14" s="5">
        <f>D14*E14/1000</f>
        <v>696</v>
      </c>
      <c r="G14">
        <f>C14+F14</f>
        <v>716</v>
      </c>
      <c r="H14" s="5" t="s">
        <v>487</v>
      </c>
    </row>
    <row r="15" spans="1:8" x14ac:dyDescent="0.35">
      <c r="A15" t="s">
        <v>518</v>
      </c>
    </row>
    <row r="16" spans="1:8" x14ac:dyDescent="0.35">
      <c r="B16" s="6" t="s">
        <v>488</v>
      </c>
      <c r="C16" s="5">
        <v>1050</v>
      </c>
      <c r="D16" s="5">
        <f>2*H3</f>
        <v>3480</v>
      </c>
      <c r="E16" s="5">
        <v>200</v>
      </c>
      <c r="F16" s="5">
        <f>D16*E16/1000</f>
        <v>696</v>
      </c>
      <c r="G16">
        <f>C16+F16</f>
        <v>1746</v>
      </c>
      <c r="H16" s="5" t="s">
        <v>489</v>
      </c>
    </row>
    <row r="17" spans="1:8" x14ac:dyDescent="0.35">
      <c r="B17" s="5" t="s">
        <v>490</v>
      </c>
      <c r="H17" s="5" t="s">
        <v>491</v>
      </c>
    </row>
    <row r="18" spans="1:8" x14ac:dyDescent="0.35">
      <c r="A18" t="s">
        <v>519</v>
      </c>
      <c r="B18" s="5" t="s">
        <v>492</v>
      </c>
      <c r="H18" s="5" t="s">
        <v>493</v>
      </c>
    </row>
    <row r="19" spans="1:8" x14ac:dyDescent="0.35">
      <c r="A19" t="s">
        <v>11</v>
      </c>
      <c r="B19" s="6" t="s">
        <v>494</v>
      </c>
      <c r="C19" s="5">
        <v>30</v>
      </c>
      <c r="D19" s="5">
        <f>3*H3</f>
        <v>5220</v>
      </c>
      <c r="E19" s="5">
        <v>200</v>
      </c>
      <c r="F19" s="5">
        <f>D19*E19/1000</f>
        <v>1044</v>
      </c>
      <c r="G19">
        <f>C19+F19</f>
        <v>1074</v>
      </c>
      <c r="H19" s="5" t="s">
        <v>495</v>
      </c>
    </row>
    <row r="20" spans="1:8" x14ac:dyDescent="0.35">
      <c r="A20" t="s">
        <v>520</v>
      </c>
    </row>
    <row r="22" spans="1:8" x14ac:dyDescent="0.35">
      <c r="A22" t="s">
        <v>532</v>
      </c>
      <c r="B22" s="6" t="s">
        <v>195</v>
      </c>
      <c r="C22" s="5">
        <v>900</v>
      </c>
      <c r="D22" s="5">
        <f>2*H3</f>
        <v>3480</v>
      </c>
      <c r="E22" s="5">
        <v>200</v>
      </c>
      <c r="F22" s="5">
        <f>D22*E22/1000</f>
        <v>696</v>
      </c>
      <c r="G22">
        <f>C22+F22</f>
        <v>1596</v>
      </c>
      <c r="H22" s="5" t="s">
        <v>496</v>
      </c>
    </row>
    <row r="23" spans="1:8" x14ac:dyDescent="0.35">
      <c r="B23" s="5" t="s">
        <v>497</v>
      </c>
      <c r="H23" s="5" t="s">
        <v>498</v>
      </c>
    </row>
    <row r="24" spans="1:8" x14ac:dyDescent="0.35">
      <c r="B24" s="6" t="s">
        <v>499</v>
      </c>
      <c r="C24" s="5">
        <v>250</v>
      </c>
      <c r="D24" s="5">
        <f>1.5*H3</f>
        <v>2610</v>
      </c>
      <c r="E24" s="5">
        <v>200</v>
      </c>
      <c r="F24" s="5">
        <f>D24*E24/1000</f>
        <v>522</v>
      </c>
      <c r="G24">
        <f>C24+F24</f>
        <v>772</v>
      </c>
      <c r="H24" s="5" t="s">
        <v>500</v>
      </c>
    </row>
    <row r="25" spans="1:8" x14ac:dyDescent="0.35">
      <c r="B25" s="5" t="s">
        <v>501</v>
      </c>
      <c r="H25" s="5" t="s">
        <v>502</v>
      </c>
    </row>
    <row r="26" spans="1:8" x14ac:dyDescent="0.35">
      <c r="B26" s="6" t="s">
        <v>503</v>
      </c>
      <c r="C26" s="5">
        <v>500</v>
      </c>
      <c r="D26" s="5">
        <f>2*H3</f>
        <v>3480</v>
      </c>
      <c r="E26" s="5">
        <v>200</v>
      </c>
      <c r="F26" s="5">
        <f>D26*E26/1000</f>
        <v>696</v>
      </c>
      <c r="G26">
        <f>C26+F26</f>
        <v>1196</v>
      </c>
      <c r="H26" s="5" t="s">
        <v>504</v>
      </c>
    </row>
    <row r="27" spans="1:8" x14ac:dyDescent="0.35">
      <c r="B27" s="5" t="s">
        <v>505</v>
      </c>
      <c r="H27" s="5" t="s">
        <v>506</v>
      </c>
    </row>
    <row r="28" spans="1:8" x14ac:dyDescent="0.35">
      <c r="B28" s="5" t="s">
        <v>507</v>
      </c>
      <c r="H28" s="5" t="s">
        <v>508</v>
      </c>
    </row>
    <row r="30" spans="1:8" x14ac:dyDescent="0.35">
      <c r="B30" s="6" t="s">
        <v>509</v>
      </c>
      <c r="C30" s="5">
        <f>C6+C9+C10+C12+C13+C14+C16+C19+C22+C24+C26</f>
        <v>3362.9856</v>
      </c>
      <c r="D30" s="5">
        <f>D8+D9+D10+D12+D13+D14+D16+D19+D22+D24+D26</f>
        <v>30580</v>
      </c>
      <c r="F30" s="5">
        <f>F8+F9+F10+F12+F13+F14+F16+F19+F22+F24+F26</f>
        <v>6116</v>
      </c>
      <c r="G30" s="5">
        <f>C30+F30</f>
        <v>9478.9856</v>
      </c>
      <c r="H30" s="5" t="s">
        <v>510</v>
      </c>
    </row>
    <row r="31" spans="1:8" x14ac:dyDescent="0.35">
      <c r="B31" s="5" t="s">
        <v>511</v>
      </c>
      <c r="D31" s="5">
        <f>D30/H3</f>
        <v>17.574712643678161</v>
      </c>
      <c r="H31" s="5" t="s">
        <v>512</v>
      </c>
    </row>
    <row r="32" spans="1:8" x14ac:dyDescent="0.35">
      <c r="B32" s="6" t="s">
        <v>513</v>
      </c>
      <c r="H32" s="5" t="s">
        <v>514</v>
      </c>
    </row>
    <row r="36" spans="1:2" x14ac:dyDescent="0.35">
      <c r="A36" t="s">
        <v>521</v>
      </c>
    </row>
    <row r="38" spans="1:2" x14ac:dyDescent="0.35">
      <c r="A38" t="s">
        <v>522</v>
      </c>
      <c r="B38" t="s">
        <v>523</v>
      </c>
    </row>
    <row r="39" spans="1:2" x14ac:dyDescent="0.35">
      <c r="A39" t="s">
        <v>524</v>
      </c>
    </row>
    <row r="40" spans="1:2" x14ac:dyDescent="0.35">
      <c r="A40" t="s">
        <v>526</v>
      </c>
      <c r="B40" t="s">
        <v>525</v>
      </c>
    </row>
    <row r="41" spans="1:2" x14ac:dyDescent="0.35">
      <c r="A41" t="s">
        <v>527</v>
      </c>
    </row>
    <row r="42" spans="1:2" x14ac:dyDescent="0.35">
      <c r="A42" t="s">
        <v>528</v>
      </c>
    </row>
    <row r="61" spans="1:1" x14ac:dyDescent="0.35">
      <c r="A61" t="s">
        <v>38</v>
      </c>
    </row>
    <row r="66" spans="1:1" x14ac:dyDescent="0.35">
      <c r="A66" t="s">
        <v>529</v>
      </c>
    </row>
    <row r="69" spans="1:1" x14ac:dyDescent="0.35">
      <c r="A69" t="s">
        <v>530</v>
      </c>
    </row>
    <row r="73" spans="1:1" x14ac:dyDescent="0.35">
      <c r="A73" t="s">
        <v>44</v>
      </c>
    </row>
    <row r="75" spans="1:1" x14ac:dyDescent="0.35">
      <c r="A75" t="s">
        <v>539</v>
      </c>
    </row>
    <row r="76" spans="1:1" x14ac:dyDescent="0.35">
      <c r="A76" t="e" cm="1">
        <f t="array" ref="A76">- equipment</f>
        <v>#NAME?</v>
      </c>
    </row>
    <row r="79" spans="1:1" x14ac:dyDescent="0.35">
      <c r="A79" t="s">
        <v>45</v>
      </c>
    </row>
    <row r="81" spans="1:1" x14ac:dyDescent="0.35">
      <c r="A81" t="s">
        <v>531</v>
      </c>
    </row>
    <row r="88" spans="1:1" x14ac:dyDescent="0.35">
      <c r="A88" t="s">
        <v>533</v>
      </c>
    </row>
    <row r="91" spans="1:1" x14ac:dyDescent="0.35">
      <c r="A91" t="s">
        <v>534</v>
      </c>
    </row>
    <row r="94" spans="1:1" x14ac:dyDescent="0.35">
      <c r="A94" t="s">
        <v>535</v>
      </c>
    </row>
    <row r="96" spans="1:1" x14ac:dyDescent="0.35">
      <c r="A96" t="s">
        <v>536</v>
      </c>
    </row>
    <row r="98" spans="1:1" x14ac:dyDescent="0.35">
      <c r="A98" t="s">
        <v>537</v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4:C7"/>
  <sheetViews>
    <sheetView zoomScale="85" zoomScaleNormal="85" workbookViewId="0">
      <selection activeCell="I8" sqref="I8"/>
    </sheetView>
  </sheetViews>
  <sheetFormatPr defaultRowHeight="14.5" x14ac:dyDescent="0.35"/>
  <cols>
    <col min="2" max="2" width="13.54296875" customWidth="1"/>
  </cols>
  <sheetData>
    <row r="4" spans="2:3" x14ac:dyDescent="0.35">
      <c r="C4" t="s">
        <v>551</v>
      </c>
    </row>
    <row r="5" spans="2:3" x14ac:dyDescent="0.35">
      <c r="B5" t="s">
        <v>515</v>
      </c>
      <c r="C5">
        <f>311600/1000</f>
        <v>311.60000000000002</v>
      </c>
    </row>
    <row r="7" spans="2:3" x14ac:dyDescent="0.35">
      <c r="B7" t="s">
        <v>516</v>
      </c>
      <c r="C7">
        <f>16*C5</f>
        <v>4985.6000000000004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Scope</vt:lpstr>
      <vt:lpstr>Class 4 Estimate</vt:lpstr>
      <vt:lpstr>Reference Pricing</vt:lpstr>
      <vt:lpstr>cover page</vt:lpstr>
      <vt:lpstr>SSA quote from R&amp;K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Faya</dc:creator>
  <cp:lastModifiedBy>Wang, Faya</cp:lastModifiedBy>
  <dcterms:created xsi:type="dcterms:W3CDTF">2015-06-05T18:17:20Z</dcterms:created>
  <dcterms:modified xsi:type="dcterms:W3CDTF">2026-03-25T17:13:07Z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0x010100162E8B9B8F494F4F9FA5AC6115F8BAFC</vt:lpwstr>
  </property>
  <property fmtid="{D5CDD505-2E9C-101B-9397-08002B2CF9AE}" pid="3" name="MediaServiceImageTags">
    <vt:lpwstr/>
  </property>
</Properties>
</file>