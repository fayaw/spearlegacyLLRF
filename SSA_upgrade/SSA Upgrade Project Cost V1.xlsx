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460" yWindow="5385" windowWidth="20955" windowHeight="16425" tabRatio="600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SSA quote from R&amp;K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 indent="2"/>
    </xf>
    <xf numFmtId="0" fontId="0" fillId="0" borderId="1" applyAlignment="1" pivotButton="0" quotePrefix="0" xfId="0">
      <alignment vertic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H30"/>
  <sheetViews>
    <sheetView tabSelected="1" workbookViewId="0">
      <selection activeCell="E21" sqref="E21"/>
    </sheetView>
  </sheetViews>
  <sheetFormatPr baseColWidth="8" defaultRowHeight="15"/>
  <cols>
    <col width="53.140625" customWidth="1" min="2" max="2"/>
    <col width="10.7109375" customWidth="1" min="3" max="3"/>
    <col width="15.7109375" customWidth="1" min="4" max="4"/>
    <col width="20" customWidth="1" min="5" max="5"/>
    <col width="9.85546875" customWidth="1" min="7" max="7"/>
    <col width="43.85546875" customWidth="1" min="8" max="8"/>
  </cols>
  <sheetData>
    <row r="3">
      <c r="B3" t="inlineStr">
        <is>
          <t>The SSA upgrade project includes follow items</t>
        </is>
      </c>
      <c r="G3" t="inlineStr">
        <is>
          <t>1 FTE(hr)/yr</t>
        </is>
      </c>
      <c r="H3" t="n">
        <v>1740</v>
      </c>
    </row>
    <row r="4">
      <c r="C4" t="inlineStr">
        <is>
          <t>M&amp;S (k$)</t>
        </is>
      </c>
      <c r="D4" t="inlineStr">
        <is>
          <t>Labor (hours)</t>
        </is>
      </c>
      <c r="E4" t="inlineStr">
        <is>
          <t>lablor rate ($/hr)</t>
        </is>
      </c>
      <c r="F4" t="inlineStr">
        <is>
          <t>labor (k$)</t>
        </is>
      </c>
      <c r="G4" t="inlineStr">
        <is>
          <t>Total ($k)</t>
        </is>
      </c>
      <c r="H4" t="inlineStr">
        <is>
          <t>Note</t>
        </is>
      </c>
    </row>
    <row r="5">
      <c r="B5" s="3" t="inlineStr">
        <is>
          <t>1 MW SSA</t>
        </is>
      </c>
    </row>
    <row r="6">
      <c r="B6" s="1" t="inlineStr">
        <is>
          <t>16 of 65kW unit</t>
        </is>
      </c>
      <c r="C6">
        <f>'SSA quote from R&amp;K'!C7/1000</f>
        <v/>
      </c>
      <c r="G6">
        <f>C6</f>
        <v/>
      </c>
      <c r="H6" t="inlineStr">
        <is>
          <t>based on one 65 kW unit quote from R&amp;K in July 2025</t>
        </is>
      </c>
    </row>
    <row r="7" ht="45" customHeight="1">
      <c r="B7" s="1" t="inlineStr">
        <is>
          <t>SSA design study</t>
        </is>
      </c>
      <c r="D7">
        <f>1*H3</f>
        <v/>
      </c>
      <c r="E7" t="n">
        <v>200</v>
      </c>
      <c r="F7">
        <f>D7*E7/1000</f>
        <v/>
      </c>
      <c r="G7">
        <f>F7</f>
        <v/>
      </c>
      <c r="H7" s="2" t="inlineStr">
        <is>
          <t>1) intial design 0.5 FTE for prototype, 2) 0.5 FTE for prototype test and design iteration with the vendor</t>
        </is>
      </c>
    </row>
    <row r="8" ht="45" customHeight="1">
      <c r="B8" s="1" t="inlineStr">
        <is>
          <t>SSA installation and commissioning</t>
        </is>
      </c>
      <c r="C8" t="n">
        <v>100</v>
      </c>
      <c r="D8">
        <f>24*160</f>
        <v/>
      </c>
      <c r="E8" t="n">
        <v>200</v>
      </c>
      <c r="F8">
        <f>D8*E8/1000</f>
        <v/>
      </c>
      <c r="G8">
        <f>C8+F8</f>
        <v/>
      </c>
      <c r="H8" s="2" t="inlineStr">
        <is>
          <t>1) MS for tools and parts; 2) 4 person-3 week per station for installation (12 person-month), 6 person-2-month for commissiong</t>
        </is>
      </c>
    </row>
    <row r="9">
      <c r="B9" s="4" t="inlineStr">
        <is>
          <t>Existing waveguide remove and Cable tray relocation</t>
        </is>
      </c>
      <c r="C9" t="n">
        <v>10</v>
      </c>
      <c r="D9">
        <f>4*160</f>
        <v/>
      </c>
      <c r="E9" t="n">
        <v>200</v>
      </c>
      <c r="F9">
        <f>D9*E9/1000</f>
        <v/>
      </c>
      <c r="G9">
        <f>C9+F9</f>
        <v/>
      </c>
      <c r="H9" t="inlineStr">
        <is>
          <t>1) MS for the extra cable tray; 2) 4 person-1moth work</t>
        </is>
      </c>
    </row>
    <row r="10">
      <c r="B10" s="3" t="inlineStr">
        <is>
          <t>Control Electronics</t>
        </is>
      </c>
    </row>
    <row r="11">
      <c r="B11" s="1" t="inlineStr">
        <is>
          <t>4LLRF9 units</t>
        </is>
      </c>
      <c r="C11" s="5" t="n">
        <v>398</v>
      </c>
      <c r="D11" s="5">
        <f>0.5*H3</f>
        <v/>
      </c>
      <c r="E11" s="5" t="n">
        <v>200</v>
      </c>
      <c r="F11" s="5">
        <f>D11*E11/1000</f>
        <v/>
      </c>
      <c r="G11">
        <f>C11+F11</f>
        <v/>
      </c>
      <c r="H11" s="5" t="inlineStr">
        <is>
          <t>4 × Dimtel LLRF9/500 @ $99.45k each (15% volume discount from $117k list); 0.5 FTE for integration &amp; EPICS IOC configuration</t>
        </is>
      </c>
    </row>
    <row r="12">
      <c r="B12" s="1" t="inlineStr">
        <is>
          <t>MPS</t>
        </is>
      </c>
      <c r="C12" s="5" t="n">
        <v>100</v>
      </c>
      <c r="D12" s="5">
        <f>1*H3</f>
        <v/>
      </c>
      <c r="E12" s="5" t="n">
        <v>200</v>
      </c>
      <c r="F12" s="5">
        <f>D12*E12/1000</f>
        <v/>
      </c>
      <c r="G12">
        <f>C12+F12</f>
        <v/>
      </c>
      <c r="H12" s="5" t="inlineStr">
        <is>
          <t>ControlLogix PLC hardware (~$22k/station × 4), interlock chassis, relay modules, arc detection sensors ($20k), and interface electronics; 1 FTE for design/assembly/testing</t>
        </is>
      </c>
    </row>
    <row r="13">
      <c r="B13" s="1" t="inlineStr">
        <is>
          <t>software</t>
        </is>
      </c>
      <c r="C13" s="5" t="n">
        <v>20</v>
      </c>
      <c r="D13" s="5">
        <f>2*H3</f>
        <v/>
      </c>
      <c r="E13" s="5" t="n">
        <v>200</v>
      </c>
      <c r="F13" s="5">
        <f>D13*E13/1000</f>
        <v/>
      </c>
      <c r="G13">
        <f>C13+F13</f>
        <v/>
      </c>
      <c r="H13" s="5" t="inlineStr">
        <is>
          <t>EPICS IOC development, state machine, fault handling, auto-recovery, operator EDM/CSS panels, MATLAB integration, SSA-specific commissioning tools; 2 FTE for development &amp; commissioning</t>
        </is>
      </c>
    </row>
    <row r="15">
      <c r="B15" s="6" t="inlineStr">
        <is>
          <t>Waveguide runs</t>
        </is>
      </c>
      <c r="C15" s="5" t="n">
        <v>1050</v>
      </c>
      <c r="D15" s="5">
        <f>2*H3</f>
        <v/>
      </c>
      <c r="E15" s="5" t="n">
        <v>200</v>
      </c>
      <c r="F15" s="5">
        <f>D15*E15/1000</f>
        <v/>
      </c>
      <c r="G15">
        <f>C15+F15</f>
        <v/>
      </c>
      <c r="H15" s="5" t="inlineStr">
        <is>
          <t>4 WR2100 waveguide runs to cavities (~$300k); 4 circulators 250kW@476MHz (~$400k); coaxial combiners 6-1/8" to WR2100 (~$200k); loads, transitions, supports/hangers (~$150k); 2 FTE design/install/test</t>
        </is>
      </c>
    </row>
    <row r="16">
      <c r="B16" s="5" t="inlineStr">
        <is>
          <t xml:space="preserve">  Circulators (4 × 250 kW)</t>
        </is>
      </c>
      <c r="H16" s="5" t="inlineStr">
        <is>
          <t>Existing PEP-II 1.5 MW circulators available (per 2/24 mtg notes) — if usable, saves ~$400k; alternative: smaller 250 kW units</t>
        </is>
      </c>
    </row>
    <row r="17">
      <c r="B17" s="5" t="inlineStr">
        <is>
          <t xml:space="preserve">  WR2100 + 6-1/8" coaxial combiner</t>
        </is>
      </c>
      <c r="H17" s="5" t="inlineStr">
        <is>
          <t>Each SSA cabinet outputs 6-1/8" coax → 8:1 coaxial combiner → WR2100 to cavity; waveguide λg ≈ 80.4 cm at 476.3 MHz; lengths must match to ±nλg</t>
        </is>
      </c>
    </row>
    <row r="18">
      <c r="B18" s="6" t="inlineStr">
        <is>
          <t>Project management</t>
        </is>
      </c>
      <c r="C18" s="5" t="n">
        <v>30</v>
      </c>
      <c r="D18" s="5">
        <f>3*H3</f>
        <v/>
      </c>
      <c r="E18" s="5" t="n">
        <v>200</v>
      </c>
      <c r="F18" s="5">
        <f>D18*E18/1000</f>
        <v/>
      </c>
      <c r="G18">
        <f>C18+F18</f>
        <v/>
      </c>
      <c r="H18" s="5" t="inlineStr">
        <is>
          <t>Project management, safety reviews (LOTO, OSHA), coordination with F&amp;O, DOE reviews; ~0.5 FTE avg over 6-year project; M&amp;S for travel/reviews/meetings</t>
        </is>
      </c>
    </row>
    <row r="20">
      <c r="B20" s="6" t="inlineStr">
        <is>
          <t>480 VAC Distribution System</t>
        </is>
      </c>
      <c r="C20" s="5" t="n">
        <v>900</v>
      </c>
      <c r="D20" s="5">
        <f>2*H3</f>
        <v/>
      </c>
      <c r="E20" s="5" t="n">
        <v>200</v>
      </c>
      <c r="F20" s="5">
        <f>D20*E20/1000</f>
        <v/>
      </c>
      <c r="G20">
        <f>C20+F20</f>
        <v/>
      </c>
      <c r="H20" s="5" t="inlineStr">
        <is>
          <t>Based on Substation 507 option ($1-2M per 1/27 mtg); 2.5-3 MVA transformer 12kV→480V outdoor (~$150-200k); 12kV feed from Bldg 507 + switchgear (~$300k); 480V distribution panels/breakers 4-8 buckets per SSA (~$200k); civil, cable, installation (~$200k); 2 FTE electrical engineering/oversight</t>
        </is>
      </c>
    </row>
    <row r="21">
      <c r="B21" s="5" t="inlineStr">
        <is>
          <t xml:space="preserve">  Transformer + 12kV feed</t>
        </is>
      </c>
      <c r="H21" s="5" t="inlineStr">
        <is>
          <t>Primary location: field near SPEAR tunnel entrance (per 2/24 mtg). 12kV from Bldg 507 → transformer → 480V back to SSA racks. Avoid reliance on Substation 502 (uncertain timeline)</t>
        </is>
      </c>
    </row>
    <row r="22">
      <c r="B22" s="6" t="inlineStr">
        <is>
          <t>Cooling water</t>
        </is>
      </c>
      <c r="C22" s="5" t="n">
        <v>250</v>
      </c>
      <c r="D22" s="5">
        <f>1.5*H3</f>
        <v/>
      </c>
      <c r="E22" s="5" t="n">
        <v>200</v>
      </c>
      <c r="F22" s="5">
        <f>D22*E22/1000</f>
        <v/>
      </c>
      <c r="G22">
        <f>C22+F22</f>
        <v/>
      </c>
      <c r="H22" s="5" t="inlineStr">
        <is>
          <t>400 GPM LCW for 4 SSA stations (~100 GPM each, ΔT~10K); upgrade 4" to 6"+ piping ($100-150k); manifolds, valves, flow meters, controls ($50-75k); HCW for loads separate ($25-50k); 1.5 FTE plumbing design + install during summer shutdown</t>
        </is>
      </c>
    </row>
    <row r="23">
      <c r="B23" s="5" t="inlineStr">
        <is>
          <t xml:space="preserve">  LCW piping upgrade</t>
        </is>
      </c>
      <c r="H23" s="5" t="inlineStr">
        <is>
          <t>Option B preferred (new 6"+ connection to main header, per 3/10 mtg). Plumbing mods targeted for 2-month summer downtime. Javier to coordinate with F&amp;O (Ota). Test lab Bldg 122 needs ~15 GPM separately.</t>
        </is>
      </c>
    </row>
    <row r="24">
      <c r="B24" s="6" t="inlineStr">
        <is>
          <t>Infrastructure</t>
        </is>
      </c>
      <c r="C24" s="5" t="n">
        <v>500</v>
      </c>
      <c r="D24" s="5">
        <f>2*H3</f>
        <v/>
      </c>
      <c r="E24" s="5" t="n">
        <v>200</v>
      </c>
      <c r="F24" s="5">
        <f>D24*E24/1000</f>
        <v/>
      </c>
      <c r="G24">
        <f>C24+F24</f>
        <v/>
      </c>
      <c r="H24" s="5" t="inlineStr">
        <is>
          <t>New SSA building extension ~636 sqft + ~300 sqft mezzanine @ ~27 ft height; OSHA-compliant stairway (~25 risers + landing); roll-up door(s) for forklift/rack delivery; HVAC for SSA heat rejection; relocate condensing unit, panels, existing equipment</t>
        </is>
      </c>
    </row>
    <row r="25">
      <c r="B25" s="5" t="inlineStr">
        <is>
          <t xml:space="preserve">  Building extension + mezzanine</t>
        </is>
      </c>
      <c r="H25" s="5" t="inlineStr">
        <is>
          <t>Two-story SSA layout per 2/24 mtg. 9 ft clear height under platform. Structural: remove non-structural shed walls, add new column/I-beam. Seismic compliance. F&amp;O prior estimate for test facility: $1.3M (per 1/27 mtg)</t>
        </is>
      </c>
    </row>
    <row r="26">
      <c r="B26" s="5" t="inlineStr">
        <is>
          <t xml:space="preserve">  Equipment relocation</t>
        </is>
      </c>
      <c r="H26" s="5" t="inlineStr">
        <is>
          <t>Remove old air-handler/chiller behind 507; relocate transformers (2-3), distribution panels, MPS controls cabinets during downtime; cable tray relocation ~10 ft outward between 118 and ring</t>
        </is>
      </c>
    </row>
    <row r="28">
      <c r="B28" s="6" t="inlineStr">
        <is>
          <t>TOTALS</t>
        </is>
      </c>
      <c r="C28" s="5">
        <f>C6+C8+C9+C11+C12+C13+C15+C18+C20+C22+C24</f>
        <v/>
      </c>
      <c r="D28" s="5">
        <f>D7+D8+D9+D11+D12+D13+D15+D18+D20+D22+D24</f>
        <v/>
      </c>
      <c r="F28" s="5">
        <f>F7+F8+F9+F11+F12+F13+F15+F18+F20+F22+F24</f>
        <v/>
      </c>
      <c r="G28" s="5">
        <f>C28+F28</f>
        <v/>
      </c>
      <c r="H28" s="5" t="inlineStr">
        <is>
          <t>Sum of all line items (M&amp;S + Labor)</t>
        </is>
      </c>
    </row>
    <row r="29">
      <c r="B29" s="5" t="inlineStr">
        <is>
          <t>Total FTE-years</t>
        </is>
      </c>
      <c r="D29" s="5">
        <f>D28/H3</f>
        <v/>
      </c>
      <c r="H29" s="5" t="inlineStr">
        <is>
          <t>Total labor expressed in FTE-years</t>
        </is>
      </c>
    </row>
    <row r="30">
      <c r="B30" s="6" t="inlineStr">
        <is>
          <t>Contingency (not included)</t>
        </is>
      </c>
      <c r="H30" s="5" t="inlineStr">
        <is>
          <t>Recommend 25-35% contingency at conceptual design stage per DOE Order 413.3B. Applied to grand total, this would add ~$3-5M.</t>
        </is>
      </c>
    </row>
  </sheetData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4:C7"/>
  <sheetViews>
    <sheetView zoomScale="85" zoomScaleNormal="85" workbookViewId="0">
      <selection activeCell="C7" sqref="C7"/>
    </sheetView>
  </sheetViews>
  <sheetFormatPr baseColWidth="8" defaultRowHeight="15"/>
  <cols>
    <col width="13.5703125" customWidth="1" min="2" max="2"/>
  </cols>
  <sheetData>
    <row r="4">
      <c r="C4" t="inlineStr">
        <is>
          <t>$</t>
        </is>
      </c>
    </row>
    <row r="5">
      <c r="B5" t="inlineStr">
        <is>
          <t>1 65 kw unit</t>
        </is>
      </c>
      <c r="C5" t="n">
        <v>311600</v>
      </c>
    </row>
    <row r="7">
      <c r="B7" t="inlineStr">
        <is>
          <t>16 units</t>
        </is>
      </c>
      <c r="C7">
        <f>16*C5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Wang, Faya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2026-03-25T00:16:48Z</dcterms:modified>
  <cp:lastModifiedBy>Wang, Faya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0x010100162E8B9B8F494F4F9FA5AC6115F8BAFC</vt:lpwstr>
  </property>
  <property name="MediaServiceImageTags" fmtid="{D5CDD505-2E9C-101B-9397-08002B2CF9AE}" pid="3">
    <vt:lpwstr xmlns:vt="http://schemas.openxmlformats.org/officeDocument/2006/docPropsVTypes"/>
  </property>
</Properties>
</file>