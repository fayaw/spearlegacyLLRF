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slac.sharepoint.com/sites/SPEARRFUPGRADE/Shared Documents/spearSSAUpgrade/PM/"/>
    </mc:Choice>
  </mc:AlternateContent>
  <xr:revisionPtr revIDLastSave="0" documentId="8_{53F7AF63-4C16-4DE3-AED7-6D12ED341518}" xr6:coauthVersionLast="47" xr6:coauthVersionMax="47" xr10:uidLastSave="{00000000-0000-0000-0000-000000000000}"/>
  <bookViews>
    <workbookView xWindow="8460" yWindow="5385" windowWidth="20955" windowHeight="16425" xr2:uid="{00000000-000D-0000-FFFF-FFFF00000000}"/>
  </bookViews>
  <sheets>
    <sheet name="cover page" sheetId="1" r:id="rId1"/>
    <sheet name="SSA quote from R&amp;K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D9" i="1"/>
  <c r="F8" i="1"/>
  <c r="D8" i="1"/>
  <c r="F7" i="1"/>
  <c r="D7" i="1"/>
  <c r="C6" i="1"/>
  <c r="C7" i="2"/>
</calcChain>
</file>

<file path=xl/sharedStrings.xml><?xml version="1.0" encoding="utf-8"?>
<sst xmlns="http://schemas.openxmlformats.org/spreadsheetml/2006/main" count="29" uniqueCount="29">
  <si>
    <t>The SSA upgrade project includes follow items</t>
  </si>
  <si>
    <t>1 MW SSA</t>
  </si>
  <si>
    <t>Waveguide runs</t>
  </si>
  <si>
    <t>Control Electronics</t>
  </si>
  <si>
    <t>480 VAC Distribution System</t>
  </si>
  <si>
    <t>Cooling water</t>
  </si>
  <si>
    <t>Infrastructure</t>
  </si>
  <si>
    <t>Project management</t>
  </si>
  <si>
    <t>Labor (hours)</t>
  </si>
  <si>
    <t>M&amp;S (k$)</t>
  </si>
  <si>
    <t>lablor rate ($/hr)</t>
  </si>
  <si>
    <t>labor (k$)</t>
  </si>
  <si>
    <t>Total ($k)</t>
  </si>
  <si>
    <t>1 65 kw unit</t>
  </si>
  <si>
    <t>$</t>
  </si>
  <si>
    <t>16 units</t>
  </si>
  <si>
    <t>16 of 65kW unit</t>
  </si>
  <si>
    <t>SSA design study</t>
  </si>
  <si>
    <t>Note</t>
  </si>
  <si>
    <t>based on one 65 kW unit quote from R&amp;K in July 2025</t>
  </si>
  <si>
    <t>1 FTE(hr)/yr</t>
  </si>
  <si>
    <t>1) intial design 0.5 FTE for prototype, 2) 0.5 FTE for prototype test and design iteration with the vendor</t>
  </si>
  <si>
    <t>SSA installation and commissioning</t>
  </si>
  <si>
    <t>1) MS for tools and parts; 2) 4 person-3 week per station for installation (12 person-month), 6 person-2-month for commissiong</t>
  </si>
  <si>
    <t>Existing waveguide remove and Cable tray relocation</t>
  </si>
  <si>
    <t>1) MS for the extra cable tray; 2) 4 person-1moth work</t>
  </si>
  <si>
    <t>4LLRF9 units</t>
  </si>
  <si>
    <t>MPS</t>
  </si>
  <si>
    <t>software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</si>
</sst>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indent="2"/>
    </xf>
    <xf numFmtId="0" fontId="0" fillId="0" borderId="1" xfId="0" applyBorder="1" applyAlignment="1">
      <alignment vertical="center" wrapText="1"/>
    </xf>
    <xf numFmtId="0" fontId="1" fillId="0" borderId="0" xfId="0" applyFont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265546</xdr:colOff>
      <xdr:row>18</xdr:row>
      <xdr:rowOff>23090</xdr:rowOff>
    </xdr:from>
    <xdr:to>
      <xdr:col>15</xdr:col>
      <xdr:colOff>137827</xdr:colOff>
      <xdr:row>79</xdr:row>
      <xdr:rowOff>104226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38964-3B83-944B-B11A-D0B12A661F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7455" y="3348181"/>
          <a:ext cx="8775184" cy="11349500"/>
        </a:xfrm>
        <a:prstGeom prst="rect">
          <a:avLst/>
        </a:prstGeom>
      </xdr:spPr>
    </xdr:pic>
    <xdr:clientData/>
  </xdr:twoCellAnchor>
  <xdr:twoCellAnchor editAs="oneCell">
    <xdr:from>
      <xdr:col>15</xdr:col>
      <xdr:colOff>427182</xdr:colOff>
      <xdr:row>18</xdr:row>
      <xdr:rowOff>150091</xdr:rowOff>
    </xdr:from>
    <xdr:to>
      <xdr:col>29</xdr:col>
      <xdr:colOff>603311</xdr:colOff>
      <xdr:row>80</xdr:row>
      <xdr:rowOff>11286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94493B-425F-B727-AA46-FA476A3B07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05818" y="3475182"/>
          <a:ext cx="8742857" cy="113142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H24"/>
  <sheetViews>
    <sheetView tabSelected="1" workbookViewId="0">
      <selection activeCell="E21" sqref="E21"/>
    </sheetView>
  </sheetViews>
  <sheetFormatPr defaultRowHeight="15" x14ac:dyDescent="0.25"/>
  <cols>
    <col min="2" max="2" width="53.140625" customWidth="1"/>
    <col min="3" max="3" width="10.7109375" customWidth="1"/>
    <col min="4" max="4" width="15.7109375" customWidth="1"/>
    <col min="5" max="5" width="20" customWidth="1"/>
    <col min="7" max="7" width="9.85546875" customWidth="1"/>
    <col min="8" max="8" width="43.85546875" customWidth="1"/>
  </cols>
  <sheetData>
    <row r="3" spans="2:8" x14ac:dyDescent="0.25">
      <c r="B3" t="s">
        <v>0</v>
      </c>
      <c r="G3" t="s">
        <v>20</v>
      </c>
      <c r="H3">
        <v>1740</v>
      </c>
    </row>
    <row r="4" spans="2:8" x14ac:dyDescent="0.25">
      <c r="C4" t="s">
        <v>9</v>
      </c>
      <c r="D4" t="s">
        <v>8</v>
      </c>
      <c r="E4" t="s">
        <v>10</v>
      </c>
      <c r="F4" t="s">
        <v>11</v>
      </c>
      <c r="G4" t="s">
        <v>12</v>
      </c>
      <c r="H4" t="s">
        <v>18</v>
      </c>
    </row>
    <row r="5" spans="2:8" x14ac:dyDescent="0.25">
      <c r="B5" s="3" t="s">
        <v>1</v>
      </c>
    </row>
    <row r="6" spans="2:8" x14ac:dyDescent="0.25">
      <c r="B6" s="1" t="s">
        <v>16</v>
      </c>
      <c r="C6">
        <f>'SSA quote from R&amp;K'!C7/1000</f>
        <v>4985.6000000000004</v>
      </c>
      <c r="H6" t="s">
        <v>19</v>
      </c>
    </row>
    <row r="7" spans="2:8" ht="45" x14ac:dyDescent="0.25">
      <c r="B7" s="1" t="s">
        <v>17</v>
      </c>
      <c r="D7">
        <f>1*H3</f>
        <v>1740</v>
      </c>
      <c r="E7">
        <v>200</v>
      </c>
      <c r="F7">
        <f>D7*E7/1000</f>
        <v>348</v>
      </c>
      <c r="H7" s="2" t="s">
        <v>21</v>
      </c>
    </row>
    <row r="8" spans="2:8" ht="45" x14ac:dyDescent="0.25">
      <c r="B8" s="1" t="s">
        <v>22</v>
      </c>
      <c r="C8">
        <v>100</v>
      </c>
      <c r="D8">
        <f>24*160</f>
        <v>3840</v>
      </c>
      <c r="E8">
        <v>200</v>
      </c>
      <c r="F8">
        <f>D8*E8/1000</f>
        <v>768</v>
      </c>
      <c r="H8" s="2" t="s">
        <v>23</v>
      </c>
    </row>
    <row r="9" spans="2:8" x14ac:dyDescent="0.25">
      <c r="B9" s="4" t="s">
        <v>24</v>
      </c>
      <c r="C9">
        <v>10</v>
      </c>
      <c r="D9">
        <f>4*160</f>
        <v>640</v>
      </c>
      <c r="E9">
        <v>200</v>
      </c>
      <c r="F9">
        <f>D9*E9/1000</f>
        <v>128</v>
      </c>
      <c r="H9" t="s">
        <v>25</v>
      </c>
    </row>
    <row r="10" spans="2:8" x14ac:dyDescent="0.25">
      <c r="B10" s="3" t="s">
        <v>3</v>
      </c>
    </row>
    <row r="11" spans="2:8" x14ac:dyDescent="0.25">
      <c r="B11" s="1" t="s">
        <v>26</v>
      </c>
    </row>
    <row r="12" spans="2:8" x14ac:dyDescent="0.25">
      <c r="B12" s="1" t="s">
        <v>27</v>
      </c>
    </row>
    <row r="13" spans="2:8" x14ac:dyDescent="0.25">
      <c r="B13" s="1" t="s">
        <v>28</v>
      </c>
    </row>
    <row r="15" spans="2:8" x14ac:dyDescent="0.25">
      <c r="B15" t="s">
        <v>2</v>
      </c>
    </row>
    <row r="18" spans="2:2" x14ac:dyDescent="0.25">
      <c r="B18" t="s">
        <v>7</v>
      </c>
    </row>
    <row r="20" spans="2:2" x14ac:dyDescent="0.25">
      <c r="B20" t="s">
        <v>4</v>
      </c>
    </row>
    <row r="22" spans="2:2" x14ac:dyDescent="0.25">
      <c r="B22" t="s">
        <v>5</v>
      </c>
    </row>
    <row r="24" spans="2:2" x14ac:dyDescent="0.25">
      <c r="B24" t="s">
        <v>6</v>
      </c>
    </row>
  </sheetData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AC48B-1DD4-4C10-8598-93D411FF50F8}">
  <dimension ref="B4:C7"/>
  <sheetViews>
    <sheetView zoomScale="85" zoomScaleNormal="85" workbookViewId="0">
      <selection activeCell="C7" sqref="C7"/>
    </sheetView>
  </sheetViews>
  <sheetFormatPr defaultRowHeight="15" x14ac:dyDescent="0.25"/>
  <cols>
    <col min="2" max="2" width="13.5703125" customWidth="1"/>
  </cols>
  <sheetData>
    <row r="4" spans="2:3" x14ac:dyDescent="0.25">
      <c r="C4" t="s">
        <v>14</v>
      </c>
    </row>
    <row r="5" spans="2:3" x14ac:dyDescent="0.25">
      <c r="B5" t="s">
        <v>13</v>
      </c>
      <c r="C5">
        <v>311600</v>
      </c>
    </row>
    <row r="7" spans="2:3" x14ac:dyDescent="0.25">
      <c r="B7" t="s">
        <v>15</v>
      </c>
      <c r="C7">
        <f>16*C5</f>
        <v>4985600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ae7472c-b71f-4cab-b94a-416f482a757b" xsi:nil="true"/>
    <lcf76f155ced4ddcb4097134ff3c332f xmlns="41b3182d-22ee-41df-9219-a7264fbbfb0e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62E8B9B8F494F4F9FA5AC6115F8BAFC" ma:contentTypeVersion="14" ma:contentTypeDescription="Create a new document." ma:contentTypeScope="" ma:versionID="7bf6b67f00dda9faad049ac569bdc544">
  <xsd:schema xmlns:xsd="http://www.w3.org/2001/XMLSchema" xmlns:xs="http://www.w3.org/2001/XMLSchema" xmlns:p="http://schemas.microsoft.com/office/2006/metadata/properties" xmlns:ns2="41b3182d-22ee-41df-9219-a7264fbbfb0e" xmlns:ns3="2ae7472c-b71f-4cab-b94a-416f482a757b" targetNamespace="http://schemas.microsoft.com/office/2006/metadata/properties" ma:root="true" ma:fieldsID="226d07ee899d5f3e051fec1a6a68ef05" ns2:_="" ns3:_="">
    <xsd:import namespace="41b3182d-22ee-41df-9219-a7264fbbfb0e"/>
    <xsd:import namespace="2ae7472c-b71f-4cab-b94a-416f482a75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b3182d-22ee-41df-9219-a7264fbbfb0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fd420da9-6cce-460f-935b-b5e0b28d9e7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7472c-b71f-4cab-b94a-416f482a757b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5550a66c-5f6a-49ac-92d8-0dc107bde606}" ma:internalName="TaxCatchAll" ma:showField="CatchAllData" ma:web="2ae7472c-b71f-4cab-b94a-416f482a75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7C7DB8-78E4-42BA-A2DC-0E621E172B9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B31BDF-94D4-4212-99F3-BB86058ED412}">
  <ds:schemaRefs>
    <ds:schemaRef ds:uri="http://schemas.microsoft.com/office/2006/metadata/properties"/>
    <ds:schemaRef ds:uri="http://schemas.microsoft.com/office/infopath/2007/PartnerControls"/>
    <ds:schemaRef ds:uri="2ae7472c-b71f-4cab-b94a-416f482a757b"/>
    <ds:schemaRef ds:uri="41b3182d-22ee-41df-9219-a7264fbbfb0e"/>
  </ds:schemaRefs>
</ds:datastoreItem>
</file>

<file path=customXml/itemProps3.xml><?xml version="1.0" encoding="utf-8"?>
<ds:datastoreItem xmlns:ds="http://schemas.openxmlformats.org/officeDocument/2006/customXml" ds:itemID="{151B561E-922C-4B02-AE1C-E6536A7013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1b3182d-22ee-41df-9219-a7264fbbfb0e"/>
    <ds:schemaRef ds:uri="2ae7472c-b71f-4cab-b94a-416f482a7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 page</vt:lpstr>
      <vt:lpstr>SSA quote from R&amp;K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Wang, Faya</dc:creator>
  <cp:lastModifiedBy>Wang, Faya</cp:lastModifiedBy>
  <dcterms:created xsi:type="dcterms:W3CDTF">2015-06-05T18:17:20Z</dcterms:created>
  <dcterms:modified xsi:type="dcterms:W3CDTF">2026-03-24T23:52:19Z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0x010100162E8B9B8F494F4F9FA5AC6115F8BAFC</vt:lpwstr>
  </property>
  <property fmtid="{D5CDD505-2E9C-101B-9397-08002B2CF9AE}" pid="3" name="MediaServiceImageTags">
    <vt:lpwstr/>
  </property>
</Properties>
</file>