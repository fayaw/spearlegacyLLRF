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iles\Documents\spear3\llrf\calibration\"/>
    </mc:Choice>
  </mc:AlternateContent>
  <bookViews>
    <workbookView xWindow="0" yWindow="0" windowWidth="15504" windowHeight="80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9" i="1"/>
</calcChain>
</file>

<file path=xl/sharedStrings.xml><?xml version="1.0" encoding="utf-8"?>
<sst xmlns="http://schemas.openxmlformats.org/spreadsheetml/2006/main" count="9" uniqueCount="9">
  <si>
    <t>Tune mode DAC calibration</t>
  </si>
  <si>
    <t xml:space="preserve">Measurement of tune mode DAC </t>
  </si>
  <si>
    <t>8 dB of fixed attenuators accounted for.  Additional cable attenuation is not accounted for</t>
  </si>
  <si>
    <t>Fixed attenuation</t>
  </si>
  <si>
    <t>SRF1:STN:TUNE:IQ.A</t>
  </si>
  <si>
    <t>Measured on FSW13</t>
  </si>
  <si>
    <t>Measured (dBm)</t>
  </si>
  <si>
    <t>Actual (dBm)</t>
  </si>
  <si>
    <t>Power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</si>
</sst>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</a:t>
            </a:r>
            <a:r>
              <a:rPr lang="en-US" baseline="0"/>
              <a:t> out (mW) vs DAC setpoint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Sheet1!$A$9:$A$28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Sheet1!$E$9:$E$28</c:f>
              <c:numCache>
                <c:formatCode>General</c:formatCode>
                <c:ptCount val="20"/>
                <c:pt idx="0">
                  <c:v>2.3227367963571028E-3</c:v>
                </c:pt>
                <c:pt idx="1">
                  <c:v>9.9083194489276698E-3</c:v>
                </c:pt>
                <c:pt idx="2">
                  <c:v>2.264644307593059E-2</c:v>
                </c:pt>
                <c:pt idx="3">
                  <c:v>4.0364539296760475E-2</c:v>
                </c:pt>
                <c:pt idx="4">
                  <c:v>6.280583588133179E-2</c:v>
                </c:pt>
                <c:pt idx="5">
                  <c:v>8.9536476554959374E-2</c:v>
                </c:pt>
                <c:pt idx="6">
                  <c:v>0.12050359403717965</c:v>
                </c:pt>
                <c:pt idx="7">
                  <c:v>0.15488166189124805</c:v>
                </c:pt>
                <c:pt idx="8">
                  <c:v>0.19275249131909356</c:v>
                </c:pt>
                <c:pt idx="9">
                  <c:v>0.23334580622810028</c:v>
                </c:pt>
                <c:pt idx="10">
                  <c:v>0.27669416454115114</c:v>
                </c:pt>
                <c:pt idx="11">
                  <c:v>0.32210687912834346</c:v>
                </c:pt>
                <c:pt idx="12">
                  <c:v>0.36897759857015028</c:v>
                </c:pt>
                <c:pt idx="13">
                  <c:v>0.41686938347033525</c:v>
                </c:pt>
                <c:pt idx="14">
                  <c:v>0.46665938031428855</c:v>
                </c:pt>
                <c:pt idx="15">
                  <c:v>0.51641636927207102</c:v>
                </c:pt>
                <c:pt idx="16">
                  <c:v>0.56623928903825327</c:v>
                </c:pt>
                <c:pt idx="17">
                  <c:v>0.61659500186148219</c:v>
                </c:pt>
                <c:pt idx="18">
                  <c:v>0.66680676921362214</c:v>
                </c:pt>
                <c:pt idx="19">
                  <c:v>0.71614341021290207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3-4467-A8B8-1DED724B0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6645416"/>
        <c:axId val="766647056"/>
      </c:lineChart>
      <c:catAx>
        <c:axId val="766645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DAC</a:t>
                </a:r>
                <a:r>
                  <a:rPr lang="en-US" baseline="0"/>
                  <a:t> (</a:t>
                </a:r>
                <a:r>
                  <a:rPr lang="en-US" sz="1000" b="0" i="0" u="none" strike="noStrike" baseline="0">
                    <a:effectLst/>
                  </a:rPr>
                  <a:t>SRF1:STN:TUNE:IQ.A)</a:t>
                </a:r>
                <a:r>
                  <a:rPr lang="en-US" sz="1000" b="0" i="0" u="none" strike="noStrike" baseline="0"/>
                  <a:t> </a:t>
                </a:r>
                <a:r>
                  <a:rPr lang="en-US" baseline="0"/>
                  <a:t>setting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647056"/>
        <c:crosses val="autoZero"/>
        <c:auto val="1"/>
        <c:lblAlgn val="ctr"/>
        <c:lblOffset val="100"/>
        <c:noMultiLvlLbl val="0"/>
      </c:catAx>
      <c:valAx>
        <c:axId val="76664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  <a:r>
                  <a:rPr lang="en-US" baseline="0"/>
                  <a:t> out (mW)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645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</a:t>
            </a:r>
            <a:r>
              <a:rPr lang="en-US" baseline="0"/>
              <a:t> out (dBm) vs DAC setpoint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Sheet1!$A$9:$A$28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cat>
          <c:val>
            <c:numRef>
              <c:f>Sheet1!$D$9:$D$28</c:f>
              <c:numCache>
                <c:formatCode>General</c:formatCode>
                <c:ptCount val="20"/>
                <c:pt idx="0">
                  <c:v>-26.340000000000003</c:v>
                </c:pt>
                <c:pt idx="1">
                  <c:v>-20.04</c:v>
                </c:pt>
                <c:pt idx="2">
                  <c:v>-16.45</c:v>
                </c:pt>
                <c:pt idx="3">
                  <c:v>-13.940000000000001</c:v>
                </c:pt>
                <c:pt idx="4">
                  <c:v>-12.02</c:v>
                </c:pt>
                <c:pt idx="5">
                  <c:v>-10.48</c:v>
                </c:pt>
                <c:pt idx="6">
                  <c:v>-9.1900000000000013</c:v>
                </c:pt>
                <c:pt idx="7">
                  <c:v>-8.1000000000000014</c:v>
                </c:pt>
                <c:pt idx="8">
                  <c:v>-7.15</c:v>
                </c:pt>
                <c:pt idx="9">
                  <c:v>-6.32</c:v>
                </c:pt>
                <c:pt idx="10">
                  <c:v>-5.58</c:v>
                </c:pt>
                <c:pt idx="11">
                  <c:v>-4.92</c:v>
                </c:pt>
                <c:pt idx="12">
                  <c:v>-4.33</c:v>
                </c:pt>
                <c:pt idx="13">
                  <c:v>-3.8000000000000007</c:v>
                </c:pt>
                <c:pt idx="14">
                  <c:v>-3.3100000000000005</c:v>
                </c:pt>
                <c:pt idx="15">
                  <c:v>-2.8699999999999992</c:v>
                </c:pt>
                <c:pt idx="16">
                  <c:v>-2.4700000000000006</c:v>
                </c:pt>
                <c:pt idx="17">
                  <c:v>-2.0999999999999996</c:v>
                </c:pt>
                <c:pt idx="18">
                  <c:v>-1.7599999999999998</c:v>
                </c:pt>
                <c:pt idx="19">
                  <c:v>-1.4499999999999993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5E-471C-A6CB-025F21436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6645416"/>
        <c:axId val="766647056"/>
      </c:lineChart>
      <c:catAx>
        <c:axId val="766645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DAC</a:t>
                </a:r>
                <a:r>
                  <a:rPr lang="en-US" baseline="0"/>
                  <a:t> (</a:t>
                </a:r>
                <a:r>
                  <a:rPr lang="en-US" sz="1000" b="0" i="0" u="none" strike="noStrike" baseline="0">
                    <a:effectLst/>
                  </a:rPr>
                  <a:t>SRF1:STN:TUNE:IQ.A)</a:t>
                </a:r>
                <a:r>
                  <a:rPr lang="en-US" sz="1000" b="0" i="0" u="none" strike="noStrike" baseline="0"/>
                  <a:t> </a:t>
                </a:r>
                <a:r>
                  <a:rPr lang="en-US" baseline="0"/>
                  <a:t>setting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647056"/>
        <c:crosses val="autoZero"/>
        <c:auto val="1"/>
        <c:lblAlgn val="ctr"/>
        <c:lblOffset val="100"/>
        <c:noMultiLvlLbl val="0"/>
      </c:catAx>
      <c:valAx>
        <c:axId val="76664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  <a:r>
                  <a:rPr lang="en-US" baseline="0"/>
                  <a:t> out (dBm)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645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0</xdr:rowOff>
    </xdr:from>
    <xdr:to>
      <xdr:col>13</xdr:col>
      <xdr:colOff>304800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13</xdr:col>
      <xdr:colOff>304800</xdr:colOff>
      <xdr:row>23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topLeftCell="D6" workbookViewId="0">
      <selection activeCell="O20" sqref="O20"/>
    </sheetView>
  </sheetViews>
  <sheetFormatPr defaultRowHeight="14.4" x14ac:dyDescent="0.3"/>
  <cols>
    <col min="1" max="1" width="17.88671875" customWidth="1"/>
    <col min="3" max="3" width="14.33203125" customWidth="1"/>
    <col min="4" max="4" width="11.6640625" customWidth="1"/>
    <col min="5" max="5" width="12" bestFit="1" customWidth="1"/>
  </cols>
  <sheetData>
    <row r="1" spans="1:5" x14ac:dyDescent="0.3">
      <c r="A1" t="s">
        <v>0</v>
      </c>
    </row>
    <row r="2" spans="1:5" x14ac:dyDescent="0.3">
      <c r="A2" t="s">
        <v>1</v>
      </c>
    </row>
    <row r="3" spans="1:5" x14ac:dyDescent="0.3">
      <c r="A3" t="s">
        <v>2</v>
      </c>
    </row>
    <row r="4" spans="1:5" x14ac:dyDescent="0.3">
      <c r="A4" t="s">
        <v>5</v>
      </c>
    </row>
    <row r="6" spans="1:5" x14ac:dyDescent="0.3">
      <c r="A6" t="s">
        <v>3</v>
      </c>
      <c r="B6">
        <v>8</v>
      </c>
    </row>
    <row r="8" spans="1:5" x14ac:dyDescent="0.3">
      <c r="A8" t="s">
        <v>4</v>
      </c>
      <c r="C8" t="s">
        <v>6</v>
      </c>
      <c r="D8" t="s">
        <v>7</v>
      </c>
      <c r="E8" t="s">
        <v>8</v>
      </c>
    </row>
    <row r="9" spans="1:5" x14ac:dyDescent="0.3">
      <c r="A9">
        <v>100</v>
      </c>
      <c r="C9">
        <v>-34.340000000000003</v>
      </c>
      <c r="D9">
        <f>C9+$B$6</f>
        <v>-26.340000000000003</v>
      </c>
      <c r="E9">
        <f>POWER(10,D9/10)</f>
        <v>2.3227367963571028E-3</v>
      </c>
    </row>
    <row r="10" spans="1:5" x14ac:dyDescent="0.3">
      <c r="A10">
        <v>200</v>
      </c>
      <c r="C10">
        <v>-28.04</v>
      </c>
      <c r="D10">
        <f t="shared" ref="D10:D28" si="0">C10+$B$6</f>
        <v>-20.04</v>
      </c>
      <c r="E10">
        <f t="shared" ref="E10:E29" si="1">POWER(10,D10/10)</f>
        <v>9.9083194489276698E-3</v>
      </c>
    </row>
    <row r="11" spans="1:5" x14ac:dyDescent="0.3">
      <c r="A11">
        <v>300</v>
      </c>
      <c r="C11">
        <v>-24.45</v>
      </c>
      <c r="D11">
        <f t="shared" si="0"/>
        <v>-16.45</v>
      </c>
      <c r="E11">
        <f t="shared" si="1"/>
        <v>2.264644307593059E-2</v>
      </c>
    </row>
    <row r="12" spans="1:5" x14ac:dyDescent="0.3">
      <c r="A12">
        <v>400</v>
      </c>
      <c r="C12">
        <v>-21.94</v>
      </c>
      <c r="D12">
        <f t="shared" si="0"/>
        <v>-13.940000000000001</v>
      </c>
      <c r="E12">
        <f t="shared" si="1"/>
        <v>4.0364539296760475E-2</v>
      </c>
    </row>
    <row r="13" spans="1:5" x14ac:dyDescent="0.3">
      <c r="A13">
        <v>500</v>
      </c>
      <c r="C13">
        <v>-20.02</v>
      </c>
      <c r="D13">
        <f t="shared" si="0"/>
        <v>-12.02</v>
      </c>
      <c r="E13">
        <f t="shared" si="1"/>
        <v>6.280583588133179E-2</v>
      </c>
    </row>
    <row r="14" spans="1:5" x14ac:dyDescent="0.3">
      <c r="A14">
        <v>600</v>
      </c>
      <c r="C14">
        <v>-18.48</v>
      </c>
      <c r="D14">
        <f t="shared" si="0"/>
        <v>-10.48</v>
      </c>
      <c r="E14">
        <f t="shared" si="1"/>
        <v>8.9536476554959374E-2</v>
      </c>
    </row>
    <row r="15" spans="1:5" x14ac:dyDescent="0.3">
      <c r="A15">
        <v>700</v>
      </c>
      <c r="C15">
        <v>-17.190000000000001</v>
      </c>
      <c r="D15">
        <f t="shared" si="0"/>
        <v>-9.1900000000000013</v>
      </c>
      <c r="E15">
        <f t="shared" si="1"/>
        <v>0.12050359403717965</v>
      </c>
    </row>
    <row r="16" spans="1:5" x14ac:dyDescent="0.3">
      <c r="A16">
        <v>800</v>
      </c>
      <c r="C16">
        <v>-16.100000000000001</v>
      </c>
      <c r="D16">
        <f t="shared" si="0"/>
        <v>-8.1000000000000014</v>
      </c>
      <c r="E16">
        <f t="shared" si="1"/>
        <v>0.15488166189124805</v>
      </c>
    </row>
    <row r="17" spans="1:5" x14ac:dyDescent="0.3">
      <c r="A17">
        <v>900</v>
      </c>
      <c r="C17">
        <v>-15.15</v>
      </c>
      <c r="D17">
        <f t="shared" si="0"/>
        <v>-7.15</v>
      </c>
      <c r="E17">
        <f t="shared" si="1"/>
        <v>0.19275249131909356</v>
      </c>
    </row>
    <row r="18" spans="1:5" x14ac:dyDescent="0.3">
      <c r="A18">
        <v>1000</v>
      </c>
      <c r="C18">
        <v>-14.32</v>
      </c>
      <c r="D18">
        <f t="shared" si="0"/>
        <v>-6.32</v>
      </c>
      <c r="E18">
        <f t="shared" si="1"/>
        <v>0.23334580622810028</v>
      </c>
    </row>
    <row r="19" spans="1:5" x14ac:dyDescent="0.3">
      <c r="A19">
        <v>1100</v>
      </c>
      <c r="C19">
        <v>-13.58</v>
      </c>
      <c r="D19">
        <f t="shared" si="0"/>
        <v>-5.58</v>
      </c>
      <c r="E19">
        <f t="shared" si="1"/>
        <v>0.27669416454115114</v>
      </c>
    </row>
    <row r="20" spans="1:5" x14ac:dyDescent="0.3">
      <c r="A20">
        <v>1200</v>
      </c>
      <c r="C20">
        <v>-12.92</v>
      </c>
      <c r="D20">
        <f t="shared" si="0"/>
        <v>-4.92</v>
      </c>
      <c r="E20">
        <f t="shared" si="1"/>
        <v>0.32210687912834346</v>
      </c>
    </row>
    <row r="21" spans="1:5" x14ac:dyDescent="0.3">
      <c r="A21">
        <v>1300</v>
      </c>
      <c r="C21">
        <v>-12.33</v>
      </c>
      <c r="D21">
        <f t="shared" si="0"/>
        <v>-4.33</v>
      </c>
      <c r="E21">
        <f t="shared" si="1"/>
        <v>0.36897759857015028</v>
      </c>
    </row>
    <row r="22" spans="1:5" x14ac:dyDescent="0.3">
      <c r="A22">
        <v>1400</v>
      </c>
      <c r="C22">
        <v>-11.8</v>
      </c>
      <c r="D22">
        <f t="shared" si="0"/>
        <v>-3.8000000000000007</v>
      </c>
      <c r="E22">
        <f t="shared" si="1"/>
        <v>0.41686938347033525</v>
      </c>
    </row>
    <row r="23" spans="1:5" x14ac:dyDescent="0.3">
      <c r="A23">
        <v>1500</v>
      </c>
      <c r="C23">
        <v>-11.31</v>
      </c>
      <c r="D23">
        <f t="shared" si="0"/>
        <v>-3.3100000000000005</v>
      </c>
      <c r="E23">
        <f t="shared" si="1"/>
        <v>0.46665938031428855</v>
      </c>
    </row>
    <row r="24" spans="1:5" x14ac:dyDescent="0.3">
      <c r="A24">
        <v>1600</v>
      </c>
      <c r="C24">
        <v>-10.87</v>
      </c>
      <c r="D24">
        <f t="shared" si="0"/>
        <v>-2.8699999999999992</v>
      </c>
      <c r="E24">
        <f t="shared" si="1"/>
        <v>0.51641636927207102</v>
      </c>
    </row>
    <row r="25" spans="1:5" x14ac:dyDescent="0.3">
      <c r="A25">
        <v>1700</v>
      </c>
      <c r="C25">
        <v>-10.47</v>
      </c>
      <c r="D25">
        <f t="shared" si="0"/>
        <v>-2.4700000000000006</v>
      </c>
      <c r="E25">
        <f t="shared" si="1"/>
        <v>0.56623928903825327</v>
      </c>
    </row>
    <row r="26" spans="1:5" x14ac:dyDescent="0.3">
      <c r="A26">
        <v>1800</v>
      </c>
      <c r="C26">
        <v>-10.1</v>
      </c>
      <c r="D26">
        <f t="shared" si="0"/>
        <v>-2.0999999999999996</v>
      </c>
      <c r="E26">
        <f t="shared" si="1"/>
        <v>0.61659500186148219</v>
      </c>
    </row>
    <row r="27" spans="1:5" x14ac:dyDescent="0.3">
      <c r="A27">
        <v>1900</v>
      </c>
      <c r="C27">
        <v>-9.76</v>
      </c>
      <c r="D27">
        <f t="shared" si="0"/>
        <v>-1.7599999999999998</v>
      </c>
      <c r="E27">
        <f t="shared" si="1"/>
        <v>0.66680676921362214</v>
      </c>
    </row>
    <row r="28" spans="1:5" x14ac:dyDescent="0.3">
      <c r="A28">
        <v>2000</v>
      </c>
      <c r="C28">
        <v>-9.4499999999999993</v>
      </c>
      <c r="D28">
        <f t="shared" si="0"/>
        <v>-1.4499999999999993</v>
      </c>
      <c r="E28">
        <f t="shared" si="1"/>
        <v>0.71614341021290207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E8B9B8F494F4F9FA5AC6115F8BAFC" ma:contentTypeVersion="14" ma:contentTypeDescription="Create a new document." ma:contentTypeScope="" ma:versionID="3d2c6979e8007f0c673cdef31668f95a">
  <xsd:schema xmlns:xsd="http://www.w3.org/2001/XMLSchema" xmlns:xs="http://www.w3.org/2001/XMLSchema" xmlns:p="http://schemas.microsoft.com/office/2006/metadata/properties" xmlns:ns2="41b3182d-22ee-41df-9219-a7264fbbfb0e" xmlns:ns3="2ae7472c-b71f-4cab-b94a-416f482a757b" targetNamespace="http://schemas.microsoft.com/office/2006/metadata/properties" ma:root="true" ma:fieldsID="f3c0934017ae9f5ce032209485dc8b02" ns2:_="" ns3:_="">
    <xsd:import namespace="41b3182d-22ee-41df-9219-a7264fbbfb0e"/>
    <xsd:import namespace="2ae7472c-b71f-4cab-b94a-416f482a7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3182d-22ee-41df-9219-a7264fbbf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d420da9-6cce-460f-935b-b5e0b28d9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7472c-b71f-4cab-b94a-416f482a757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550a66c-5f6a-49ac-92d8-0dc107bde606}" ma:internalName="TaxCatchAll" ma:showField="CatchAllData" ma:web="2ae7472c-b71f-4cab-b94a-416f482a7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7472c-b71f-4cab-b94a-416f482a757b" xsi:nil="true"/>
    <lcf76f155ced4ddcb4097134ff3c332f xmlns="41b3182d-22ee-41df-9219-a7264fbbfb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B2D0EB-0806-4067-A6D1-C4325D7B8127}"/>
</file>

<file path=customXml/itemProps2.xml><?xml version="1.0" encoding="utf-8"?>
<ds:datastoreItem xmlns:ds="http://schemas.openxmlformats.org/officeDocument/2006/customXml" ds:itemID="{D8C0234B-52C1-4F52-895C-2ABFB7547B9D}"/>
</file>

<file path=customXml/itemProps3.xml><?xml version="1.0" encoding="utf-8"?>
<ds:datastoreItem xmlns:ds="http://schemas.openxmlformats.org/officeDocument/2006/customXml" ds:itemID="{448FE555-FAEB-4FFE-BC2B-D5F94FA73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SLAC National Accelerator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Sebek, Jim</dc:creator>
  <cp:lastModifiedBy>Sebek, Jim</cp:lastModifiedBy>
  <dcterms:created xsi:type="dcterms:W3CDTF">2021-02-09T21:21:38Z</dcterms:created>
  <dcterms:modified xsi:type="dcterms:W3CDTF">2021-02-09T22:21:44Z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0x010100162E8B9B8F494F4F9FA5AC6115F8BAFC</vt:lpwstr>
  </property>
</Properties>
</file>