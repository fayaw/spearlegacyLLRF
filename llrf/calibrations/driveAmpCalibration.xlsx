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les\Documents\spear3\llrf\calibration\"/>
    </mc:Choice>
  </mc:AlternateContent>
  <bookViews>
    <workbookView xWindow="0" yWindow="0" windowWidth="15504" windowHeight="64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1" l="1"/>
  <c r="J10" i="1"/>
  <c r="I10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42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47" i="1"/>
  <c r="E39" i="1"/>
  <c r="E38" i="1"/>
  <c r="E37" i="1"/>
</calcChain>
</file>

<file path=xl/sharedStrings.xml><?xml version="1.0" encoding="utf-8"?>
<sst xmlns="http://schemas.openxmlformats.org/spreadsheetml/2006/main" count="29" uniqueCount="25">
  <si>
    <t>Drive Amplifier Calibration     November 16, 2020</t>
  </si>
  <si>
    <t>Setup</t>
  </si>
  <si>
    <t>R&amp;S SMBV 100A signal generator</t>
  </si>
  <si>
    <t>Two cables (for length) to device input</t>
  </si>
  <si>
    <t>One cable from device output</t>
  </si>
  <si>
    <t>R&amp;S FSW spectrum analyzer</t>
  </si>
  <si>
    <t>Calibration</t>
  </si>
  <si>
    <t>Device is 30 dB attenuator</t>
  </si>
  <si>
    <t>SMBV 100A Output</t>
  </si>
  <si>
    <t>FSW Input</t>
  </si>
  <si>
    <t>476.305569700 MHz</t>
  </si>
  <si>
    <t>200 Hz span, RBW, VBW 2 Hz</t>
  </si>
  <si>
    <t>Measurements</t>
  </si>
  <si>
    <t>Upper Production</t>
  </si>
  <si>
    <t>Nominal output power = 29 W</t>
  </si>
  <si>
    <t>Maximum output power</t>
  </si>
  <si>
    <t>Initial power</t>
  </si>
  <si>
    <t>Nominal</t>
  </si>
  <si>
    <t>With coupling</t>
  </si>
  <si>
    <t>Bottom Spare  014</t>
  </si>
  <si>
    <t>Middle Spare  013</t>
  </si>
  <si>
    <t>dBm</t>
  </si>
  <si>
    <t>W</t>
  </si>
  <si>
    <t>slope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</si>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</sst>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topLeftCell="A20" workbookViewId="0">
      <selection activeCell="L42" sqref="L42"/>
    </sheetView>
  </sheetViews>
  <sheetFormatPr defaultRowHeight="14.4" x14ac:dyDescent="0.3"/>
  <cols>
    <col min="12" max="12" width="12" bestFit="1" customWidth="1"/>
  </cols>
  <sheetData>
    <row r="1" spans="1:10" x14ac:dyDescent="0.3">
      <c r="A1" t="s">
        <v>0</v>
      </c>
    </row>
    <row r="3" spans="1:10" x14ac:dyDescent="0.3">
      <c r="A3" t="s">
        <v>1</v>
      </c>
    </row>
    <row r="4" spans="1:10" x14ac:dyDescent="0.3">
      <c r="B4" t="s">
        <v>2</v>
      </c>
      <c r="F4" t="s">
        <v>10</v>
      </c>
    </row>
    <row r="5" spans="1:10" x14ac:dyDescent="0.3">
      <c r="B5" t="s">
        <v>3</v>
      </c>
    </row>
    <row r="6" spans="1:10" x14ac:dyDescent="0.3">
      <c r="B6" t="s">
        <v>4</v>
      </c>
    </row>
    <row r="7" spans="1:10" x14ac:dyDescent="0.3">
      <c r="B7" t="s">
        <v>5</v>
      </c>
      <c r="F7" t="s">
        <v>11</v>
      </c>
    </row>
    <row r="8" spans="1:10" x14ac:dyDescent="0.3">
      <c r="E8" t="s">
        <v>8</v>
      </c>
      <c r="G8" t="s">
        <v>9</v>
      </c>
    </row>
    <row r="9" spans="1:10" x14ac:dyDescent="0.3">
      <c r="A9" t="s">
        <v>6</v>
      </c>
      <c r="I9" t="s">
        <v>23</v>
      </c>
      <c r="J9" t="s">
        <v>24</v>
      </c>
    </row>
    <row r="10" spans="1:10" x14ac:dyDescent="0.3">
      <c r="B10" t="s">
        <v>7</v>
      </c>
      <c r="E10">
        <v>-15</v>
      </c>
      <c r="G10">
        <v>-45.96</v>
      </c>
      <c r="I10">
        <f>INDEX(LINEST(G10:G35,E10:E35),1)</f>
        <v>1.0031589743589739</v>
      </c>
      <c r="J10">
        <f>INDEX(LINEST(G10:G35,E10:E35),2)</f>
        <v>-30.919794871794878</v>
      </c>
    </row>
    <row r="11" spans="1:10" x14ac:dyDescent="0.3">
      <c r="E11">
        <v>-14</v>
      </c>
      <c r="G11">
        <v>-44.96</v>
      </c>
    </row>
    <row r="12" spans="1:10" x14ac:dyDescent="0.3">
      <c r="E12">
        <v>-13</v>
      </c>
      <c r="G12">
        <v>-44.01</v>
      </c>
    </row>
    <row r="13" spans="1:10" x14ac:dyDescent="0.3">
      <c r="E13">
        <v>-12</v>
      </c>
      <c r="G13">
        <v>-42.9</v>
      </c>
    </row>
    <row r="14" spans="1:10" x14ac:dyDescent="0.3">
      <c r="E14">
        <v>-11</v>
      </c>
      <c r="G14">
        <v>-41.91</v>
      </c>
    </row>
    <row r="15" spans="1:10" x14ac:dyDescent="0.3">
      <c r="E15">
        <v>-10</v>
      </c>
      <c r="G15">
        <v>-40.92</v>
      </c>
    </row>
    <row r="16" spans="1:10" x14ac:dyDescent="0.3">
      <c r="E16">
        <v>-9</v>
      </c>
      <c r="G16">
        <v>-39.950000000000003</v>
      </c>
    </row>
    <row r="17" spans="5:7" x14ac:dyDescent="0.3">
      <c r="E17">
        <v>-8</v>
      </c>
      <c r="G17">
        <v>-38.97</v>
      </c>
    </row>
    <row r="18" spans="5:7" x14ac:dyDescent="0.3">
      <c r="E18">
        <v>-7</v>
      </c>
      <c r="G18">
        <v>-37.89</v>
      </c>
    </row>
    <row r="19" spans="5:7" x14ac:dyDescent="0.3">
      <c r="E19">
        <v>-6</v>
      </c>
      <c r="G19">
        <v>-36.909999999999997</v>
      </c>
    </row>
    <row r="20" spans="5:7" x14ac:dyDescent="0.3">
      <c r="E20">
        <v>-5</v>
      </c>
      <c r="G20">
        <v>-35.94</v>
      </c>
    </row>
    <row r="21" spans="5:7" x14ac:dyDescent="0.3">
      <c r="E21">
        <v>-4</v>
      </c>
      <c r="G21">
        <v>-34.96</v>
      </c>
    </row>
    <row r="22" spans="5:7" x14ac:dyDescent="0.3">
      <c r="E22">
        <v>-3</v>
      </c>
      <c r="G22">
        <v>-34.01</v>
      </c>
    </row>
    <row r="23" spans="5:7" x14ac:dyDescent="0.3">
      <c r="E23">
        <v>-2</v>
      </c>
      <c r="G23">
        <v>-32.92</v>
      </c>
    </row>
    <row r="24" spans="5:7" x14ac:dyDescent="0.3">
      <c r="E24">
        <v>-1</v>
      </c>
      <c r="G24">
        <v>-31.96</v>
      </c>
    </row>
    <row r="25" spans="5:7" x14ac:dyDescent="0.3">
      <c r="E25">
        <v>0</v>
      </c>
      <c r="G25">
        <v>-30.96</v>
      </c>
    </row>
    <row r="26" spans="5:7" x14ac:dyDescent="0.3">
      <c r="E26">
        <v>1</v>
      </c>
      <c r="G26">
        <v>-29.98</v>
      </c>
    </row>
    <row r="27" spans="5:7" x14ac:dyDescent="0.3">
      <c r="E27">
        <v>2</v>
      </c>
      <c r="G27">
        <v>-28.99</v>
      </c>
    </row>
    <row r="28" spans="5:7" x14ac:dyDescent="0.3">
      <c r="E28">
        <v>3</v>
      </c>
      <c r="G28">
        <v>-27.85</v>
      </c>
    </row>
    <row r="29" spans="5:7" x14ac:dyDescent="0.3">
      <c r="E29">
        <v>4</v>
      </c>
      <c r="G29">
        <v>-26.86</v>
      </c>
    </row>
    <row r="30" spans="5:7" x14ac:dyDescent="0.3">
      <c r="E30">
        <v>5</v>
      </c>
      <c r="G30">
        <v>-25.88</v>
      </c>
    </row>
    <row r="31" spans="5:7" x14ac:dyDescent="0.3">
      <c r="E31">
        <v>6</v>
      </c>
      <c r="G31">
        <v>-24.91</v>
      </c>
    </row>
    <row r="32" spans="5:7" x14ac:dyDescent="0.3">
      <c r="E32">
        <v>7</v>
      </c>
      <c r="G32">
        <v>-23.93</v>
      </c>
    </row>
    <row r="33" spans="1:18" x14ac:dyDescent="0.3">
      <c r="E33">
        <v>8</v>
      </c>
      <c r="G33">
        <v>-22.98</v>
      </c>
    </row>
    <row r="34" spans="1:18" x14ac:dyDescent="0.3">
      <c r="E34">
        <v>9</v>
      </c>
      <c r="G34">
        <v>-21.83</v>
      </c>
    </row>
    <row r="35" spans="1:18" x14ac:dyDescent="0.3">
      <c r="E35">
        <v>10</v>
      </c>
      <c r="G35">
        <v>-20.78</v>
      </c>
    </row>
    <row r="37" spans="1:18" x14ac:dyDescent="0.3">
      <c r="A37" t="s">
        <v>14</v>
      </c>
      <c r="D37">
        <v>29</v>
      </c>
      <c r="E37">
        <f>10*LOG10(1000*D37)</f>
        <v>44.623979978989567</v>
      </c>
    </row>
    <row r="38" spans="1:18" x14ac:dyDescent="0.3">
      <c r="A38" t="s">
        <v>15</v>
      </c>
      <c r="D38">
        <v>100</v>
      </c>
      <c r="E38">
        <f>10*LOG10(1000*D38)</f>
        <v>50</v>
      </c>
    </row>
    <row r="39" spans="1:18" x14ac:dyDescent="0.3">
      <c r="A39" t="s">
        <v>16</v>
      </c>
      <c r="D39">
        <v>5</v>
      </c>
      <c r="E39">
        <f>10*LOG10(1000*D39)</f>
        <v>36.989700043360187</v>
      </c>
    </row>
    <row r="40" spans="1:18" x14ac:dyDescent="0.3">
      <c r="G40" t="s">
        <v>17</v>
      </c>
      <c r="I40" t="s">
        <v>18</v>
      </c>
      <c r="K40" t="s">
        <v>19</v>
      </c>
      <c r="N40" t="s">
        <v>20</v>
      </c>
      <c r="Q40" t="s">
        <v>13</v>
      </c>
    </row>
    <row r="41" spans="1:18" x14ac:dyDescent="0.3">
      <c r="A41" t="s">
        <v>12</v>
      </c>
      <c r="I41">
        <f>J10</f>
        <v>-30.919794871794878</v>
      </c>
      <c r="K41" t="s">
        <v>21</v>
      </c>
      <c r="L41" t="s">
        <v>22</v>
      </c>
      <c r="N41" t="s">
        <v>21</v>
      </c>
      <c r="O41" t="s">
        <v>22</v>
      </c>
      <c r="Q41" t="s">
        <v>21</v>
      </c>
      <c r="R41" t="s">
        <v>22</v>
      </c>
    </row>
    <row r="42" spans="1:18" x14ac:dyDescent="0.3">
      <c r="E42">
        <v>-38</v>
      </c>
      <c r="G42">
        <v>20</v>
      </c>
      <c r="I42">
        <f t="shared" ref="I42:I46" si="0">G42+$I$41</f>
        <v>-10.919794871794878</v>
      </c>
      <c r="K42">
        <v>-10.56</v>
      </c>
      <c r="L42">
        <f>POWER(10,(K42-$I$41)/10)/1000</f>
        <v>0.10863743102146382</v>
      </c>
      <c r="N42">
        <v>-11.05</v>
      </c>
      <c r="O42">
        <f>POWER(10,(N42-$I$41)/10)/1000</f>
        <v>9.7046412870171267E-2</v>
      </c>
      <c r="Q42">
        <v>-11.33</v>
      </c>
      <c r="R42">
        <f>POWER(10,(Q42-$I$41)/10)/1000</f>
        <v>9.0987029615515427E-2</v>
      </c>
    </row>
    <row r="43" spans="1:18" x14ac:dyDescent="0.3">
      <c r="E43">
        <v>-36</v>
      </c>
      <c r="G43">
        <v>22</v>
      </c>
      <c r="I43">
        <f t="shared" si="0"/>
        <v>-8.9197948717948776</v>
      </c>
      <c r="K43">
        <v>-8.51</v>
      </c>
      <c r="L43">
        <f t="shared" ref="L43:L57" si="1">POWER(10,(K43-$I$41)/10)/1000</f>
        <v>0.17417246054156948</v>
      </c>
      <c r="N43">
        <v>-8.99</v>
      </c>
      <c r="O43">
        <f t="shared" ref="O43:O57" si="2">POWER(10,(N43-$I$41)/10)/1000</f>
        <v>0.15594788429799811</v>
      </c>
      <c r="Q43">
        <v>-9.2799999999999994</v>
      </c>
      <c r="R43">
        <f t="shared" ref="R43:R57" si="3">POWER(10,(Q43-$I$41)/10)/1000</f>
        <v>0.14587453584365337</v>
      </c>
    </row>
    <row r="44" spans="1:18" x14ac:dyDescent="0.3">
      <c r="E44">
        <v>-34</v>
      </c>
      <c r="G44">
        <v>24</v>
      </c>
      <c r="I44">
        <f t="shared" si="0"/>
        <v>-6.9197948717948776</v>
      </c>
      <c r="K44">
        <v>-6.56</v>
      </c>
      <c r="L44">
        <f t="shared" si="1"/>
        <v>0.27288488893687335</v>
      </c>
      <c r="N44">
        <v>-7.04</v>
      </c>
      <c r="O44">
        <f t="shared" si="2"/>
        <v>0.24433151460499056</v>
      </c>
      <c r="Q44">
        <v>-7.37</v>
      </c>
      <c r="R44">
        <f t="shared" si="3"/>
        <v>0.2264537345273521</v>
      </c>
    </row>
    <row r="45" spans="1:18" x14ac:dyDescent="0.3">
      <c r="E45">
        <v>-32</v>
      </c>
      <c r="G45">
        <v>26</v>
      </c>
      <c r="I45">
        <f t="shared" si="0"/>
        <v>-4.9197948717948776</v>
      </c>
      <c r="K45">
        <v>-4.62</v>
      </c>
      <c r="L45">
        <f t="shared" si="1"/>
        <v>0.42655937085401135</v>
      </c>
      <c r="N45">
        <v>-5.13</v>
      </c>
      <c r="O45">
        <f t="shared" si="2"/>
        <v>0.37929706939617042</v>
      </c>
      <c r="Q45">
        <v>-5.38</v>
      </c>
      <c r="R45">
        <f t="shared" si="3"/>
        <v>0.35807952370683138</v>
      </c>
    </row>
    <row r="46" spans="1:18" x14ac:dyDescent="0.3">
      <c r="E46">
        <v>-30</v>
      </c>
      <c r="G46">
        <v>28</v>
      </c>
      <c r="I46">
        <f t="shared" si="0"/>
        <v>-2.9197948717948776</v>
      </c>
      <c r="K46">
        <v>-2.56</v>
      </c>
      <c r="L46">
        <f t="shared" si="1"/>
        <v>0.68545584988453068</v>
      </c>
      <c r="N46">
        <v>-3.06</v>
      </c>
      <c r="O46">
        <f t="shared" si="2"/>
        <v>0.61091316925885208</v>
      </c>
      <c r="Q46">
        <v>-3.33</v>
      </c>
      <c r="R46">
        <f t="shared" si="3"/>
        <v>0.57408934588346328</v>
      </c>
    </row>
    <row r="47" spans="1:18" x14ac:dyDescent="0.3">
      <c r="E47">
        <v>-28</v>
      </c>
      <c r="G47">
        <v>30</v>
      </c>
      <c r="I47">
        <f>G47+$I$41</f>
        <v>-0.91979487179487762</v>
      </c>
      <c r="K47">
        <v>-0.62</v>
      </c>
      <c r="L47">
        <f t="shared" si="1"/>
        <v>1.0714686958814559</v>
      </c>
      <c r="N47">
        <v>-1.07</v>
      </c>
      <c r="O47">
        <f t="shared" si="2"/>
        <v>0.96600525105501478</v>
      </c>
      <c r="Q47">
        <v>-1.36</v>
      </c>
      <c r="R47">
        <f t="shared" si="3"/>
        <v>0.90360679309319225</v>
      </c>
    </row>
    <row r="48" spans="1:18" x14ac:dyDescent="0.3">
      <c r="E48">
        <v>-26</v>
      </c>
      <c r="G48">
        <v>32</v>
      </c>
      <c r="I48">
        <f>G48+$I$41</f>
        <v>1.0802051282051224</v>
      </c>
      <c r="K48">
        <v>1.38</v>
      </c>
      <c r="L48">
        <f t="shared" si="1"/>
        <v>1.6981634420377063</v>
      </c>
      <c r="N48">
        <v>0.97</v>
      </c>
      <c r="O48">
        <f t="shared" si="2"/>
        <v>1.5451814550089777</v>
      </c>
      <c r="Q48">
        <v>0.69</v>
      </c>
      <c r="R48">
        <f t="shared" si="3"/>
        <v>1.4487034260228702</v>
      </c>
    </row>
    <row r="49" spans="5:18" x14ac:dyDescent="0.3">
      <c r="E49">
        <v>-24</v>
      </c>
      <c r="G49">
        <v>34</v>
      </c>
      <c r="I49">
        <f t="shared" ref="I48:I57" si="4">G49+$I$41</f>
        <v>3.0802051282051224</v>
      </c>
      <c r="K49">
        <v>3.34</v>
      </c>
      <c r="L49">
        <f t="shared" si="1"/>
        <v>2.6667327050550522</v>
      </c>
      <c r="N49">
        <v>3.01</v>
      </c>
      <c r="O49">
        <f t="shared" si="2"/>
        <v>2.4716074020261041</v>
      </c>
      <c r="Q49">
        <v>2.74</v>
      </c>
      <c r="R49">
        <f t="shared" si="3"/>
        <v>2.3226270902480373</v>
      </c>
    </row>
    <row r="50" spans="5:18" x14ac:dyDescent="0.3">
      <c r="E50">
        <v>-22</v>
      </c>
      <c r="G50">
        <v>36</v>
      </c>
      <c r="I50">
        <f t="shared" si="4"/>
        <v>5.0802051282051224</v>
      </c>
      <c r="K50">
        <v>5.43</v>
      </c>
      <c r="L50">
        <f t="shared" si="1"/>
        <v>4.3149869557794736</v>
      </c>
      <c r="N50">
        <v>5.2</v>
      </c>
      <c r="O50">
        <f t="shared" si="2"/>
        <v>4.0924132977637839</v>
      </c>
      <c r="Q50">
        <v>4.9000000000000004</v>
      </c>
      <c r="R50">
        <f t="shared" si="3"/>
        <v>3.8192623107768426</v>
      </c>
    </row>
    <row r="51" spans="5:18" x14ac:dyDescent="0.3">
      <c r="E51">
        <v>-20</v>
      </c>
      <c r="G51">
        <v>38</v>
      </c>
      <c r="I51">
        <f t="shared" si="4"/>
        <v>7.0802051282051224</v>
      </c>
      <c r="K51">
        <v>7.47</v>
      </c>
      <c r="L51">
        <f t="shared" si="1"/>
        <v>6.9020720284846204</v>
      </c>
      <c r="N51">
        <v>7.34</v>
      </c>
      <c r="O51">
        <f t="shared" si="2"/>
        <v>6.6985296982906295</v>
      </c>
      <c r="Q51">
        <v>7.04</v>
      </c>
      <c r="R51">
        <f t="shared" si="3"/>
        <v>6.2514316499460909</v>
      </c>
    </row>
    <row r="52" spans="5:18" x14ac:dyDescent="0.3">
      <c r="E52">
        <v>-18</v>
      </c>
      <c r="G52">
        <v>40</v>
      </c>
      <c r="I52">
        <f t="shared" si="4"/>
        <v>9.0802051282051224</v>
      </c>
      <c r="K52">
        <v>9.52</v>
      </c>
      <c r="L52">
        <f t="shared" si="1"/>
        <v>11.065715165878629</v>
      </c>
      <c r="N52">
        <v>9.51</v>
      </c>
      <c r="O52">
        <f t="shared" si="2"/>
        <v>11.040264727239316</v>
      </c>
      <c r="Q52">
        <v>9.18</v>
      </c>
      <c r="R52">
        <f t="shared" si="3"/>
        <v>10.232446607208455</v>
      </c>
    </row>
    <row r="53" spans="5:18" x14ac:dyDescent="0.3">
      <c r="E53">
        <v>-16</v>
      </c>
      <c r="G53">
        <v>42</v>
      </c>
      <c r="I53">
        <f t="shared" si="4"/>
        <v>11.080205128205122</v>
      </c>
      <c r="K53">
        <v>11.69</v>
      </c>
      <c r="L53">
        <f t="shared" si="1"/>
        <v>18.238095571734629</v>
      </c>
      <c r="N53">
        <v>11.78</v>
      </c>
      <c r="O53">
        <f t="shared" si="2"/>
        <v>18.619991876818062</v>
      </c>
      <c r="Q53">
        <v>11.45</v>
      </c>
      <c r="R53">
        <f t="shared" si="3"/>
        <v>17.2575637825162</v>
      </c>
    </row>
    <row r="54" spans="5:18" x14ac:dyDescent="0.3">
      <c r="E54">
        <v>-14</v>
      </c>
      <c r="G54">
        <v>44</v>
      </c>
      <c r="I54">
        <f t="shared" si="4"/>
        <v>13.080205128205122</v>
      </c>
      <c r="K54">
        <v>13.75</v>
      </c>
      <c r="L54">
        <f t="shared" si="1"/>
        <v>29.307548150611868</v>
      </c>
      <c r="N54">
        <v>13.92</v>
      </c>
      <c r="O54">
        <f t="shared" si="2"/>
        <v>30.477510332827361</v>
      </c>
      <c r="Q54">
        <v>13.56</v>
      </c>
      <c r="R54">
        <f t="shared" si="3"/>
        <v>28.053011333953837</v>
      </c>
    </row>
    <row r="55" spans="5:18" x14ac:dyDescent="0.3">
      <c r="E55">
        <v>-12</v>
      </c>
      <c r="G55">
        <v>46</v>
      </c>
      <c r="I55">
        <f t="shared" si="4"/>
        <v>15.080205128205122</v>
      </c>
      <c r="K55">
        <v>15.89</v>
      </c>
      <c r="L55">
        <f t="shared" si="1"/>
        <v>47.971079015462479</v>
      </c>
      <c r="N55">
        <v>16.16</v>
      </c>
      <c r="O55">
        <f t="shared" si="2"/>
        <v>51.048088810991359</v>
      </c>
      <c r="Q55">
        <v>15.71</v>
      </c>
      <c r="R55">
        <f t="shared" si="3"/>
        <v>46.023483501935424</v>
      </c>
    </row>
    <row r="56" spans="5:18" x14ac:dyDescent="0.3">
      <c r="E56">
        <v>-10</v>
      </c>
      <c r="G56">
        <v>48</v>
      </c>
      <c r="I56">
        <f t="shared" si="4"/>
        <v>17.080205128205122</v>
      </c>
      <c r="K56">
        <v>17.87</v>
      </c>
      <c r="L56">
        <f t="shared" si="1"/>
        <v>75.679714874431554</v>
      </c>
      <c r="N56">
        <v>18.21</v>
      </c>
      <c r="O56">
        <f t="shared" si="2"/>
        <v>81.842613089757918</v>
      </c>
      <c r="Q56">
        <v>17.739999999999998</v>
      </c>
      <c r="R56">
        <f t="shared" si="3"/>
        <v>73.44791760393241</v>
      </c>
    </row>
    <row r="57" spans="5:18" x14ac:dyDescent="0.3">
      <c r="E57">
        <v>-8</v>
      </c>
      <c r="G57">
        <v>50</v>
      </c>
      <c r="I57">
        <f t="shared" si="4"/>
        <v>19.080205128205122</v>
      </c>
      <c r="K57">
        <v>19.760000000000002</v>
      </c>
      <c r="L57">
        <f t="shared" si="1"/>
        <v>116.94441539271682</v>
      </c>
      <c r="N57">
        <v>20.14</v>
      </c>
      <c r="O57">
        <f t="shared" si="2"/>
        <v>127.63785208202975</v>
      </c>
      <c r="Q57">
        <v>19.55</v>
      </c>
      <c r="R57">
        <f t="shared" si="3"/>
        <v>111.42419039016883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6C35D-C53C-4D1E-832B-075DCFDCC972}"/>
</file>

<file path=customXml/itemProps2.xml><?xml version="1.0" encoding="utf-8"?>
<ds:datastoreItem xmlns:ds="http://schemas.openxmlformats.org/officeDocument/2006/customXml" ds:itemID="{818727BF-924B-4D89-BD6B-03CF43CCB154}"/>
</file>

<file path=customXml/itemProps3.xml><?xml version="1.0" encoding="utf-8"?>
<ds:datastoreItem xmlns:ds="http://schemas.openxmlformats.org/officeDocument/2006/customXml" ds:itemID="{FAD10565-23D3-4CE9-8174-FE8A77DD8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2020-11-16T16:31:22Z</dcterms:created>
  <dcterms:modified xsi:type="dcterms:W3CDTF">2020-11-16T21:42:36Z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