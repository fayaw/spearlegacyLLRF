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lac.sharepoint.com/sites/SPEARRFUPGRADE/Shared Documents/llrf/calibrations/"/>
    </mc:Choice>
  </mc:AlternateContent>
  <xr:revisionPtr revIDLastSave="7" documentId="11_3F1E5940B76E7915D974002AFE16312265D2B470" xr6:coauthVersionLast="47" xr6:coauthVersionMax="47" xr10:uidLastSave="{01BB1CD0-0F1E-40BB-AAFF-D1EF5524B85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31" i="1"/>
  <c r="G19" i="1"/>
  <c r="G30" i="1"/>
  <c r="G29" i="1"/>
  <c r="G28" i="1"/>
  <c r="G27" i="1"/>
  <c r="G24" i="1"/>
  <c r="G23" i="1"/>
  <c r="G22" i="1"/>
  <c r="G21" i="1"/>
  <c r="G18" i="1"/>
  <c r="G17" i="1"/>
  <c r="G16" i="1"/>
  <c r="G15" i="1"/>
  <c r="G12" i="1"/>
  <c r="G13" i="1"/>
  <c r="G11" i="1"/>
  <c r="G10" i="1"/>
  <c r="G7" i="1"/>
  <c r="G8" i="1"/>
  <c r="G6" i="1"/>
</calcChain>
</file>

<file path=xl/sharedStrings.xml><?xml version="1.0" encoding="utf-8"?>
<sst xmlns="http://schemas.openxmlformats.org/spreadsheetml/2006/main" count="77" uniqueCount="53">
  <si>
    <t>Reflected Power trip point measurements</t>
  </si>
  <si>
    <t>Signal</t>
  </si>
  <si>
    <t>attenuation</t>
  </si>
  <si>
    <t>coupled power</t>
  </si>
  <si>
    <t>power in IQA</t>
  </si>
  <si>
    <t>IQA Channel</t>
  </si>
  <si>
    <t>Amplitude</t>
  </si>
  <si>
    <t>I</t>
  </si>
  <si>
    <t>Q</t>
  </si>
  <si>
    <t>Power</t>
  </si>
  <si>
    <t>Setup</t>
  </si>
  <si>
    <t>RF3 out</t>
  </si>
  <si>
    <t>external Attn</t>
  </si>
  <si>
    <t>Amplifier</t>
  </si>
  <si>
    <t>IQA input</t>
  </si>
  <si>
    <t>coupler</t>
  </si>
  <si>
    <t>IQA1Ch2</t>
  </si>
  <si>
    <t>Status</t>
  </si>
  <si>
    <t>Warning</t>
  </si>
  <si>
    <t>OK</t>
  </si>
  <si>
    <t>Threshold</t>
  </si>
  <si>
    <t>IQA1:MODU.AT1</t>
  </si>
  <si>
    <t>IQA1:MODU.AD1</t>
  </si>
  <si>
    <t>IQA1:MODU.IDT1</t>
  </si>
  <si>
    <t>IQA1:MODU.QDT1</t>
  </si>
  <si>
    <t>KLYSOUTREFL:POWER</t>
  </si>
  <si>
    <t>CAV1REFL:POWER</t>
  </si>
  <si>
    <t>IQA2Ch2</t>
  </si>
  <si>
    <t>IQA2:MODU.AT1</t>
  </si>
  <si>
    <t>IQA2:MODU.AD1</t>
  </si>
  <si>
    <t>IQA2:MODU.IDT1</t>
  </si>
  <si>
    <t>IQA2:MODU.QDT1</t>
  </si>
  <si>
    <t>Fault</t>
  </si>
  <si>
    <t>HIGH</t>
  </si>
  <si>
    <t>HIHI</t>
  </si>
  <si>
    <t>CAV2REFL:POWER</t>
  </si>
  <si>
    <t>IQA2Ch4</t>
  </si>
  <si>
    <t>IQA2:MODU.AT3</t>
  </si>
  <si>
    <t>IQA2:MODU.AD3</t>
  </si>
  <si>
    <t>IQA2:MODU.IDT3</t>
  </si>
  <si>
    <t>IQA2:MODU.QDT3</t>
  </si>
  <si>
    <t>CAV3REFL:POWER</t>
  </si>
  <si>
    <t>CAV4REFL:POWER</t>
  </si>
  <si>
    <t>IQA3:MODU.QDT3</t>
  </si>
  <si>
    <t>IQA3:MODU.IDT3</t>
  </si>
  <si>
    <t>IQA3:MODU.AD3</t>
  </si>
  <si>
    <t>IQA3:MODU.AT3</t>
  </si>
  <si>
    <t>IQA3Ch4</t>
  </si>
  <si>
    <t>IQA3Ch2</t>
  </si>
  <si>
    <t>IQA3:MODU.AT1</t>
  </si>
  <si>
    <t>IQA3:MODU.AD1</t>
  </si>
  <si>
    <t>IQA3:MODU.IDT1</t>
  </si>
  <si>
    <t>IQA3:MODU.QDT1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</si>
</sst>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G6" sqref="G6"/>
    </sheetView>
  </sheetViews>
  <sheetFormatPr defaultRowHeight="15" x14ac:dyDescent="0.25"/>
  <cols>
    <col min="1" max="1" width="18.7109375" customWidth="1"/>
    <col min="5" max="5" width="16.42578125" customWidth="1"/>
    <col min="6" max="6" width="18.7109375" customWidth="1"/>
    <col min="7" max="7" width="13.42578125" customWidth="1"/>
    <col min="8" max="8" width="14.7109375" customWidth="1"/>
    <col min="9" max="9" width="11.42578125" customWidth="1"/>
    <col min="10" max="10" width="18.5703125" customWidth="1"/>
    <col min="11" max="11" width="14.7109375" customWidth="1"/>
    <col min="12" max="12" width="16.85546875" customWidth="1"/>
    <col min="14" max="14" width="16.7109375" customWidth="1"/>
    <col min="16" max="16" width="19.28515625" customWidth="1"/>
  </cols>
  <sheetData>
    <row r="1" spans="1:20" x14ac:dyDescent="0.25">
      <c r="A1" t="s">
        <v>0</v>
      </c>
      <c r="F1" s="1">
        <v>44235</v>
      </c>
    </row>
    <row r="2" spans="1:20" x14ac:dyDescent="0.25">
      <c r="F2" s="1"/>
    </row>
    <row r="3" spans="1:2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 t="s">
        <v>15</v>
      </c>
    </row>
    <row r="4" spans="1:20" x14ac:dyDescent="0.25">
      <c r="F4">
        <v>-19.45</v>
      </c>
    </row>
    <row r="5" spans="1:20" x14ac:dyDescent="0.25">
      <c r="A5" t="s">
        <v>1</v>
      </c>
      <c r="C5" t="s">
        <v>5</v>
      </c>
      <c r="E5" t="s">
        <v>2</v>
      </c>
      <c r="F5" t="s">
        <v>3</v>
      </c>
      <c r="G5" t="s">
        <v>4</v>
      </c>
      <c r="I5" t="s">
        <v>20</v>
      </c>
      <c r="K5" t="s">
        <v>6</v>
      </c>
      <c r="M5" t="s">
        <v>7</v>
      </c>
      <c r="O5" t="s">
        <v>8</v>
      </c>
      <c r="Q5" t="s">
        <v>9</v>
      </c>
      <c r="R5" t="s">
        <v>33</v>
      </c>
      <c r="S5" t="s">
        <v>34</v>
      </c>
      <c r="T5" t="s">
        <v>17</v>
      </c>
    </row>
    <row r="6" spans="1:20" x14ac:dyDescent="0.25">
      <c r="A6" t="s">
        <v>25</v>
      </c>
      <c r="C6" s="2" t="s">
        <v>16</v>
      </c>
      <c r="E6">
        <v>16</v>
      </c>
      <c r="F6">
        <v>-12.37</v>
      </c>
      <c r="G6">
        <f>F6-$F$4</f>
        <v>7.08</v>
      </c>
      <c r="H6" t="s">
        <v>21</v>
      </c>
      <c r="I6">
        <v>0.182</v>
      </c>
      <c r="J6" t="s">
        <v>22</v>
      </c>
      <c r="K6">
        <v>0.17799999999999999</v>
      </c>
      <c r="L6" t="s">
        <v>23</v>
      </c>
      <c r="M6">
        <v>234</v>
      </c>
      <c r="N6" t="s">
        <v>24</v>
      </c>
      <c r="O6">
        <v>-1687</v>
      </c>
      <c r="P6" t="s">
        <v>25</v>
      </c>
      <c r="Q6">
        <v>8.1</v>
      </c>
      <c r="R6">
        <v>10.8</v>
      </c>
      <c r="S6">
        <v>11.4</v>
      </c>
      <c r="T6" t="s">
        <v>19</v>
      </c>
    </row>
    <row r="7" spans="1:20" x14ac:dyDescent="0.25">
      <c r="E7">
        <v>15</v>
      </c>
      <c r="F7">
        <v>-11.04</v>
      </c>
      <c r="G7">
        <f>F7-$F$4</f>
        <v>8.41</v>
      </c>
      <c r="K7">
        <v>0.20200000000000001</v>
      </c>
      <c r="M7">
        <v>225</v>
      </c>
      <c r="O7">
        <v>-2020</v>
      </c>
      <c r="Q7">
        <v>11</v>
      </c>
      <c r="T7" t="s">
        <v>18</v>
      </c>
    </row>
    <row r="8" spans="1:20" x14ac:dyDescent="0.25">
      <c r="E8">
        <v>14</v>
      </c>
      <c r="F8">
        <v>-10.029999999999999</v>
      </c>
      <c r="G8">
        <f>F8-$F$4</f>
        <v>9.42</v>
      </c>
      <c r="K8">
        <v>0.222</v>
      </c>
      <c r="M8">
        <v>193</v>
      </c>
      <c r="O8">
        <v>-2273</v>
      </c>
      <c r="Q8">
        <v>13.8</v>
      </c>
      <c r="T8" t="s">
        <v>32</v>
      </c>
    </row>
    <row r="10" spans="1:20" x14ac:dyDescent="0.25">
      <c r="A10" t="s">
        <v>26</v>
      </c>
      <c r="C10" t="s">
        <v>27</v>
      </c>
      <c r="E10">
        <v>10</v>
      </c>
      <c r="F10">
        <v>-6.13</v>
      </c>
      <c r="G10">
        <f>F10-$F$4</f>
        <v>13.32</v>
      </c>
      <c r="H10" t="s">
        <v>28</v>
      </c>
      <c r="I10">
        <v>0.42499999999999999</v>
      </c>
      <c r="J10" t="s">
        <v>29</v>
      </c>
      <c r="K10">
        <v>0.32900000000000001</v>
      </c>
      <c r="L10" t="s">
        <v>30</v>
      </c>
      <c r="M10">
        <v>112</v>
      </c>
      <c r="N10" t="s">
        <v>31</v>
      </c>
      <c r="O10">
        <v>-3354</v>
      </c>
      <c r="P10" t="s">
        <v>26</v>
      </c>
      <c r="Q10">
        <v>46.5</v>
      </c>
      <c r="R10">
        <v>81</v>
      </c>
      <c r="S10">
        <v>85.5</v>
      </c>
      <c r="T10" t="s">
        <v>19</v>
      </c>
    </row>
    <row r="11" spans="1:20" x14ac:dyDescent="0.25">
      <c r="E11">
        <v>9</v>
      </c>
      <c r="F11">
        <v>-5.12</v>
      </c>
      <c r="G11">
        <f>F11-$F$4</f>
        <v>14.329999999999998</v>
      </c>
      <c r="K11">
        <v>0.36499999999999999</v>
      </c>
      <c r="M11">
        <v>40</v>
      </c>
      <c r="O11">
        <v>-3789</v>
      </c>
      <c r="Q11">
        <v>59</v>
      </c>
      <c r="T11" t="s">
        <v>19</v>
      </c>
    </row>
    <row r="12" spans="1:20" x14ac:dyDescent="0.25">
      <c r="E12">
        <v>8</v>
      </c>
      <c r="F12">
        <v>-4.28</v>
      </c>
      <c r="G12">
        <f t="shared" ref="G12:G13" si="0">F12-$F$4</f>
        <v>15.169999999999998</v>
      </c>
      <c r="K12">
        <v>0.4</v>
      </c>
      <c r="M12">
        <v>110</v>
      </c>
      <c r="O12">
        <v>-4151</v>
      </c>
      <c r="Q12">
        <v>71.3</v>
      </c>
      <c r="T12" t="s">
        <v>19</v>
      </c>
    </row>
    <row r="13" spans="1:20" x14ac:dyDescent="0.25">
      <c r="E13">
        <v>7</v>
      </c>
      <c r="F13">
        <v>-3.26</v>
      </c>
      <c r="G13">
        <f t="shared" si="0"/>
        <v>16.189999999999998</v>
      </c>
      <c r="K13">
        <v>0.44500000000000001</v>
      </c>
      <c r="M13">
        <v>34</v>
      </c>
      <c r="O13">
        <v>-4683</v>
      </c>
      <c r="Q13">
        <v>88.6</v>
      </c>
      <c r="T13" t="s">
        <v>32</v>
      </c>
    </row>
    <row r="15" spans="1:20" x14ac:dyDescent="0.25">
      <c r="A15" t="s">
        <v>35</v>
      </c>
      <c r="C15" t="s">
        <v>36</v>
      </c>
      <c r="E15">
        <v>10</v>
      </c>
      <c r="F15">
        <v>-6.16</v>
      </c>
      <c r="G15">
        <f>F15-$F$4</f>
        <v>13.29</v>
      </c>
      <c r="H15" t="s">
        <v>37</v>
      </c>
      <c r="I15">
        <v>0.49299999999999999</v>
      </c>
      <c r="J15" t="s">
        <v>38</v>
      </c>
      <c r="K15">
        <v>0.32700000000000001</v>
      </c>
      <c r="L15" t="s">
        <v>39</v>
      </c>
      <c r="M15">
        <v>1970</v>
      </c>
      <c r="N15" t="s">
        <v>40</v>
      </c>
      <c r="O15">
        <v>3149</v>
      </c>
      <c r="P15" t="s">
        <v>35</v>
      </c>
      <c r="Q15">
        <v>35.200000000000003</v>
      </c>
      <c r="R15">
        <v>81</v>
      </c>
      <c r="S15">
        <v>85.5</v>
      </c>
      <c r="T15" t="s">
        <v>19</v>
      </c>
    </row>
    <row r="16" spans="1:20" x14ac:dyDescent="0.25">
      <c r="E16">
        <v>9</v>
      </c>
      <c r="F16">
        <v>-5.14</v>
      </c>
      <c r="G16">
        <f>F16-$F$4</f>
        <v>14.309999999999999</v>
      </c>
      <c r="K16">
        <v>0.36199999999999999</v>
      </c>
      <c r="M16">
        <v>2296</v>
      </c>
      <c r="O16">
        <v>3483</v>
      </c>
      <c r="Q16">
        <v>44.3</v>
      </c>
      <c r="T16" t="s">
        <v>19</v>
      </c>
    </row>
    <row r="17" spans="1:20" x14ac:dyDescent="0.25">
      <c r="E17">
        <v>8</v>
      </c>
      <c r="F17">
        <v>-4.32</v>
      </c>
      <c r="G17">
        <f t="shared" ref="G17:G19" si="1">F17-$F$4</f>
        <v>15.129999999999999</v>
      </c>
      <c r="K17">
        <v>0.39600000000000002</v>
      </c>
      <c r="M17">
        <v>2474</v>
      </c>
      <c r="O17">
        <v>3878</v>
      </c>
      <c r="Q17">
        <v>54.4</v>
      </c>
      <c r="T17" t="s">
        <v>19</v>
      </c>
    </row>
    <row r="18" spans="1:20" x14ac:dyDescent="0.25">
      <c r="E18">
        <v>7</v>
      </c>
      <c r="F18">
        <v>-3.54</v>
      </c>
      <c r="G18">
        <f t="shared" si="1"/>
        <v>15.91</v>
      </c>
      <c r="K18">
        <v>0.43099999999999999</v>
      </c>
      <c r="M18">
        <v>2766</v>
      </c>
      <c r="O18">
        <v>4155</v>
      </c>
      <c r="Q18">
        <v>64.5</v>
      </c>
      <c r="T18" t="s">
        <v>19</v>
      </c>
    </row>
    <row r="19" spans="1:20" x14ac:dyDescent="0.25">
      <c r="E19">
        <v>6</v>
      </c>
      <c r="F19">
        <v>-2.19</v>
      </c>
      <c r="G19">
        <f t="shared" si="1"/>
        <v>17.259999999999998</v>
      </c>
      <c r="K19">
        <v>0.495</v>
      </c>
      <c r="M19">
        <v>3311</v>
      </c>
      <c r="O19">
        <v>4824</v>
      </c>
      <c r="Q19">
        <v>87.2</v>
      </c>
      <c r="T19" t="s">
        <v>32</v>
      </c>
    </row>
    <row r="21" spans="1:20" x14ac:dyDescent="0.25">
      <c r="A21" t="s">
        <v>41</v>
      </c>
      <c r="C21" t="s">
        <v>48</v>
      </c>
      <c r="E21">
        <v>10</v>
      </c>
      <c r="F21">
        <v>-6.16</v>
      </c>
      <c r="G21">
        <f>F21-$F$4</f>
        <v>13.29</v>
      </c>
      <c r="H21" t="s">
        <v>49</v>
      </c>
      <c r="I21">
        <v>0.48599999999999999</v>
      </c>
      <c r="J21" t="s">
        <v>50</v>
      </c>
      <c r="K21">
        <v>0.33500000000000002</v>
      </c>
      <c r="L21" t="s">
        <v>51</v>
      </c>
      <c r="M21">
        <v>-741</v>
      </c>
      <c r="N21" t="s">
        <v>52</v>
      </c>
      <c r="O21">
        <v>-3531</v>
      </c>
      <c r="P21" t="s">
        <v>41</v>
      </c>
      <c r="Q21">
        <v>35.4</v>
      </c>
      <c r="R21">
        <v>81</v>
      </c>
      <c r="S21">
        <v>85.5</v>
      </c>
      <c r="T21" t="s">
        <v>19</v>
      </c>
    </row>
    <row r="22" spans="1:20" x14ac:dyDescent="0.25">
      <c r="E22">
        <v>9</v>
      </c>
      <c r="F22">
        <v>-5.12</v>
      </c>
      <c r="G22">
        <f>F22-$F$4</f>
        <v>14.329999999999998</v>
      </c>
      <c r="K22">
        <v>0.37</v>
      </c>
      <c r="M22">
        <v>-934</v>
      </c>
      <c r="O22">
        <v>-3956</v>
      </c>
      <c r="Q22">
        <v>45.1</v>
      </c>
      <c r="T22" t="s">
        <v>19</v>
      </c>
    </row>
    <row r="23" spans="1:20" x14ac:dyDescent="0.25">
      <c r="E23">
        <v>8</v>
      </c>
      <c r="F23">
        <v>-4.5199999999999996</v>
      </c>
      <c r="G23">
        <f t="shared" ref="G23:G25" si="2">F23-$F$4</f>
        <v>14.93</v>
      </c>
      <c r="K23">
        <v>0.39500000000000002</v>
      </c>
      <c r="M23">
        <v>-900</v>
      </c>
      <c r="O23">
        <v>-4279</v>
      </c>
      <c r="Q23">
        <v>52</v>
      </c>
      <c r="T23" t="s">
        <v>19</v>
      </c>
    </row>
    <row r="24" spans="1:20" x14ac:dyDescent="0.25">
      <c r="E24">
        <v>7</v>
      </c>
      <c r="F24">
        <v>-3.44</v>
      </c>
      <c r="G24">
        <f t="shared" si="2"/>
        <v>16.009999999999998</v>
      </c>
      <c r="K24">
        <v>0.442</v>
      </c>
      <c r="M24">
        <v>-1134</v>
      </c>
      <c r="O24">
        <v>-4849</v>
      </c>
      <c r="Q24">
        <v>66.3</v>
      </c>
      <c r="T24" t="s">
        <v>19</v>
      </c>
    </row>
    <row r="25" spans="1:20" x14ac:dyDescent="0.25">
      <c r="E25">
        <v>6</v>
      </c>
      <c r="F25">
        <v>-2.17</v>
      </c>
      <c r="G25">
        <f t="shared" si="2"/>
        <v>17.28</v>
      </c>
      <c r="K25">
        <v>0.50600000000000001</v>
      </c>
      <c r="M25">
        <v>-1410</v>
      </c>
      <c r="O25">
        <v>-5532</v>
      </c>
      <c r="Q25">
        <v>88.9</v>
      </c>
      <c r="T25" t="s">
        <v>32</v>
      </c>
    </row>
    <row r="27" spans="1:20" x14ac:dyDescent="0.25">
      <c r="A27" t="s">
        <v>42</v>
      </c>
      <c r="C27" t="s">
        <v>47</v>
      </c>
      <c r="E27">
        <v>10</v>
      </c>
      <c r="F27">
        <v>-6.16</v>
      </c>
      <c r="G27">
        <f>F27-$F$4</f>
        <v>13.29</v>
      </c>
      <c r="H27" t="s">
        <v>46</v>
      </c>
      <c r="I27">
        <v>0.45900000000000002</v>
      </c>
      <c r="J27" t="s">
        <v>45</v>
      </c>
      <c r="K27">
        <v>0.32900000000000001</v>
      </c>
      <c r="L27" t="s">
        <v>44</v>
      </c>
      <c r="M27">
        <v>2508</v>
      </c>
      <c r="N27" t="s">
        <v>43</v>
      </c>
      <c r="O27">
        <v>2819</v>
      </c>
      <c r="P27" t="s">
        <v>42</v>
      </c>
      <c r="Q27">
        <v>39.700000000000003</v>
      </c>
      <c r="R27">
        <v>81</v>
      </c>
      <c r="S27">
        <v>85.5</v>
      </c>
      <c r="T27" t="s">
        <v>19</v>
      </c>
    </row>
    <row r="28" spans="1:20" x14ac:dyDescent="0.25">
      <c r="E28">
        <v>9</v>
      </c>
      <c r="F28">
        <v>-5.15</v>
      </c>
      <c r="G28">
        <f>F28-$F$4</f>
        <v>14.299999999999999</v>
      </c>
      <c r="K28">
        <v>0.36399999999999999</v>
      </c>
      <c r="M28">
        <v>2896</v>
      </c>
      <c r="O28">
        <v>3093</v>
      </c>
      <c r="Q28">
        <v>50</v>
      </c>
      <c r="T28" t="s">
        <v>19</v>
      </c>
    </row>
    <row r="29" spans="1:20" x14ac:dyDescent="0.25">
      <c r="E29">
        <v>8</v>
      </c>
      <c r="F29">
        <v>-4.37</v>
      </c>
      <c r="G29">
        <f t="shared" ref="G29:G31" si="3">F29-$F$4</f>
        <v>15.079999999999998</v>
      </c>
      <c r="K29">
        <v>0.39600000000000002</v>
      </c>
      <c r="M29">
        <v>3126</v>
      </c>
      <c r="O29">
        <v>3460</v>
      </c>
      <c r="Q29">
        <v>60.8</v>
      </c>
      <c r="T29" t="s">
        <v>19</v>
      </c>
    </row>
    <row r="30" spans="1:20" x14ac:dyDescent="0.25">
      <c r="E30">
        <v>7</v>
      </c>
      <c r="F30">
        <v>-3.45</v>
      </c>
      <c r="G30">
        <f t="shared" si="3"/>
        <v>16</v>
      </c>
      <c r="K30">
        <v>0.435</v>
      </c>
      <c r="M30">
        <v>3472</v>
      </c>
      <c r="O30">
        <v>3702</v>
      </c>
      <c r="Q30">
        <v>71.5</v>
      </c>
      <c r="T30" t="s">
        <v>19</v>
      </c>
    </row>
    <row r="31" spans="1:20" x14ac:dyDescent="0.25">
      <c r="E31">
        <v>6</v>
      </c>
      <c r="F31">
        <v>-2.19</v>
      </c>
      <c r="G31">
        <f t="shared" si="3"/>
        <v>17.259999999999998</v>
      </c>
      <c r="K31">
        <v>0.495</v>
      </c>
      <c r="M31">
        <v>4158</v>
      </c>
      <c r="O31">
        <v>4272</v>
      </c>
      <c r="Q31">
        <v>99.2</v>
      </c>
      <c r="T3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7bf6b67f00dda9faad049ac569bdc544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226d07ee899d5f3e051fec1a6a68ef05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5996AC-9D5F-4446-AA66-8266B60D9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99C13F-E2BD-41D7-ACDE-2B000F86F6C5}"/>
</file>

<file path=customXml/itemProps3.xml><?xml version="1.0" encoding="utf-8"?>
<ds:datastoreItem xmlns:ds="http://schemas.openxmlformats.org/officeDocument/2006/customXml" ds:itemID="{10095723-55C4-4B1B-9851-9293F1C8C52F}">
  <ds:schemaRefs>
    <ds:schemaRef ds:uri="http://schemas.microsoft.com/office/2006/metadata/properties"/>
    <ds:schemaRef ds:uri="http://schemas.microsoft.com/office/infopath/2007/PartnerControls"/>
    <ds:schemaRef ds:uri="2ae7472c-b71f-4cab-b94a-416f482a757b"/>
    <ds:schemaRef ds:uri="41b3182d-22ee-41df-9219-a7264fbbfb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Wang, Faya</cp:lastModifiedBy>
  <dcterms:created xsi:type="dcterms:W3CDTF">2021-02-08T19:13:03Z</dcterms:created>
  <dcterms:modified xsi:type="dcterms:W3CDTF">2026-03-05T04:42:24Z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  <property fmtid="{D5CDD505-2E9C-101B-9397-08002B2CF9AE}" pid="3" name="MediaServiceImageTags">
    <vt:lpwstr/>
  </property>
</Properties>
</file>