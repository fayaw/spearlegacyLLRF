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iles\Documents\spear3\llrf\calibration\"/>
    </mc:Choice>
  </mc:AlternateContent>
  <bookViews>
    <workbookView xWindow="0" yWindow="0" windowWidth="15504" windowHeight="80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8" i="1" l="1"/>
  <c r="S13" i="1"/>
  <c r="S10" i="1"/>
  <c r="S7" i="1"/>
  <c r="S4" i="1"/>
  <c r="F5" i="1" l="1"/>
  <c r="F6" i="1"/>
  <c r="F8" i="1"/>
  <c r="F9" i="1"/>
  <c r="F11" i="1"/>
  <c r="F12" i="1"/>
  <c r="F14" i="1"/>
  <c r="F15" i="1"/>
  <c r="F19" i="1"/>
</calcChain>
</file>

<file path=xl/sharedStrings.xml><?xml version="1.0" encoding="utf-8"?>
<sst xmlns="http://schemas.openxmlformats.org/spreadsheetml/2006/main" count="116" uniqueCount="93">
  <si>
    <t>SPEAR3 LLRF cable configuration at patch panel at B132-11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</si>
  <si>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</si>
  <si>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</si>
  <si>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</si>
  <si>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</si>
  <si>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</si>
  <si>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</si>
  <si>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</si>
  <si>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</si>
  <si>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</si>
  <si>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</si>
  <si>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</si>
  <si>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</si>
  <si>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</si>
  <si>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</si>
  <si>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</si>
  <si>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</si>
  <si>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</si>
  <si>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</si>
  <si>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</si>
  <si>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</si>
  <si>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</si>
  <si>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</si>
  <si>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</si>
  <si>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</si>
  <si>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</si>
  <si>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</si>
  <si>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</si>
  <si>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</si>
  <si>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</si>
  <si>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</si>
  <si>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 number</t>
  </si>
  <si>
    <t>Cable Function</t>
  </si>
  <si>
    <t>Coupler</t>
  </si>
  <si>
    <t>Coupler Cable</t>
  </si>
  <si>
    <t>Magic T3 Forward</t>
  </si>
  <si>
    <t>Magic T3 Reflected</t>
  </si>
  <si>
    <t>HER BPM Monitor</t>
  </si>
  <si>
    <t>LER BPM Monitor</t>
  </si>
  <si>
    <t>Spare</t>
  </si>
  <si>
    <t>Magic T1 Forward</t>
  </si>
  <si>
    <t>Magic T1 Reflected</t>
  </si>
  <si>
    <t>Magic T2 Forward</t>
  </si>
  <si>
    <t>Magic T2 Reflected</t>
  </si>
  <si>
    <t>Circulator Load Forward</t>
  </si>
  <si>
    <t>Circulator Load Reflected</t>
  </si>
  <si>
    <t>476 MHz Ref In</t>
  </si>
  <si>
    <t>Klystron Drive</t>
  </si>
  <si>
    <t>Klystron Forward</t>
  </si>
  <si>
    <t>Klystron Reflected</t>
  </si>
  <si>
    <t>Cavity A Probe</t>
  </si>
  <si>
    <t>Cavity A Forward</t>
  </si>
  <si>
    <t>Cavity A Reflected</t>
  </si>
  <si>
    <t>Cavity B Probe</t>
  </si>
  <si>
    <t>Cavity B Forward</t>
  </si>
  <si>
    <t>Cavity B Reflected</t>
  </si>
  <si>
    <t>Cavity C Probe</t>
  </si>
  <si>
    <t>Cavity C Forward</t>
  </si>
  <si>
    <t>Cavity C Reflected</t>
  </si>
  <si>
    <t>Cavity D Probe</t>
  </si>
  <si>
    <t>Cavity D Forward</t>
  </si>
  <si>
    <t>Cavity D Reflected</t>
  </si>
  <si>
    <t>Drive Power -50dB</t>
  </si>
  <si>
    <t>132-14</t>
  </si>
  <si>
    <t>Coupler Loss (add to cable loss in powers pages)</t>
  </si>
  <si>
    <t>Cable Loss (orig)</t>
  </si>
  <si>
    <t>Cable Loss</t>
  </si>
  <si>
    <t>llrf9</t>
  </si>
  <si>
    <t>CH0</t>
  </si>
  <si>
    <t>CH5</t>
  </si>
  <si>
    <t>CH1</t>
  </si>
  <si>
    <t>CH6</t>
  </si>
  <si>
    <t>CH4</t>
  </si>
  <si>
    <t>CH8</t>
  </si>
  <si>
    <t>CH3</t>
  </si>
  <si>
    <t>CH7</t>
  </si>
  <si>
    <t>CH2</t>
  </si>
  <si>
    <t>Attn</t>
  </si>
  <si>
    <t>Cable</t>
  </si>
  <si>
    <t>power attn</t>
  </si>
  <si>
    <t>power raw</t>
  </si>
  <si>
    <t>RF3 (VXI RF Dist Module)</t>
  </si>
  <si>
    <t>RF REF</t>
  </si>
  <si>
    <t>Add MCL ZAPD-900-5W-N+ to five signals</t>
  </si>
  <si>
    <t>power orig</t>
  </si>
  <si>
    <t>power cpl</t>
  </si>
  <si>
    <t>dB change</t>
  </si>
  <si>
    <t>RF Ref (RF3 VXI RF Dist Module)</t>
  </si>
  <si>
    <t>one stripe</t>
  </si>
  <si>
    <t>two stripes</t>
  </si>
  <si>
    <t>three stripes</t>
  </si>
  <si>
    <t>RF Out (RFP RF Out)</t>
  </si>
  <si>
    <t>Drive Amp in (RFP RF Out 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</si>
</sst>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topLeftCell="A20" workbookViewId="0">
      <selection activeCell="J39" sqref="J39"/>
    </sheetView>
  </sheetViews>
  <sheetFormatPr defaultRowHeight="14.4" x14ac:dyDescent="0.3"/>
  <cols>
    <col min="2" max="2" width="22.77734375" customWidth="1"/>
    <col min="4" max="6" width="12.44140625" customWidth="1"/>
    <col min="7" max="7" width="17.77734375" customWidth="1"/>
    <col min="8" max="12" width="8.88671875" customWidth="1"/>
  </cols>
  <sheetData>
    <row r="1" spans="1:19" x14ac:dyDescent="0.3">
      <c r="A1" t="s">
        <v>0</v>
      </c>
    </row>
    <row r="2" spans="1:19" x14ac:dyDescent="0.3">
      <c r="N2" t="s">
        <v>83</v>
      </c>
    </row>
    <row r="3" spans="1:19" x14ac:dyDescent="0.3">
      <c r="A3" t="s">
        <v>31</v>
      </c>
      <c r="B3" t="s">
        <v>32</v>
      </c>
      <c r="C3" t="s">
        <v>33</v>
      </c>
      <c r="D3" t="s">
        <v>64</v>
      </c>
      <c r="E3" t="s">
        <v>65</v>
      </c>
      <c r="F3" t="s">
        <v>66</v>
      </c>
      <c r="G3" t="s">
        <v>34</v>
      </c>
      <c r="H3" t="s">
        <v>63</v>
      </c>
      <c r="I3" t="s">
        <v>80</v>
      </c>
      <c r="J3" t="s">
        <v>77</v>
      </c>
      <c r="K3" t="s">
        <v>79</v>
      </c>
      <c r="L3" t="s">
        <v>78</v>
      </c>
      <c r="M3" t="s">
        <v>67</v>
      </c>
      <c r="N3" t="s">
        <v>84</v>
      </c>
      <c r="O3" t="s">
        <v>80</v>
      </c>
      <c r="P3" t="s">
        <v>85</v>
      </c>
      <c r="Q3" t="s">
        <v>77</v>
      </c>
      <c r="R3" t="s">
        <v>79</v>
      </c>
      <c r="S3" t="s">
        <v>86</v>
      </c>
    </row>
    <row r="4" spans="1:19" x14ac:dyDescent="0.3">
      <c r="A4" t="s">
        <v>1</v>
      </c>
      <c r="B4" t="s">
        <v>50</v>
      </c>
      <c r="C4">
        <v>102</v>
      </c>
      <c r="G4">
        <v>102</v>
      </c>
      <c r="H4" t="s">
        <v>2</v>
      </c>
      <c r="I4">
        <v>3.52</v>
      </c>
      <c r="J4">
        <v>7</v>
      </c>
      <c r="K4">
        <v>-3.62</v>
      </c>
      <c r="L4">
        <v>10</v>
      </c>
      <c r="M4" t="s">
        <v>68</v>
      </c>
      <c r="N4">
        <v>-3.52</v>
      </c>
      <c r="O4">
        <v>3.68</v>
      </c>
      <c r="P4">
        <v>0.28000000000000003</v>
      </c>
      <c r="Q4">
        <v>4</v>
      </c>
      <c r="R4">
        <v>-3.81</v>
      </c>
      <c r="S4">
        <f>R4-O4+I4-K4</f>
        <v>-0.35000000000000009</v>
      </c>
    </row>
    <row r="5" spans="1:19" x14ac:dyDescent="0.3">
      <c r="A5" t="s">
        <v>2</v>
      </c>
      <c r="B5" t="s">
        <v>51</v>
      </c>
      <c r="C5">
        <v>1</v>
      </c>
      <c r="D5">
        <v>0.42</v>
      </c>
      <c r="E5">
        <v>1.94</v>
      </c>
      <c r="F5">
        <f>SUM(D5:E5)</f>
        <v>2.36</v>
      </c>
      <c r="G5">
        <v>1</v>
      </c>
      <c r="H5" t="s">
        <v>6</v>
      </c>
      <c r="I5">
        <v>-2.12</v>
      </c>
      <c r="J5">
        <v>1</v>
      </c>
      <c r="K5">
        <v>-3.21</v>
      </c>
      <c r="L5">
        <v>5</v>
      </c>
      <c r="M5" t="s">
        <v>69</v>
      </c>
    </row>
    <row r="6" spans="1:19" x14ac:dyDescent="0.3">
      <c r="A6" t="s">
        <v>3</v>
      </c>
      <c r="B6" t="s">
        <v>52</v>
      </c>
      <c r="C6">
        <v>2</v>
      </c>
      <c r="D6">
        <v>0.41</v>
      </c>
      <c r="E6">
        <v>1.95</v>
      </c>
      <c r="F6">
        <f>SUM(D6:E6)</f>
        <v>2.36</v>
      </c>
      <c r="G6">
        <v>2</v>
      </c>
      <c r="H6" t="s">
        <v>16</v>
      </c>
    </row>
    <row r="7" spans="1:19" x14ac:dyDescent="0.3">
      <c r="A7" t="s">
        <v>4</v>
      </c>
      <c r="B7" t="s">
        <v>53</v>
      </c>
      <c r="C7">
        <v>103</v>
      </c>
      <c r="G7">
        <v>103</v>
      </c>
      <c r="H7" t="s">
        <v>3</v>
      </c>
      <c r="I7">
        <v>3.88</v>
      </c>
      <c r="J7">
        <v>7</v>
      </c>
      <c r="K7">
        <v>-3.33</v>
      </c>
      <c r="L7">
        <v>1</v>
      </c>
      <c r="M7" t="s">
        <v>70</v>
      </c>
      <c r="N7">
        <v>-3.23</v>
      </c>
      <c r="O7">
        <v>3.97</v>
      </c>
      <c r="P7">
        <v>0.52</v>
      </c>
      <c r="Q7">
        <v>4</v>
      </c>
      <c r="R7">
        <v>-3.57</v>
      </c>
      <c r="S7">
        <f>R7-O7+I7-K7</f>
        <v>-0.33000000000000007</v>
      </c>
    </row>
    <row r="8" spans="1:19" x14ac:dyDescent="0.3">
      <c r="A8" t="s">
        <v>5</v>
      </c>
      <c r="B8" t="s">
        <v>54</v>
      </c>
      <c r="C8">
        <v>3</v>
      </c>
      <c r="D8">
        <v>0.41</v>
      </c>
      <c r="E8">
        <v>1.76</v>
      </c>
      <c r="F8">
        <f>SUM(D8:E8)</f>
        <v>2.17</v>
      </c>
      <c r="G8">
        <v>3</v>
      </c>
      <c r="H8" t="s">
        <v>7</v>
      </c>
      <c r="I8">
        <v>-3.15</v>
      </c>
      <c r="J8">
        <v>0</v>
      </c>
      <c r="K8">
        <v>-3.15</v>
      </c>
      <c r="L8">
        <v>6</v>
      </c>
      <c r="M8" t="s">
        <v>71</v>
      </c>
    </row>
    <row r="9" spans="1:19" x14ac:dyDescent="0.3">
      <c r="A9" t="s">
        <v>6</v>
      </c>
      <c r="B9" t="s">
        <v>55</v>
      </c>
      <c r="C9">
        <v>4</v>
      </c>
      <c r="D9">
        <v>0.38</v>
      </c>
      <c r="E9">
        <v>1.79</v>
      </c>
      <c r="F9">
        <f>SUM(D9:E9)</f>
        <v>2.17</v>
      </c>
      <c r="G9">
        <v>4</v>
      </c>
      <c r="H9" t="s">
        <v>17</v>
      </c>
    </row>
    <row r="10" spans="1:19" x14ac:dyDescent="0.3">
      <c r="A10" t="s">
        <v>7</v>
      </c>
      <c r="B10" t="s">
        <v>56</v>
      </c>
      <c r="C10">
        <v>104</v>
      </c>
      <c r="G10">
        <v>104</v>
      </c>
      <c r="H10" t="s">
        <v>4</v>
      </c>
      <c r="I10">
        <v>3.69</v>
      </c>
      <c r="J10">
        <v>7</v>
      </c>
      <c r="K10">
        <v>-3.42</v>
      </c>
      <c r="L10">
        <v>3</v>
      </c>
      <c r="M10" t="s">
        <v>74</v>
      </c>
      <c r="N10">
        <v>-3.32</v>
      </c>
      <c r="O10">
        <v>3.85</v>
      </c>
      <c r="P10">
        <v>0.43</v>
      </c>
      <c r="Q10">
        <v>4</v>
      </c>
      <c r="R10">
        <v>-3.68</v>
      </c>
      <c r="S10">
        <f>R10-O10+I10-K10</f>
        <v>-0.42000000000000037</v>
      </c>
    </row>
    <row r="11" spans="1:19" x14ac:dyDescent="0.3">
      <c r="A11" t="s">
        <v>8</v>
      </c>
      <c r="B11" t="s">
        <v>57</v>
      </c>
      <c r="C11">
        <v>5</v>
      </c>
      <c r="D11">
        <v>0.43</v>
      </c>
      <c r="E11">
        <v>1.81</v>
      </c>
      <c r="F11">
        <f>SUM(D11:E11)</f>
        <v>2.2400000000000002</v>
      </c>
      <c r="G11">
        <v>5</v>
      </c>
      <c r="H11" t="s">
        <v>8</v>
      </c>
      <c r="I11">
        <v>-1.87</v>
      </c>
      <c r="J11">
        <v>2</v>
      </c>
      <c r="K11">
        <v>-3.95</v>
      </c>
      <c r="L11">
        <v>7</v>
      </c>
      <c r="M11" t="s">
        <v>75</v>
      </c>
    </row>
    <row r="12" spans="1:19" x14ac:dyDescent="0.3">
      <c r="A12" t="s">
        <v>9</v>
      </c>
      <c r="B12" t="s">
        <v>58</v>
      </c>
      <c r="C12">
        <v>6</v>
      </c>
      <c r="D12">
        <v>0.4</v>
      </c>
      <c r="E12">
        <v>1.81</v>
      </c>
      <c r="F12">
        <f>SUM(D12:E12)</f>
        <v>2.21</v>
      </c>
      <c r="G12">
        <v>6</v>
      </c>
      <c r="H12" t="s">
        <v>18</v>
      </c>
    </row>
    <row r="13" spans="1:19" x14ac:dyDescent="0.3">
      <c r="A13" t="s">
        <v>10</v>
      </c>
      <c r="B13" t="s">
        <v>59</v>
      </c>
      <c r="C13">
        <v>105</v>
      </c>
      <c r="G13">
        <v>105</v>
      </c>
      <c r="H13" t="s">
        <v>5</v>
      </c>
      <c r="I13">
        <v>3.84</v>
      </c>
      <c r="J13">
        <v>7</v>
      </c>
      <c r="K13">
        <v>-3.27</v>
      </c>
      <c r="L13">
        <v>4</v>
      </c>
      <c r="M13" t="s">
        <v>72</v>
      </c>
      <c r="N13">
        <v>-3.12</v>
      </c>
      <c r="O13">
        <v>4.0199999999999996</v>
      </c>
      <c r="P13">
        <v>0.64</v>
      </c>
      <c r="Q13">
        <v>4</v>
      </c>
      <c r="R13">
        <v>-3.55</v>
      </c>
      <c r="S13">
        <f>R13-O13+I13-K13</f>
        <v>-0.45999999999999952</v>
      </c>
    </row>
    <row r="14" spans="1:19" x14ac:dyDescent="0.3">
      <c r="A14" t="s">
        <v>11</v>
      </c>
      <c r="B14" t="s">
        <v>60</v>
      </c>
      <c r="C14">
        <v>7</v>
      </c>
      <c r="D14">
        <v>0.4</v>
      </c>
      <c r="E14">
        <v>1.72</v>
      </c>
      <c r="F14">
        <f>SUM(D14:E14)</f>
        <v>2.12</v>
      </c>
      <c r="G14">
        <v>7</v>
      </c>
      <c r="H14" t="s">
        <v>9</v>
      </c>
      <c r="I14">
        <v>-2.16</v>
      </c>
      <c r="J14">
        <v>1</v>
      </c>
      <c r="K14">
        <v>-3.24</v>
      </c>
      <c r="L14">
        <v>8</v>
      </c>
      <c r="M14" t="s">
        <v>73</v>
      </c>
    </row>
    <row r="15" spans="1:19" x14ac:dyDescent="0.3">
      <c r="A15" t="s">
        <v>12</v>
      </c>
      <c r="B15" t="s">
        <v>61</v>
      </c>
      <c r="C15">
        <v>8</v>
      </c>
      <c r="D15">
        <v>0.39</v>
      </c>
      <c r="E15">
        <v>1.67</v>
      </c>
      <c r="F15">
        <f>SUM(D15:E15)</f>
        <v>2.06</v>
      </c>
      <c r="G15">
        <v>8</v>
      </c>
      <c r="H15" t="s">
        <v>19</v>
      </c>
    </row>
    <row r="16" spans="1:19" x14ac:dyDescent="0.3">
      <c r="A16" t="s">
        <v>13</v>
      </c>
      <c r="B16" t="s">
        <v>46</v>
      </c>
    </row>
    <row r="17" spans="1:19" x14ac:dyDescent="0.3">
      <c r="A17" t="s">
        <v>14</v>
      </c>
      <c r="B17" t="s">
        <v>47</v>
      </c>
    </row>
    <row r="18" spans="1:19" x14ac:dyDescent="0.3">
      <c r="A18" t="s">
        <v>15</v>
      </c>
      <c r="B18" t="s">
        <v>48</v>
      </c>
      <c r="C18">
        <v>101</v>
      </c>
      <c r="G18">
        <v>101</v>
      </c>
      <c r="H18" t="s">
        <v>1</v>
      </c>
      <c r="I18">
        <v>4.38</v>
      </c>
      <c r="J18">
        <v>8</v>
      </c>
      <c r="K18">
        <v>-3.83</v>
      </c>
      <c r="L18">
        <v>2</v>
      </c>
      <c r="M18" t="s">
        <v>76</v>
      </c>
      <c r="N18">
        <v>-3.72</v>
      </c>
      <c r="O18">
        <v>4.54</v>
      </c>
      <c r="P18">
        <v>1.17</v>
      </c>
      <c r="Q18">
        <v>5</v>
      </c>
      <c r="R18">
        <v>-3.95</v>
      </c>
      <c r="S18">
        <f>R18-O18+I18-K18</f>
        <v>-0.28000000000000025</v>
      </c>
    </row>
    <row r="19" spans="1:19" x14ac:dyDescent="0.3">
      <c r="A19" t="s">
        <v>16</v>
      </c>
      <c r="B19" t="s">
        <v>49</v>
      </c>
      <c r="C19">
        <v>9</v>
      </c>
      <c r="D19">
        <v>0.4</v>
      </c>
      <c r="E19">
        <v>1.22</v>
      </c>
      <c r="F19">
        <f>SUM(D19:E19)</f>
        <v>1.62</v>
      </c>
      <c r="G19">
        <v>9</v>
      </c>
      <c r="H19" t="s">
        <v>10</v>
      </c>
    </row>
    <row r="20" spans="1:19" x14ac:dyDescent="0.3">
      <c r="A20" t="s">
        <v>17</v>
      </c>
      <c r="B20" t="s">
        <v>39</v>
      </c>
    </row>
    <row r="21" spans="1:19" x14ac:dyDescent="0.3">
      <c r="A21" t="s">
        <v>18</v>
      </c>
      <c r="B21" t="s">
        <v>39</v>
      </c>
    </row>
    <row r="22" spans="1:19" x14ac:dyDescent="0.3">
      <c r="A22" t="s">
        <v>19</v>
      </c>
      <c r="B22" t="s">
        <v>44</v>
      </c>
    </row>
    <row r="23" spans="1:19" x14ac:dyDescent="0.3">
      <c r="A23" t="s">
        <v>20</v>
      </c>
      <c r="B23" t="s">
        <v>45</v>
      </c>
    </row>
    <row r="24" spans="1:19" x14ac:dyDescent="0.3">
      <c r="A24" t="s">
        <v>21</v>
      </c>
      <c r="B24" t="s">
        <v>40</v>
      </c>
    </row>
    <row r="25" spans="1:19" x14ac:dyDescent="0.3">
      <c r="A25" t="s">
        <v>22</v>
      </c>
      <c r="B25" t="s">
        <v>41</v>
      </c>
    </row>
    <row r="26" spans="1:19" x14ac:dyDescent="0.3">
      <c r="A26" t="s">
        <v>23</v>
      </c>
      <c r="B26" t="s">
        <v>42</v>
      </c>
    </row>
    <row r="27" spans="1:19" x14ac:dyDescent="0.3">
      <c r="A27" t="s">
        <v>24</v>
      </c>
      <c r="B27" t="s">
        <v>43</v>
      </c>
    </row>
    <row r="28" spans="1:19" x14ac:dyDescent="0.3">
      <c r="A28" t="s">
        <v>25</v>
      </c>
      <c r="B28" t="s">
        <v>35</v>
      </c>
    </row>
    <row r="29" spans="1:19" x14ac:dyDescent="0.3">
      <c r="A29" t="s">
        <v>26</v>
      </c>
      <c r="B29" t="s">
        <v>36</v>
      </c>
    </row>
    <row r="30" spans="1:19" x14ac:dyDescent="0.3">
      <c r="A30" t="s">
        <v>27</v>
      </c>
      <c r="B30" t="s">
        <v>37</v>
      </c>
    </row>
    <row r="31" spans="1:19" x14ac:dyDescent="0.3">
      <c r="A31" t="s">
        <v>28</v>
      </c>
      <c r="B31" t="s">
        <v>38</v>
      </c>
    </row>
    <row r="32" spans="1:19" x14ac:dyDescent="0.3">
      <c r="A32" t="s">
        <v>29</v>
      </c>
      <c r="B32" t="s">
        <v>39</v>
      </c>
    </row>
    <row r="33" spans="1:13" x14ac:dyDescent="0.3">
      <c r="A33" t="s">
        <v>30</v>
      </c>
      <c r="B33" t="s">
        <v>62</v>
      </c>
      <c r="G33">
        <v>10</v>
      </c>
      <c r="H33" t="s">
        <v>20</v>
      </c>
    </row>
    <row r="35" spans="1:13" x14ac:dyDescent="0.3">
      <c r="B35" t="s">
        <v>81</v>
      </c>
      <c r="I35">
        <v>12.2</v>
      </c>
      <c r="J35">
        <v>2</v>
      </c>
      <c r="K35">
        <v>10</v>
      </c>
      <c r="M35" t="s">
        <v>82</v>
      </c>
    </row>
    <row r="37" spans="1:13" x14ac:dyDescent="0.3">
      <c r="A37" t="s">
        <v>88</v>
      </c>
      <c r="B37" t="s">
        <v>87</v>
      </c>
      <c r="H37" t="s">
        <v>11</v>
      </c>
    </row>
    <row r="38" spans="1:13" x14ac:dyDescent="0.3">
      <c r="A38" t="s">
        <v>89</v>
      </c>
      <c r="B38" t="s">
        <v>91</v>
      </c>
      <c r="H38" t="s">
        <v>12</v>
      </c>
    </row>
    <row r="39" spans="1:13" x14ac:dyDescent="0.3">
      <c r="A39" t="s">
        <v>90</v>
      </c>
      <c r="B39" t="s">
        <v>92</v>
      </c>
      <c r="H39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E8B9B8F494F4F9FA5AC6115F8BAFC" ma:contentTypeVersion="14" ma:contentTypeDescription="Create a new document." ma:contentTypeScope="" ma:versionID="3d2c6979e8007f0c673cdef31668f95a">
  <xsd:schema xmlns:xsd="http://www.w3.org/2001/XMLSchema" xmlns:xs="http://www.w3.org/2001/XMLSchema" xmlns:p="http://schemas.microsoft.com/office/2006/metadata/properties" xmlns:ns2="41b3182d-22ee-41df-9219-a7264fbbfb0e" xmlns:ns3="2ae7472c-b71f-4cab-b94a-416f482a757b" targetNamespace="http://schemas.microsoft.com/office/2006/metadata/properties" ma:root="true" ma:fieldsID="f3c0934017ae9f5ce032209485dc8b02" ns2:_="" ns3:_="">
    <xsd:import namespace="41b3182d-22ee-41df-9219-a7264fbbfb0e"/>
    <xsd:import namespace="2ae7472c-b71f-4cab-b94a-416f482a7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3182d-22ee-41df-9219-a7264fbbf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d420da9-6cce-460f-935b-b5e0b28d9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472c-b71f-4cab-b94a-416f482a757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550a66c-5f6a-49ac-92d8-0dc107bde606}" ma:internalName="TaxCatchAll" ma:showField="CatchAllData" ma:web="2ae7472c-b71f-4cab-b94a-416f482a7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472c-b71f-4cab-b94a-416f482a757b" xsi:nil="true"/>
    <lcf76f155ced4ddcb4097134ff3c332f xmlns="41b3182d-22ee-41df-9219-a7264fbbfb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6CB6E8-9FEB-42A4-8CB0-B3F49125A8D0}"/>
</file>

<file path=customXml/itemProps2.xml><?xml version="1.0" encoding="utf-8"?>
<ds:datastoreItem xmlns:ds="http://schemas.openxmlformats.org/officeDocument/2006/customXml" ds:itemID="{71968B73-D037-4567-9690-E2DCDB760511}"/>
</file>

<file path=customXml/itemProps3.xml><?xml version="1.0" encoding="utf-8"?>
<ds:datastoreItem xmlns:ds="http://schemas.openxmlformats.org/officeDocument/2006/customXml" ds:itemID="{D8169164-1EE9-45FF-8BF3-BCEA8CCEA5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SLAC National Accelerator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Sebek, Jim</dc:creator>
  <cp:lastModifiedBy>Sebek, Jim</cp:lastModifiedBy>
  <dcterms:created xsi:type="dcterms:W3CDTF">2021-01-25T16:43:08Z</dcterms:created>
  <dcterms:modified xsi:type="dcterms:W3CDTF">2021-02-23T14:46:43Z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0x010100162E8B9B8F494F4F9FA5AC6115F8BAFC</vt:lpwstr>
  </property>
</Properties>
</file>