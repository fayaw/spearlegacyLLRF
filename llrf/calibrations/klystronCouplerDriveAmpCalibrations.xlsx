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files\Documents\spear3\llrf\calibration\"/>
    </mc:Choice>
  </mc:AlternateContent>
  <xr:revisionPtr revIDLastSave="0" documentId="11_4CB411FC0B5299B7D8FEAB5116D07E038192B112" xr6:coauthVersionLast="47" xr6:coauthVersionMax="47" xr10:uidLastSave="{00000000-0000-0000-0000-000000000000}"/>
  <bookViews>
    <workbookView xWindow="0" yWindow="0" windowWidth="15504" windowHeight="64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2" i="1" l="1"/>
  <c r="H66" i="1"/>
  <c r="H64" i="1"/>
  <c r="H63" i="1"/>
  <c r="F72" i="1"/>
  <c r="F70" i="1"/>
  <c r="F69" i="1"/>
  <c r="F67" i="1"/>
  <c r="F65" i="1"/>
  <c r="F64" i="1"/>
  <c r="F63" i="1"/>
  <c r="D72" i="1"/>
  <c r="D70" i="1"/>
  <c r="D69" i="1"/>
  <c r="D68" i="1"/>
  <c r="D67" i="1"/>
  <c r="D65" i="1"/>
  <c r="D64" i="1"/>
  <c r="D63" i="1"/>
  <c r="H57" i="1"/>
  <c r="H55" i="1"/>
  <c r="H52" i="1"/>
  <c r="H53" i="1"/>
  <c r="H47" i="1"/>
  <c r="J43" i="1"/>
  <c r="H43" i="1"/>
  <c r="J41" i="1"/>
  <c r="H41" i="1"/>
  <c r="J39" i="1"/>
  <c r="J37" i="1"/>
  <c r="I34" i="1"/>
  <c r="G34" i="1"/>
  <c r="F34" i="1"/>
  <c r="D34" i="1"/>
  <c r="H29" i="1"/>
  <c r="H26" i="1"/>
  <c r="H23" i="1"/>
  <c r="H20" i="1"/>
  <c r="H18" i="1"/>
  <c r="H17" i="1"/>
  <c r="H13" i="1"/>
  <c r="E35" i="1"/>
  <c r="H37" i="1" l="1"/>
  <c r="H39" i="1"/>
</calcChain>
</file>

<file path=xl/sharedStrings.xml><?xml version="1.0" encoding="utf-8"?>
<sst xmlns="http://schemas.openxmlformats.org/spreadsheetml/2006/main" count="66" uniqueCount="63">
  <si>
    <t>Klystron Forward Power Calibration  09/14/2020</t>
  </si>
  <si>
    <t>Power Meter  E4418</t>
  </si>
  <si>
    <t>Powers</t>
  </si>
  <si>
    <t>Insertion Loss</t>
  </si>
  <si>
    <t>Cal Power @476.311 MHz</t>
  </si>
  <si>
    <t>Signal Generator  E4423B</t>
  </si>
  <si>
    <t>Source  +10 dBm</t>
  </si>
  <si>
    <t>Mega Waveguide coupler</t>
  </si>
  <si>
    <t>466 MHz</t>
  </si>
  <si>
    <t>476 MHz</t>
  </si>
  <si>
    <t>486 MHz</t>
  </si>
  <si>
    <t>Forward (installed)</t>
  </si>
  <si>
    <t>Reverse (installed)</t>
  </si>
  <si>
    <t>Filter 0.7 GHz LPF</t>
  </si>
  <si>
    <t>Microlab/FXR LA-07N</t>
  </si>
  <si>
    <t>Couper 30 dB</t>
  </si>
  <si>
    <t>MECA 715-30-1-M01</t>
  </si>
  <si>
    <t>Through</t>
  </si>
  <si>
    <t>Coupled</t>
  </si>
  <si>
    <t>Filter + Coupler</t>
  </si>
  <si>
    <t>Short cable</t>
  </si>
  <si>
    <t>30 dB attenuator + short cable</t>
  </si>
  <si>
    <t>Heliax medium length</t>
  </si>
  <si>
    <t>Amplifier Calibration</t>
  </si>
  <si>
    <t>Setup</t>
  </si>
  <si>
    <t>Generator</t>
  </si>
  <si>
    <t>Short Cable</t>
  </si>
  <si>
    <t>Amplifier</t>
  </si>
  <si>
    <t>Long Cable</t>
  </si>
  <si>
    <t>Attenuator</t>
  </si>
  <si>
    <t>Total Atten</t>
  </si>
  <si>
    <t>Cal Power</t>
  </si>
  <si>
    <t>Input</t>
  </si>
  <si>
    <t>Atten Output</t>
  </si>
  <si>
    <t>Output</t>
  </si>
  <si>
    <t>Coupler</t>
  </si>
  <si>
    <t>AR PAS-51-0-450/500 0009</t>
  </si>
  <si>
    <t>KAW2051M12/1-70-907-012</t>
  </si>
  <si>
    <t>10231-10</t>
  </si>
  <si>
    <t>10231-14</t>
  </si>
  <si>
    <t>10231-13</t>
  </si>
  <si>
    <t>Phase Shifter plus cables</t>
  </si>
  <si>
    <t>Narda DLM4428C</t>
  </si>
  <si>
    <t>Phase shifter</t>
  </si>
  <si>
    <t>Splitter</t>
  </si>
  <si>
    <t>Merrimac PDN-20-260</t>
  </si>
  <si>
    <t>Port 1</t>
  </si>
  <si>
    <t>Port 2</t>
  </si>
  <si>
    <t>Cable to IQA1-1</t>
  </si>
  <si>
    <t>Heliax from WG to Rack</t>
  </si>
  <si>
    <t>Coupling Factors</t>
  </si>
  <si>
    <t>IQA with phase shifter</t>
  </si>
  <si>
    <t>IQA w/o shifter</t>
  </si>
  <si>
    <t>Power meter</t>
  </si>
  <si>
    <t>WVGD Coupler</t>
  </si>
  <si>
    <t>LPF</t>
  </si>
  <si>
    <t>30 dB Coupler through</t>
  </si>
  <si>
    <t>30 dB Coupler couple</t>
  </si>
  <si>
    <t>Long Heliax</t>
  </si>
  <si>
    <t>Phase Shifter</t>
  </si>
  <si>
    <t>3 dB Coupler</t>
  </si>
  <si>
    <t>Cable to IQA</t>
  </si>
  <si>
    <t>Total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</si>
</sst>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8" workbookViewId="0">
      <selection activeCell="H72" sqref="H72"/>
    </sheetView>
  </sheetViews>
  <sheetFormatPr defaultRowHeight="14.45"/>
  <sheetData>
    <row r="1" spans="1:8">
      <c r="A1" t="s">
        <v>0</v>
      </c>
    </row>
    <row r="3" spans="1:8">
      <c r="A3" t="s">
        <v>1</v>
      </c>
      <c r="E3" t="s">
        <v>2</v>
      </c>
      <c r="H3" t="s">
        <v>3</v>
      </c>
    </row>
    <row r="4" spans="1:8">
      <c r="B4" t="s">
        <v>4</v>
      </c>
      <c r="E4">
        <v>-5.1999999999999998E-2</v>
      </c>
    </row>
    <row r="6" spans="1:8">
      <c r="A6" t="s">
        <v>5</v>
      </c>
    </row>
    <row r="7" spans="1:8">
      <c r="B7" t="s">
        <v>6</v>
      </c>
      <c r="E7">
        <v>9.9120000000000008</v>
      </c>
      <c r="F7">
        <v>9.9149999999999991</v>
      </c>
    </row>
    <row r="9" spans="1:8">
      <c r="A9" t="s">
        <v>7</v>
      </c>
      <c r="D9" t="s">
        <v>8</v>
      </c>
      <c r="E9" t="s">
        <v>9</v>
      </c>
      <c r="F9" t="s">
        <v>10</v>
      </c>
    </row>
    <row r="10" spans="1:8">
      <c r="B10" t="s">
        <v>11</v>
      </c>
      <c r="D10">
        <v>61.4</v>
      </c>
      <c r="E10">
        <v>61.3</v>
      </c>
      <c r="F10">
        <v>61.2</v>
      </c>
    </row>
    <row r="11" spans="1:8">
      <c r="B11" t="s">
        <v>12</v>
      </c>
      <c r="D11">
        <v>61.2</v>
      </c>
      <c r="E11">
        <v>61.1</v>
      </c>
      <c r="F11">
        <v>61</v>
      </c>
    </row>
    <row r="12" spans="1:8">
      <c r="A12" t="s">
        <v>13</v>
      </c>
    </row>
    <row r="13" spans="1:8">
      <c r="B13" t="s">
        <v>14</v>
      </c>
      <c r="E13">
        <v>9.8480000000000008</v>
      </c>
      <c r="H13">
        <f>$E$7-E13</f>
        <v>6.4000000000000057E-2</v>
      </c>
    </row>
    <row r="15" spans="1:8">
      <c r="A15" t="s">
        <v>15</v>
      </c>
    </row>
    <row r="16" spans="1:8">
      <c r="B16" t="s">
        <v>16</v>
      </c>
    </row>
    <row r="17" spans="1:8">
      <c r="B17" t="s">
        <v>17</v>
      </c>
      <c r="E17">
        <v>9.8879999999999999</v>
      </c>
      <c r="H17">
        <f>$E$7-E17</f>
        <v>2.4000000000000909E-2</v>
      </c>
    </row>
    <row r="18" spans="1:8">
      <c r="B18" t="s">
        <v>18</v>
      </c>
      <c r="E18">
        <v>-20.344000000000001</v>
      </c>
      <c r="H18">
        <f>$E$7-E18</f>
        <v>30.256</v>
      </c>
    </row>
    <row r="20" spans="1:8">
      <c r="A20" t="s">
        <v>19</v>
      </c>
      <c r="E20">
        <v>9.8849999999999998</v>
      </c>
      <c r="H20">
        <f>$E$7-E20</f>
        <v>2.7000000000001023E-2</v>
      </c>
    </row>
    <row r="23" spans="1:8">
      <c r="A23" t="s">
        <v>20</v>
      </c>
      <c r="E23">
        <v>9.7370000000000001</v>
      </c>
      <c r="H23">
        <f>$E$7-E23</f>
        <v>0.17500000000000071</v>
      </c>
    </row>
    <row r="25" spans="1:8">
      <c r="A25" t="s">
        <v>21</v>
      </c>
    </row>
    <row r="26" spans="1:8">
      <c r="E26">
        <v>-20.170999999999999</v>
      </c>
      <c r="H26">
        <f>$E$7-E26</f>
        <v>30.082999999999998</v>
      </c>
    </row>
    <row r="29" spans="1:8">
      <c r="A29" t="s">
        <v>22</v>
      </c>
      <c r="E29">
        <v>9.5739999999999998</v>
      </c>
      <c r="H29">
        <f>$E$7-E29</f>
        <v>0.33800000000000097</v>
      </c>
    </row>
    <row r="32" spans="1:8">
      <c r="A32" t="s">
        <v>23</v>
      </c>
    </row>
    <row r="33" spans="1:10"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I33" t="s">
        <v>30</v>
      </c>
    </row>
    <row r="34" spans="1:10">
      <c r="D34">
        <f>H23</f>
        <v>0.17500000000000071</v>
      </c>
      <c r="F34">
        <f>H29</f>
        <v>0.33800000000000097</v>
      </c>
      <c r="G34">
        <f>H26</f>
        <v>30.082999999999998</v>
      </c>
      <c r="I34">
        <f>H26+H29</f>
        <v>30.420999999999999</v>
      </c>
    </row>
    <row r="35" spans="1:10">
      <c r="B35" t="s">
        <v>31</v>
      </c>
      <c r="C35">
        <v>30</v>
      </c>
      <c r="E35">
        <f>10*LOG10(C35*1000)</f>
        <v>44.771212547196626</v>
      </c>
    </row>
    <row r="36" spans="1:10">
      <c r="F36" t="s">
        <v>32</v>
      </c>
      <c r="G36" t="s">
        <v>33</v>
      </c>
      <c r="H36" t="s">
        <v>34</v>
      </c>
      <c r="I36" t="s">
        <v>18</v>
      </c>
      <c r="J36" t="s">
        <v>35</v>
      </c>
    </row>
    <row r="37" spans="1:10">
      <c r="B37" t="s">
        <v>36</v>
      </c>
      <c r="F37">
        <v>-9</v>
      </c>
      <c r="G37">
        <v>14.522</v>
      </c>
      <c r="H37">
        <f>G37+$I$34</f>
        <v>44.942999999999998</v>
      </c>
      <c r="I37">
        <v>14.109</v>
      </c>
      <c r="J37">
        <f>H37-I37</f>
        <v>30.833999999999996</v>
      </c>
    </row>
    <row r="39" spans="1:10">
      <c r="B39" t="s">
        <v>37</v>
      </c>
      <c r="E39" t="s">
        <v>38</v>
      </c>
      <c r="F39">
        <v>-13</v>
      </c>
      <c r="G39">
        <v>14.69</v>
      </c>
      <c r="H39">
        <f>G39+$I$34</f>
        <v>45.110999999999997</v>
      </c>
      <c r="I39">
        <v>14.771000000000001</v>
      </c>
      <c r="J39">
        <f>H39-I39</f>
        <v>30.339999999999996</v>
      </c>
    </row>
    <row r="41" spans="1:10">
      <c r="B41" t="s">
        <v>37</v>
      </c>
      <c r="E41" t="s">
        <v>39</v>
      </c>
      <c r="F41">
        <v>-13</v>
      </c>
      <c r="G41">
        <v>15.03</v>
      </c>
      <c r="H41">
        <f>G41+$I$34</f>
        <v>45.451000000000001</v>
      </c>
      <c r="I41">
        <v>15.054</v>
      </c>
      <c r="J41">
        <f>H41-I41</f>
        <v>30.396999999999998</v>
      </c>
    </row>
    <row r="43" spans="1:10">
      <c r="B43" t="s">
        <v>37</v>
      </c>
      <c r="E43" t="s">
        <v>40</v>
      </c>
      <c r="F43">
        <v>-13</v>
      </c>
      <c r="G43">
        <v>15.089</v>
      </c>
      <c r="H43">
        <f>G43+$I$34</f>
        <v>45.51</v>
      </c>
      <c r="I43">
        <v>15.282</v>
      </c>
      <c r="J43">
        <f>H43-I43</f>
        <v>30.227999999999998</v>
      </c>
    </row>
    <row r="46" spans="1:10">
      <c r="A46" t="s">
        <v>41</v>
      </c>
    </row>
    <row r="47" spans="1:10">
      <c r="B47" t="s">
        <v>42</v>
      </c>
      <c r="C47">
        <v>9699</v>
      </c>
      <c r="E47">
        <v>9.4469999999999992</v>
      </c>
      <c r="H47">
        <f>$E$7-E47</f>
        <v>0.46500000000000163</v>
      </c>
    </row>
    <row r="48" spans="1:10">
      <c r="B48" t="s">
        <v>43</v>
      </c>
      <c r="C48">
        <v>63.2</v>
      </c>
    </row>
    <row r="50" spans="1:8">
      <c r="A50" t="s">
        <v>44</v>
      </c>
    </row>
    <row r="51" spans="1:8">
      <c r="B51" t="s">
        <v>45</v>
      </c>
    </row>
    <row r="52" spans="1:8">
      <c r="B52" t="s">
        <v>46</v>
      </c>
      <c r="E52">
        <v>6.5039999999999996</v>
      </c>
      <c r="H52">
        <f>$E$7-E52</f>
        <v>3.4080000000000013</v>
      </c>
    </row>
    <row r="53" spans="1:8">
      <c r="B53" t="s">
        <v>47</v>
      </c>
      <c r="E53">
        <v>6.5019999999999998</v>
      </c>
      <c r="H53">
        <f>$E$7-E53</f>
        <v>3.410000000000001</v>
      </c>
    </row>
    <row r="55" spans="1:8">
      <c r="A55" t="s">
        <v>48</v>
      </c>
      <c r="E55">
        <v>9.1470000000000002</v>
      </c>
      <c r="H55">
        <f>$E$7-E55</f>
        <v>0.76500000000000057</v>
      </c>
    </row>
    <row r="57" spans="1:8">
      <c r="A57" t="s">
        <v>49</v>
      </c>
      <c r="E57">
        <v>8.2829999999999995</v>
      </c>
      <c r="H57">
        <f>$E$7-E57</f>
        <v>1.6290000000000013</v>
      </c>
    </row>
    <row r="60" spans="1:8">
      <c r="A60" t="s">
        <v>50</v>
      </c>
    </row>
    <row r="62" spans="1:8">
      <c r="D62" t="s">
        <v>51</v>
      </c>
      <c r="F62" t="s">
        <v>52</v>
      </c>
      <c r="H62" t="s">
        <v>53</v>
      </c>
    </row>
    <row r="63" spans="1:8">
      <c r="B63" t="s">
        <v>54</v>
      </c>
      <c r="D63">
        <f>E10</f>
        <v>61.3</v>
      </c>
      <c r="F63">
        <f>E10</f>
        <v>61.3</v>
      </c>
      <c r="H63">
        <f>E10</f>
        <v>61.3</v>
      </c>
    </row>
    <row r="64" spans="1:8">
      <c r="B64" t="s">
        <v>55</v>
      </c>
      <c r="D64">
        <f>H13</f>
        <v>6.4000000000000057E-2</v>
      </c>
      <c r="F64">
        <f>H13</f>
        <v>6.4000000000000057E-2</v>
      </c>
      <c r="H64">
        <f>H13</f>
        <v>6.4000000000000057E-2</v>
      </c>
    </row>
    <row r="65" spans="1:8">
      <c r="B65" t="s">
        <v>56</v>
      </c>
      <c r="D65">
        <f>H17</f>
        <v>2.4000000000000909E-2</v>
      </c>
      <c r="F65">
        <f>H17</f>
        <v>2.4000000000000909E-2</v>
      </c>
    </row>
    <row r="66" spans="1:8">
      <c r="B66" t="s">
        <v>57</v>
      </c>
      <c r="H66">
        <f>H18</f>
        <v>30.256</v>
      </c>
    </row>
    <row r="67" spans="1:8">
      <c r="B67" t="s">
        <v>58</v>
      </c>
      <c r="D67">
        <f>H57</f>
        <v>1.6290000000000013</v>
      </c>
      <c r="F67">
        <f>H57</f>
        <v>1.6290000000000013</v>
      </c>
    </row>
    <row r="68" spans="1:8">
      <c r="B68" t="s">
        <v>59</v>
      </c>
      <c r="D68">
        <f>H47</f>
        <v>0.46500000000000163</v>
      </c>
    </row>
    <row r="69" spans="1:8">
      <c r="B69" t="s">
        <v>60</v>
      </c>
      <c r="D69">
        <f>H52</f>
        <v>3.4080000000000013</v>
      </c>
      <c r="F69">
        <f>H52</f>
        <v>3.4080000000000013</v>
      </c>
    </row>
    <row r="70" spans="1:8">
      <c r="B70" t="s">
        <v>61</v>
      </c>
      <c r="D70">
        <f>H55</f>
        <v>0.76500000000000057</v>
      </c>
      <c r="F70">
        <f>H55</f>
        <v>0.76500000000000057</v>
      </c>
    </row>
    <row r="72" spans="1:8">
      <c r="A72" t="s">
        <v>62</v>
      </c>
      <c r="D72">
        <f>SUM(D63:D70)</f>
        <v>67.655000000000001</v>
      </c>
      <c r="F72">
        <f>SUM(F63:F70)</f>
        <v>67.19</v>
      </c>
      <c r="H72">
        <f>SUM(H63:H70)</f>
        <v>91.62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7bf6b67f00dda9faad049ac569bdc544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226d07ee899d5f3e051fec1a6a68ef05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781F5-82BF-466E-A7E3-9BE7B30C5645}"/>
</file>

<file path=customXml/itemProps2.xml><?xml version="1.0" encoding="utf-8"?>
<ds:datastoreItem xmlns:ds="http://schemas.openxmlformats.org/officeDocument/2006/customXml" ds:itemID="{D51F0897-095B-47AF-BB0F-64436E1A9DCB}"/>
</file>

<file path=customXml/itemProps3.xml><?xml version="1.0" encoding="utf-8"?>
<ds:datastoreItem xmlns:ds="http://schemas.openxmlformats.org/officeDocument/2006/customXml" ds:itemID="{4315D610-B9E3-4CC2-BA49-A63765B75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SLAC National Accelerator Laboratory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Sebek, Jim</dc:creator>
  <cp:keywords/>
  <dc:description/>
  <cp:lastModifiedBy>Chen, Jing X</cp:lastModifiedBy>
  <cp:revision/>
  <dcterms:created xsi:type="dcterms:W3CDTF">2020-09-14T16:41:21Z</dcterms:created>
  <dcterms:modified xsi:type="dcterms:W3CDTF">2026-03-02T14:55:08Z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  <property fmtid="{D5CDD505-2E9C-101B-9397-08002B2CF9AE}" pid="3" name="MediaServiceImageTags">
    <vt:lpwstr/>
  </property>
</Properties>
</file>